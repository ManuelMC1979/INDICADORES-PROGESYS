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monsalvec\OneDrive - Asociación Chilena de Seguridad\Escritorio\Plataforma Outbound\Programas\Respaldos\PRUEBAS\INDICADORES-PROGESYS\"/>
    </mc:Choice>
  </mc:AlternateContent>
  <bookViews>
    <workbookView xWindow="0" yWindow="0" windowWidth="16380" windowHeight="8190" tabRatio="500" firstSheet="1" activeTab="8"/>
  </bookViews>
  <sheets>
    <sheet name="Ejecutivos" sheetId="1" r:id="rId1"/>
    <sheet name="Turno" sheetId="2" r:id="rId2"/>
    <sheet name="Config" sheetId="3" r:id="rId3"/>
    <sheet name="Asistencia" sheetId="4" r:id="rId4"/>
    <sheet name="KPI_Mensual" sheetId="5" r:id="rId5"/>
    <sheet name="Outbound" sheetId="8" state="hidden" r:id="rId6"/>
    <sheet name="Calidad" sheetId="6" state="hidden" r:id="rId7"/>
    <sheet name="EPA" sheetId="7" r:id="rId8"/>
    <sheet name="EPA_diario" sheetId="11" r:id="rId9"/>
    <sheet name="EPA_Historico" sheetId="9" r:id="rId10"/>
    <sheet name="Instrucciones" sheetId="10" state="hidden" r:id="rId11"/>
  </sheets>
  <externalReferences>
    <externalReference r:id="rId12"/>
    <externalReference r:id="rId13"/>
  </externalReferences>
  <definedNames>
    <definedName name="_xlnm._FilterDatabase" localSheetId="3" hidden="1">Asistencia!$A$1:$V$1492</definedName>
    <definedName name="_xlnm._FilterDatabase" localSheetId="1" hidden="1">Turno!$A$1:$V$32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4" l="1"/>
  <c r="L14" i="5" l="1"/>
  <c r="B13" i="5"/>
  <c r="B12" i="5"/>
  <c r="B11" i="5"/>
  <c r="B10" i="5"/>
  <c r="B9" i="5"/>
  <c r="B8" i="5"/>
  <c r="B7" i="5"/>
  <c r="B6" i="5"/>
  <c r="B5" i="5"/>
  <c r="B4" i="5"/>
  <c r="B3" i="5"/>
  <c r="B2" i="5"/>
  <c r="B16" i="7" l="1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84" i="4" l="1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B14" i="2" l="1"/>
  <c r="C70" i="4" l="1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M18" i="4"/>
  <c r="O18" i="4"/>
  <c r="P18" i="4" s="1"/>
  <c r="O1492" i="4" l="1"/>
  <c r="P1492" i="4" s="1"/>
  <c r="M1492" i="4"/>
  <c r="O1491" i="4"/>
  <c r="P1491" i="4" s="1"/>
  <c r="M1491" i="4"/>
  <c r="C1492" i="4"/>
  <c r="C1491" i="4"/>
  <c r="O1490" i="4"/>
  <c r="P1490" i="4" s="1"/>
  <c r="M1490" i="4"/>
  <c r="O1489" i="4"/>
  <c r="P1489" i="4" s="1"/>
  <c r="M1489" i="4"/>
  <c r="C1490" i="4"/>
  <c r="C1489" i="4"/>
  <c r="C12" i="4" l="1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E10" i="8" l="1"/>
  <c r="C322" i="4" l="1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E147" i="8" l="1"/>
  <c r="B147" i="8"/>
  <c r="E146" i="8"/>
  <c r="B146" i="8"/>
  <c r="E145" i="8"/>
  <c r="B145" i="8"/>
  <c r="E144" i="8"/>
  <c r="B144" i="8"/>
  <c r="E143" i="8"/>
  <c r="B143" i="8"/>
  <c r="E142" i="8"/>
  <c r="B142" i="8"/>
  <c r="E141" i="8"/>
  <c r="B141" i="8"/>
  <c r="E140" i="8"/>
  <c r="B140" i="8"/>
  <c r="E139" i="8"/>
  <c r="B139" i="8"/>
  <c r="E138" i="8"/>
  <c r="B138" i="8"/>
  <c r="E137" i="8"/>
  <c r="B137" i="8"/>
  <c r="E136" i="8"/>
  <c r="B136" i="8"/>
  <c r="E135" i="8"/>
  <c r="B135" i="8"/>
  <c r="E134" i="8"/>
  <c r="B134" i="8"/>
  <c r="E133" i="8"/>
  <c r="B133" i="8"/>
  <c r="E132" i="8"/>
  <c r="B132" i="8"/>
  <c r="E131" i="8"/>
  <c r="B131" i="8"/>
  <c r="E130" i="8"/>
  <c r="B130" i="8"/>
  <c r="E129" i="8"/>
  <c r="B129" i="8"/>
  <c r="E128" i="8"/>
  <c r="B128" i="8"/>
  <c r="E127" i="8"/>
  <c r="B127" i="8"/>
  <c r="E126" i="8"/>
  <c r="B126" i="8"/>
  <c r="E125" i="8"/>
  <c r="B125" i="8"/>
  <c r="E124" i="8"/>
  <c r="B124" i="8"/>
  <c r="E123" i="8"/>
  <c r="B123" i="8"/>
  <c r="E122" i="8"/>
  <c r="B122" i="8"/>
  <c r="E121" i="8"/>
  <c r="B121" i="8"/>
  <c r="E120" i="8"/>
  <c r="B120" i="8"/>
  <c r="E119" i="8"/>
  <c r="B119" i="8"/>
  <c r="E118" i="8"/>
  <c r="B118" i="8"/>
  <c r="E117" i="8"/>
  <c r="B117" i="8"/>
  <c r="E116" i="8"/>
  <c r="B116" i="8"/>
  <c r="E115" i="8"/>
  <c r="B115" i="8"/>
  <c r="E114" i="8"/>
  <c r="B114" i="8"/>
  <c r="E113" i="8"/>
  <c r="B113" i="8"/>
  <c r="E112" i="8"/>
  <c r="B112" i="8"/>
  <c r="E111" i="8"/>
  <c r="B111" i="8"/>
  <c r="E110" i="8"/>
  <c r="B110" i="8"/>
  <c r="E109" i="8"/>
  <c r="B109" i="8"/>
  <c r="E108" i="8"/>
  <c r="B108" i="8"/>
  <c r="E107" i="8"/>
  <c r="B107" i="8"/>
  <c r="E106" i="8"/>
  <c r="B106" i="8"/>
  <c r="E105" i="8"/>
  <c r="B105" i="8"/>
  <c r="E104" i="8"/>
  <c r="B104" i="8"/>
  <c r="E103" i="8"/>
  <c r="B103" i="8"/>
  <c r="E102" i="8"/>
  <c r="B102" i="8"/>
  <c r="E101" i="8"/>
  <c r="B101" i="8"/>
  <c r="E100" i="8"/>
  <c r="B100" i="8"/>
  <c r="E99" i="8"/>
  <c r="B99" i="8"/>
  <c r="E98" i="8"/>
  <c r="B98" i="8"/>
  <c r="E97" i="8"/>
  <c r="B97" i="8"/>
  <c r="E96" i="8"/>
  <c r="B96" i="8"/>
  <c r="E95" i="8"/>
  <c r="B95" i="8"/>
  <c r="E94" i="8"/>
  <c r="B94" i="8"/>
  <c r="E93" i="8"/>
  <c r="B93" i="8"/>
  <c r="E92" i="8"/>
  <c r="B92" i="8"/>
  <c r="E91" i="8"/>
  <c r="B91" i="8"/>
  <c r="E90" i="8"/>
  <c r="B90" i="8"/>
  <c r="E89" i="8"/>
  <c r="B89" i="8"/>
  <c r="E88" i="8"/>
  <c r="B88" i="8"/>
  <c r="E87" i="8"/>
  <c r="B87" i="8"/>
  <c r="E86" i="8"/>
  <c r="B86" i="8"/>
  <c r="E85" i="8"/>
  <c r="B85" i="8"/>
  <c r="E84" i="8"/>
  <c r="B84" i="8"/>
  <c r="E83" i="8"/>
  <c r="B83" i="8"/>
  <c r="E82" i="8"/>
  <c r="B82" i="8"/>
  <c r="E81" i="8"/>
  <c r="B81" i="8"/>
  <c r="E80" i="8"/>
  <c r="B80" i="8"/>
  <c r="E79" i="8"/>
  <c r="B79" i="8"/>
  <c r="E78" i="8"/>
  <c r="B78" i="8"/>
  <c r="E77" i="8"/>
  <c r="B77" i="8"/>
  <c r="E76" i="8"/>
  <c r="B76" i="8"/>
  <c r="E75" i="8"/>
  <c r="B75" i="8"/>
  <c r="E74" i="8"/>
  <c r="B74" i="8"/>
  <c r="E73" i="8"/>
  <c r="B73" i="8"/>
  <c r="E72" i="8"/>
  <c r="B72" i="8"/>
  <c r="E71" i="8"/>
  <c r="B71" i="8"/>
  <c r="E70" i="8"/>
  <c r="B70" i="8"/>
  <c r="E69" i="8"/>
  <c r="B69" i="8"/>
  <c r="E68" i="8"/>
  <c r="B68" i="8"/>
  <c r="E67" i="8"/>
  <c r="B67" i="8"/>
  <c r="E66" i="8"/>
  <c r="B66" i="8"/>
  <c r="E65" i="8"/>
  <c r="B65" i="8"/>
  <c r="E64" i="8"/>
  <c r="B64" i="8"/>
  <c r="E63" i="8"/>
  <c r="B63" i="8"/>
  <c r="E62" i="8"/>
  <c r="B62" i="8"/>
  <c r="E61" i="8"/>
  <c r="B61" i="8"/>
  <c r="E60" i="8"/>
  <c r="B60" i="8"/>
  <c r="E59" i="8"/>
  <c r="B59" i="8"/>
  <c r="E58" i="8"/>
  <c r="B58" i="8"/>
  <c r="E57" i="8"/>
  <c r="B57" i="8"/>
  <c r="E56" i="8"/>
  <c r="B56" i="8"/>
  <c r="E55" i="8"/>
  <c r="B55" i="8"/>
  <c r="E54" i="8"/>
  <c r="B54" i="8"/>
  <c r="E53" i="8"/>
  <c r="B53" i="8"/>
  <c r="E52" i="8"/>
  <c r="B52" i="8"/>
  <c r="E51" i="8"/>
  <c r="B51" i="8"/>
  <c r="E50" i="8"/>
  <c r="B50" i="8"/>
  <c r="E49" i="8"/>
  <c r="B49" i="8"/>
  <c r="E48" i="8"/>
  <c r="B48" i="8"/>
  <c r="E47" i="8"/>
  <c r="B47" i="8"/>
  <c r="E46" i="8"/>
  <c r="B46" i="8"/>
  <c r="E45" i="8"/>
  <c r="B45" i="8"/>
  <c r="E44" i="8"/>
  <c r="B44" i="8"/>
  <c r="E43" i="8"/>
  <c r="B43" i="8"/>
  <c r="E42" i="8"/>
  <c r="B42" i="8"/>
  <c r="E41" i="8"/>
  <c r="B41" i="8"/>
  <c r="E40" i="8"/>
  <c r="B40" i="8"/>
  <c r="E39" i="8"/>
  <c r="B39" i="8"/>
  <c r="E38" i="8"/>
  <c r="B38" i="8"/>
  <c r="E37" i="8"/>
  <c r="B37" i="8"/>
  <c r="E36" i="8"/>
  <c r="B36" i="8"/>
  <c r="E35" i="8"/>
  <c r="B35" i="8"/>
  <c r="E34" i="8"/>
  <c r="B34" i="8"/>
  <c r="E33" i="8"/>
  <c r="B33" i="8"/>
  <c r="E32" i="8"/>
  <c r="B32" i="8"/>
  <c r="E31" i="8"/>
  <c r="B31" i="8"/>
  <c r="E30" i="8"/>
  <c r="B30" i="8"/>
  <c r="E29" i="8"/>
  <c r="B29" i="8"/>
  <c r="E28" i="8"/>
  <c r="B28" i="8"/>
  <c r="E27" i="8"/>
  <c r="B27" i="8"/>
  <c r="E26" i="8"/>
  <c r="B26" i="8"/>
  <c r="E25" i="8"/>
  <c r="B25" i="8"/>
  <c r="E24" i="8"/>
  <c r="B24" i="8"/>
  <c r="E23" i="8"/>
  <c r="B23" i="8"/>
  <c r="E22" i="8"/>
  <c r="B22" i="8"/>
  <c r="E21" i="8"/>
  <c r="B21" i="8"/>
  <c r="E20" i="8"/>
  <c r="B20" i="8"/>
  <c r="E19" i="8"/>
  <c r="B19" i="8"/>
  <c r="E18" i="8"/>
  <c r="B18" i="8"/>
  <c r="E17" i="8"/>
  <c r="B17" i="8"/>
  <c r="E16" i="8"/>
  <c r="B16" i="8"/>
  <c r="E15" i="8"/>
  <c r="B15" i="8"/>
  <c r="E14" i="8"/>
  <c r="B14" i="8"/>
  <c r="E13" i="8"/>
  <c r="B13" i="8"/>
  <c r="E12" i="8"/>
  <c r="B12" i="8"/>
  <c r="E11" i="8"/>
  <c r="B11" i="8"/>
  <c r="B10" i="8"/>
  <c r="E9" i="8"/>
  <c r="B9" i="8"/>
  <c r="E8" i="8"/>
  <c r="B8" i="8"/>
  <c r="E7" i="8"/>
  <c r="B7" i="8"/>
  <c r="E6" i="8"/>
  <c r="B6" i="8"/>
  <c r="E5" i="8"/>
  <c r="B5" i="8"/>
  <c r="E4" i="8"/>
  <c r="B4" i="8"/>
  <c r="E3" i="8"/>
  <c r="B3" i="8"/>
  <c r="E2" i="8"/>
  <c r="B2" i="8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R1488" i="4"/>
  <c r="O1488" i="4"/>
  <c r="P1488" i="4" s="1"/>
  <c r="M1488" i="4"/>
  <c r="C1488" i="4"/>
  <c r="S1488" i="4" s="1"/>
  <c r="N1488" i="4" s="1"/>
  <c r="R1487" i="4"/>
  <c r="O1487" i="4"/>
  <c r="P1487" i="4" s="1"/>
  <c r="M1487" i="4"/>
  <c r="C1487" i="4"/>
  <c r="S1487" i="4" s="1"/>
  <c r="R1486" i="4"/>
  <c r="O1486" i="4"/>
  <c r="P1486" i="4" s="1"/>
  <c r="M1486" i="4"/>
  <c r="C1486" i="4"/>
  <c r="S1486" i="4" s="1"/>
  <c r="N1486" i="4" s="1"/>
  <c r="R1485" i="4"/>
  <c r="O1485" i="4"/>
  <c r="P1485" i="4" s="1"/>
  <c r="M1485" i="4"/>
  <c r="C1485" i="4"/>
  <c r="S1485" i="4" s="1"/>
  <c r="N1485" i="4" s="1"/>
  <c r="R1484" i="4"/>
  <c r="O1484" i="4"/>
  <c r="P1484" i="4" s="1"/>
  <c r="M1484" i="4"/>
  <c r="C1484" i="4"/>
  <c r="S1484" i="4" s="1"/>
  <c r="N1484" i="4" s="1"/>
  <c r="R1483" i="4"/>
  <c r="O1483" i="4"/>
  <c r="P1483" i="4" s="1"/>
  <c r="M1483" i="4"/>
  <c r="C1483" i="4"/>
  <c r="S1483" i="4" s="1"/>
  <c r="N1483" i="4" s="1"/>
  <c r="R1482" i="4"/>
  <c r="O1482" i="4"/>
  <c r="P1482" i="4" s="1"/>
  <c r="M1482" i="4"/>
  <c r="C1482" i="4"/>
  <c r="S1482" i="4" s="1"/>
  <c r="N1482" i="4" s="1"/>
  <c r="R1481" i="4"/>
  <c r="O1481" i="4"/>
  <c r="P1481" i="4" s="1"/>
  <c r="M1481" i="4"/>
  <c r="C1481" i="4"/>
  <c r="S1481" i="4" s="1"/>
  <c r="R1480" i="4"/>
  <c r="O1480" i="4"/>
  <c r="P1480" i="4" s="1"/>
  <c r="M1480" i="4"/>
  <c r="C1480" i="4"/>
  <c r="S1480" i="4" s="1"/>
  <c r="N1480" i="4" s="1"/>
  <c r="R1479" i="4"/>
  <c r="O1479" i="4"/>
  <c r="P1479" i="4" s="1"/>
  <c r="M1479" i="4"/>
  <c r="C1479" i="4"/>
  <c r="S1479" i="4" s="1"/>
  <c r="N1479" i="4" s="1"/>
  <c r="R1478" i="4"/>
  <c r="O1478" i="4"/>
  <c r="P1478" i="4" s="1"/>
  <c r="M1478" i="4"/>
  <c r="C1478" i="4"/>
  <c r="S1478" i="4" s="1"/>
  <c r="N1478" i="4" s="1"/>
  <c r="R1477" i="4"/>
  <c r="O1477" i="4"/>
  <c r="P1477" i="4" s="1"/>
  <c r="M1477" i="4"/>
  <c r="C1477" i="4"/>
  <c r="S1477" i="4" s="1"/>
  <c r="N1477" i="4" s="1"/>
  <c r="R1476" i="4"/>
  <c r="O1476" i="4"/>
  <c r="P1476" i="4" s="1"/>
  <c r="M1476" i="4"/>
  <c r="C1476" i="4"/>
  <c r="S1476" i="4" s="1"/>
  <c r="N1476" i="4" s="1"/>
  <c r="R1475" i="4"/>
  <c r="O1475" i="4"/>
  <c r="P1475" i="4" s="1"/>
  <c r="M1475" i="4"/>
  <c r="C1475" i="4"/>
  <c r="S1475" i="4" s="1"/>
  <c r="R1474" i="4"/>
  <c r="O1474" i="4"/>
  <c r="P1474" i="4" s="1"/>
  <c r="M1474" i="4"/>
  <c r="C1474" i="4"/>
  <c r="S1474" i="4" s="1"/>
  <c r="N1474" i="4" s="1"/>
  <c r="R1473" i="4"/>
  <c r="O1473" i="4"/>
  <c r="P1473" i="4" s="1"/>
  <c r="M1473" i="4"/>
  <c r="C1473" i="4"/>
  <c r="S1473" i="4" s="1"/>
  <c r="N1473" i="4" s="1"/>
  <c r="R1472" i="4"/>
  <c r="O1472" i="4"/>
  <c r="P1472" i="4" s="1"/>
  <c r="M1472" i="4"/>
  <c r="C1472" i="4"/>
  <c r="S1472" i="4" s="1"/>
  <c r="N1472" i="4" s="1"/>
  <c r="R1471" i="4"/>
  <c r="O1471" i="4"/>
  <c r="P1471" i="4" s="1"/>
  <c r="M1471" i="4"/>
  <c r="C1471" i="4"/>
  <c r="S1471" i="4" s="1"/>
  <c r="N1471" i="4" s="1"/>
  <c r="R1470" i="4"/>
  <c r="O1470" i="4"/>
  <c r="P1470" i="4" s="1"/>
  <c r="M1470" i="4"/>
  <c r="C1470" i="4"/>
  <c r="S1470" i="4" s="1"/>
  <c r="N1470" i="4" s="1"/>
  <c r="R1469" i="4"/>
  <c r="O1469" i="4"/>
  <c r="P1469" i="4" s="1"/>
  <c r="M1469" i="4"/>
  <c r="C1469" i="4"/>
  <c r="S1469" i="4" s="1"/>
  <c r="N1469" i="4" s="1"/>
  <c r="R1468" i="4"/>
  <c r="O1468" i="4"/>
  <c r="P1468" i="4" s="1"/>
  <c r="M1468" i="4"/>
  <c r="C1468" i="4"/>
  <c r="S1468" i="4" s="1"/>
  <c r="N1468" i="4" s="1"/>
  <c r="R1467" i="4"/>
  <c r="O1467" i="4"/>
  <c r="P1467" i="4" s="1"/>
  <c r="M1467" i="4"/>
  <c r="C1467" i="4"/>
  <c r="S1467" i="4" s="1"/>
  <c r="N1467" i="4" s="1"/>
  <c r="R1466" i="4"/>
  <c r="O1466" i="4"/>
  <c r="P1466" i="4" s="1"/>
  <c r="M1466" i="4"/>
  <c r="C1466" i="4"/>
  <c r="S1466" i="4" s="1"/>
  <c r="N1466" i="4" s="1"/>
  <c r="R1465" i="4"/>
  <c r="O1465" i="4"/>
  <c r="P1465" i="4" s="1"/>
  <c r="M1465" i="4"/>
  <c r="C1465" i="4"/>
  <c r="S1465" i="4" s="1"/>
  <c r="N1465" i="4" s="1"/>
  <c r="R1464" i="4"/>
  <c r="O1464" i="4"/>
  <c r="P1464" i="4" s="1"/>
  <c r="M1464" i="4"/>
  <c r="C1464" i="4"/>
  <c r="S1464" i="4" s="1"/>
  <c r="N1464" i="4" s="1"/>
  <c r="R1463" i="4"/>
  <c r="O1463" i="4"/>
  <c r="P1463" i="4" s="1"/>
  <c r="M1463" i="4"/>
  <c r="C1463" i="4"/>
  <c r="S1463" i="4" s="1"/>
  <c r="R1462" i="4"/>
  <c r="O1462" i="4"/>
  <c r="P1462" i="4" s="1"/>
  <c r="M1462" i="4"/>
  <c r="C1462" i="4"/>
  <c r="S1462" i="4" s="1"/>
  <c r="N1462" i="4" s="1"/>
  <c r="R1461" i="4"/>
  <c r="O1461" i="4"/>
  <c r="P1461" i="4" s="1"/>
  <c r="M1461" i="4"/>
  <c r="C1461" i="4"/>
  <c r="S1461" i="4" s="1"/>
  <c r="N1461" i="4" s="1"/>
  <c r="R1460" i="4"/>
  <c r="O1460" i="4"/>
  <c r="P1460" i="4" s="1"/>
  <c r="M1460" i="4"/>
  <c r="C1460" i="4"/>
  <c r="S1460" i="4" s="1"/>
  <c r="N1460" i="4" s="1"/>
  <c r="R1459" i="4"/>
  <c r="O1459" i="4"/>
  <c r="P1459" i="4" s="1"/>
  <c r="M1459" i="4"/>
  <c r="C1459" i="4"/>
  <c r="S1459" i="4" s="1"/>
  <c r="N1459" i="4" s="1"/>
  <c r="R1458" i="4"/>
  <c r="O1458" i="4"/>
  <c r="P1458" i="4" s="1"/>
  <c r="M1458" i="4"/>
  <c r="C1458" i="4"/>
  <c r="S1458" i="4" s="1"/>
  <c r="N1458" i="4" s="1"/>
  <c r="R1457" i="4"/>
  <c r="O1457" i="4"/>
  <c r="P1457" i="4" s="1"/>
  <c r="M1457" i="4"/>
  <c r="C1457" i="4"/>
  <c r="S1457" i="4" s="1"/>
  <c r="R1456" i="4"/>
  <c r="O1456" i="4"/>
  <c r="P1456" i="4" s="1"/>
  <c r="M1456" i="4"/>
  <c r="C1456" i="4"/>
  <c r="S1456" i="4" s="1"/>
  <c r="N1456" i="4" s="1"/>
  <c r="R1455" i="4"/>
  <c r="O1455" i="4"/>
  <c r="P1455" i="4" s="1"/>
  <c r="M1455" i="4"/>
  <c r="C1455" i="4"/>
  <c r="S1455" i="4" s="1"/>
  <c r="N1455" i="4" s="1"/>
  <c r="R1454" i="4"/>
  <c r="O1454" i="4"/>
  <c r="P1454" i="4" s="1"/>
  <c r="M1454" i="4"/>
  <c r="C1454" i="4"/>
  <c r="S1454" i="4" s="1"/>
  <c r="N1454" i="4" s="1"/>
  <c r="R1453" i="4"/>
  <c r="O1453" i="4"/>
  <c r="P1453" i="4" s="1"/>
  <c r="M1453" i="4"/>
  <c r="C1453" i="4"/>
  <c r="S1453" i="4" s="1"/>
  <c r="N1453" i="4" s="1"/>
  <c r="R1452" i="4"/>
  <c r="O1452" i="4"/>
  <c r="P1452" i="4" s="1"/>
  <c r="M1452" i="4"/>
  <c r="C1452" i="4"/>
  <c r="S1452" i="4" s="1"/>
  <c r="N1452" i="4" s="1"/>
  <c r="R1451" i="4"/>
  <c r="O1451" i="4"/>
  <c r="P1451" i="4" s="1"/>
  <c r="M1451" i="4"/>
  <c r="C1451" i="4"/>
  <c r="S1451" i="4" s="1"/>
  <c r="R1450" i="4"/>
  <c r="O1450" i="4"/>
  <c r="P1450" i="4" s="1"/>
  <c r="M1450" i="4"/>
  <c r="C1450" i="4"/>
  <c r="S1450" i="4" s="1"/>
  <c r="N1450" i="4" s="1"/>
  <c r="R1449" i="4"/>
  <c r="O1449" i="4"/>
  <c r="P1449" i="4" s="1"/>
  <c r="M1449" i="4"/>
  <c r="C1449" i="4"/>
  <c r="S1449" i="4" s="1"/>
  <c r="N1449" i="4" s="1"/>
  <c r="R1448" i="4"/>
  <c r="O1448" i="4"/>
  <c r="P1448" i="4" s="1"/>
  <c r="M1448" i="4"/>
  <c r="C1448" i="4"/>
  <c r="S1448" i="4" s="1"/>
  <c r="N1448" i="4" s="1"/>
  <c r="R1447" i="4"/>
  <c r="O1447" i="4"/>
  <c r="P1447" i="4" s="1"/>
  <c r="M1447" i="4"/>
  <c r="C1447" i="4"/>
  <c r="S1447" i="4" s="1"/>
  <c r="N1447" i="4" s="1"/>
  <c r="R1446" i="4"/>
  <c r="O1446" i="4"/>
  <c r="P1446" i="4" s="1"/>
  <c r="M1446" i="4"/>
  <c r="C1446" i="4"/>
  <c r="S1446" i="4" s="1"/>
  <c r="N1446" i="4" s="1"/>
  <c r="R1445" i="4"/>
  <c r="O1445" i="4"/>
  <c r="P1445" i="4" s="1"/>
  <c r="M1445" i="4"/>
  <c r="C1445" i="4"/>
  <c r="S1445" i="4" s="1"/>
  <c r="N1445" i="4" s="1"/>
  <c r="R1444" i="4"/>
  <c r="O1444" i="4"/>
  <c r="P1444" i="4" s="1"/>
  <c r="M1444" i="4"/>
  <c r="C1444" i="4"/>
  <c r="S1444" i="4" s="1"/>
  <c r="N1444" i="4" s="1"/>
  <c r="R1443" i="4"/>
  <c r="O1443" i="4"/>
  <c r="P1443" i="4" s="1"/>
  <c r="M1443" i="4"/>
  <c r="C1443" i="4"/>
  <c r="S1443" i="4" s="1"/>
  <c r="N1443" i="4" s="1"/>
  <c r="R1442" i="4"/>
  <c r="O1442" i="4"/>
  <c r="P1442" i="4" s="1"/>
  <c r="M1442" i="4"/>
  <c r="C1442" i="4"/>
  <c r="S1442" i="4" s="1"/>
  <c r="N1442" i="4" s="1"/>
  <c r="R1441" i="4"/>
  <c r="O1441" i="4"/>
  <c r="P1441" i="4" s="1"/>
  <c r="M1441" i="4"/>
  <c r="C1441" i="4"/>
  <c r="S1441" i="4" s="1"/>
  <c r="N1441" i="4" s="1"/>
  <c r="R1440" i="4"/>
  <c r="O1440" i="4"/>
  <c r="P1440" i="4" s="1"/>
  <c r="M1440" i="4"/>
  <c r="C1440" i="4"/>
  <c r="S1440" i="4" s="1"/>
  <c r="N1440" i="4" s="1"/>
  <c r="R1439" i="4"/>
  <c r="O1439" i="4"/>
  <c r="P1439" i="4" s="1"/>
  <c r="M1439" i="4"/>
  <c r="C1439" i="4"/>
  <c r="S1439" i="4" s="1"/>
  <c r="R1438" i="4"/>
  <c r="O1438" i="4"/>
  <c r="P1438" i="4" s="1"/>
  <c r="M1438" i="4"/>
  <c r="C1438" i="4"/>
  <c r="S1438" i="4" s="1"/>
  <c r="N1438" i="4" s="1"/>
  <c r="R1437" i="4"/>
  <c r="O1437" i="4"/>
  <c r="P1437" i="4" s="1"/>
  <c r="M1437" i="4"/>
  <c r="C1437" i="4"/>
  <c r="S1437" i="4" s="1"/>
  <c r="N1437" i="4" s="1"/>
  <c r="R1436" i="4"/>
  <c r="O1436" i="4"/>
  <c r="P1436" i="4" s="1"/>
  <c r="M1436" i="4"/>
  <c r="C1436" i="4"/>
  <c r="S1436" i="4" s="1"/>
  <c r="N1436" i="4" s="1"/>
  <c r="R1435" i="4"/>
  <c r="O1435" i="4"/>
  <c r="P1435" i="4" s="1"/>
  <c r="M1435" i="4"/>
  <c r="C1435" i="4"/>
  <c r="S1435" i="4" s="1"/>
  <c r="N1435" i="4" s="1"/>
  <c r="R1434" i="4"/>
  <c r="O1434" i="4"/>
  <c r="P1434" i="4" s="1"/>
  <c r="M1434" i="4"/>
  <c r="C1434" i="4"/>
  <c r="S1434" i="4" s="1"/>
  <c r="N1434" i="4" s="1"/>
  <c r="R1433" i="4"/>
  <c r="O1433" i="4"/>
  <c r="P1433" i="4" s="1"/>
  <c r="M1433" i="4"/>
  <c r="C1433" i="4"/>
  <c r="S1433" i="4" s="1"/>
  <c r="R1432" i="4"/>
  <c r="O1432" i="4"/>
  <c r="P1432" i="4" s="1"/>
  <c r="M1432" i="4"/>
  <c r="C1432" i="4"/>
  <c r="S1432" i="4" s="1"/>
  <c r="N1432" i="4" s="1"/>
  <c r="R1431" i="4"/>
  <c r="O1431" i="4"/>
  <c r="P1431" i="4" s="1"/>
  <c r="M1431" i="4"/>
  <c r="C1431" i="4"/>
  <c r="S1431" i="4" s="1"/>
  <c r="N1431" i="4" s="1"/>
  <c r="R1430" i="4"/>
  <c r="O1430" i="4"/>
  <c r="P1430" i="4" s="1"/>
  <c r="M1430" i="4"/>
  <c r="C1430" i="4"/>
  <c r="S1430" i="4" s="1"/>
  <c r="N1430" i="4" s="1"/>
  <c r="R1429" i="4"/>
  <c r="O1429" i="4"/>
  <c r="P1429" i="4" s="1"/>
  <c r="M1429" i="4"/>
  <c r="C1429" i="4"/>
  <c r="S1429" i="4" s="1"/>
  <c r="N1429" i="4" s="1"/>
  <c r="R1428" i="4"/>
  <c r="O1428" i="4"/>
  <c r="P1428" i="4" s="1"/>
  <c r="M1428" i="4"/>
  <c r="C1428" i="4"/>
  <c r="S1428" i="4" s="1"/>
  <c r="N1428" i="4" s="1"/>
  <c r="R1427" i="4"/>
  <c r="O1427" i="4"/>
  <c r="P1427" i="4" s="1"/>
  <c r="M1427" i="4"/>
  <c r="C1427" i="4"/>
  <c r="S1427" i="4" s="1"/>
  <c r="R1426" i="4"/>
  <c r="O1426" i="4"/>
  <c r="P1426" i="4" s="1"/>
  <c r="M1426" i="4"/>
  <c r="C1426" i="4"/>
  <c r="S1426" i="4" s="1"/>
  <c r="N1426" i="4" s="1"/>
  <c r="R1425" i="4"/>
  <c r="O1425" i="4"/>
  <c r="P1425" i="4" s="1"/>
  <c r="M1425" i="4"/>
  <c r="C1425" i="4"/>
  <c r="S1425" i="4" s="1"/>
  <c r="N1425" i="4" s="1"/>
  <c r="R1424" i="4"/>
  <c r="O1424" i="4"/>
  <c r="P1424" i="4" s="1"/>
  <c r="M1424" i="4"/>
  <c r="C1424" i="4"/>
  <c r="S1424" i="4" s="1"/>
  <c r="N1424" i="4" s="1"/>
  <c r="R1423" i="4"/>
  <c r="O1423" i="4"/>
  <c r="P1423" i="4" s="1"/>
  <c r="M1423" i="4"/>
  <c r="C1423" i="4"/>
  <c r="S1423" i="4" s="1"/>
  <c r="N1423" i="4" s="1"/>
  <c r="R1422" i="4"/>
  <c r="O1422" i="4"/>
  <c r="P1422" i="4" s="1"/>
  <c r="M1422" i="4"/>
  <c r="C1422" i="4"/>
  <c r="S1422" i="4" s="1"/>
  <c r="N1422" i="4" s="1"/>
  <c r="R1421" i="4"/>
  <c r="O1421" i="4"/>
  <c r="P1421" i="4" s="1"/>
  <c r="M1421" i="4"/>
  <c r="C1421" i="4"/>
  <c r="S1421" i="4" s="1"/>
  <c r="R1420" i="4"/>
  <c r="O1420" i="4"/>
  <c r="P1420" i="4" s="1"/>
  <c r="M1420" i="4"/>
  <c r="C1420" i="4"/>
  <c r="S1420" i="4" s="1"/>
  <c r="N1420" i="4" s="1"/>
  <c r="R1419" i="4"/>
  <c r="O1419" i="4"/>
  <c r="P1419" i="4" s="1"/>
  <c r="M1419" i="4"/>
  <c r="C1419" i="4"/>
  <c r="S1419" i="4" s="1"/>
  <c r="N1419" i="4" s="1"/>
  <c r="R1418" i="4"/>
  <c r="O1418" i="4"/>
  <c r="P1418" i="4" s="1"/>
  <c r="M1418" i="4"/>
  <c r="C1418" i="4"/>
  <c r="S1418" i="4" s="1"/>
  <c r="N1418" i="4" s="1"/>
  <c r="R1417" i="4"/>
  <c r="O1417" i="4"/>
  <c r="P1417" i="4" s="1"/>
  <c r="M1417" i="4"/>
  <c r="C1417" i="4"/>
  <c r="S1417" i="4" s="1"/>
  <c r="N1417" i="4" s="1"/>
  <c r="R1416" i="4"/>
  <c r="O1416" i="4"/>
  <c r="P1416" i="4" s="1"/>
  <c r="M1416" i="4"/>
  <c r="C1416" i="4"/>
  <c r="S1416" i="4" s="1"/>
  <c r="N1416" i="4" s="1"/>
  <c r="R1415" i="4"/>
  <c r="O1415" i="4"/>
  <c r="P1415" i="4" s="1"/>
  <c r="M1415" i="4"/>
  <c r="C1415" i="4"/>
  <c r="S1415" i="4" s="1"/>
  <c r="N1415" i="4" s="1"/>
  <c r="R1414" i="4"/>
  <c r="O1414" i="4"/>
  <c r="P1414" i="4" s="1"/>
  <c r="M1414" i="4"/>
  <c r="C1414" i="4"/>
  <c r="S1414" i="4" s="1"/>
  <c r="R1413" i="4"/>
  <c r="O1413" i="4"/>
  <c r="P1413" i="4" s="1"/>
  <c r="M1413" i="4"/>
  <c r="C1413" i="4"/>
  <c r="S1413" i="4" s="1"/>
  <c r="N1413" i="4" s="1"/>
  <c r="R1412" i="4"/>
  <c r="O1412" i="4"/>
  <c r="P1412" i="4" s="1"/>
  <c r="M1412" i="4"/>
  <c r="C1412" i="4"/>
  <c r="S1412" i="4" s="1"/>
  <c r="N1412" i="4" s="1"/>
  <c r="R1411" i="4"/>
  <c r="O1411" i="4"/>
  <c r="P1411" i="4" s="1"/>
  <c r="M1411" i="4"/>
  <c r="C1411" i="4"/>
  <c r="S1411" i="4" s="1"/>
  <c r="N1411" i="4" s="1"/>
  <c r="R1410" i="4"/>
  <c r="O1410" i="4"/>
  <c r="P1410" i="4" s="1"/>
  <c r="M1410" i="4"/>
  <c r="C1410" i="4"/>
  <c r="S1410" i="4" s="1"/>
  <c r="N1410" i="4" s="1"/>
  <c r="R1409" i="4"/>
  <c r="O1409" i="4"/>
  <c r="P1409" i="4" s="1"/>
  <c r="M1409" i="4"/>
  <c r="C1409" i="4"/>
  <c r="S1409" i="4" s="1"/>
  <c r="R1408" i="4"/>
  <c r="O1408" i="4"/>
  <c r="P1408" i="4" s="1"/>
  <c r="M1408" i="4"/>
  <c r="C1408" i="4"/>
  <c r="S1408" i="4" s="1"/>
  <c r="N1408" i="4" s="1"/>
  <c r="R1407" i="4"/>
  <c r="O1407" i="4"/>
  <c r="P1407" i="4" s="1"/>
  <c r="M1407" i="4"/>
  <c r="C1407" i="4"/>
  <c r="S1407" i="4" s="1"/>
  <c r="N1407" i="4" s="1"/>
  <c r="R1406" i="4"/>
  <c r="O1406" i="4"/>
  <c r="P1406" i="4" s="1"/>
  <c r="M1406" i="4"/>
  <c r="C1406" i="4"/>
  <c r="S1406" i="4" s="1"/>
  <c r="N1406" i="4" s="1"/>
  <c r="R1405" i="4"/>
  <c r="O1405" i="4"/>
  <c r="P1405" i="4" s="1"/>
  <c r="M1405" i="4"/>
  <c r="C1405" i="4"/>
  <c r="S1405" i="4" s="1"/>
  <c r="N1405" i="4" s="1"/>
  <c r="R1404" i="4"/>
  <c r="O1404" i="4"/>
  <c r="P1404" i="4" s="1"/>
  <c r="M1404" i="4"/>
  <c r="C1404" i="4"/>
  <c r="S1404" i="4" s="1"/>
  <c r="N1404" i="4" s="1"/>
  <c r="R1403" i="4"/>
  <c r="O1403" i="4"/>
  <c r="P1403" i="4" s="1"/>
  <c r="M1403" i="4"/>
  <c r="C1403" i="4"/>
  <c r="S1403" i="4" s="1"/>
  <c r="R1402" i="4"/>
  <c r="O1402" i="4"/>
  <c r="P1402" i="4" s="1"/>
  <c r="M1402" i="4"/>
  <c r="C1402" i="4"/>
  <c r="S1402" i="4" s="1"/>
  <c r="R1401" i="4"/>
  <c r="O1401" i="4"/>
  <c r="P1401" i="4" s="1"/>
  <c r="M1401" i="4"/>
  <c r="C1401" i="4"/>
  <c r="S1401" i="4" s="1"/>
  <c r="N1401" i="4" s="1"/>
  <c r="R1400" i="4"/>
  <c r="O1400" i="4"/>
  <c r="P1400" i="4" s="1"/>
  <c r="M1400" i="4"/>
  <c r="C1400" i="4"/>
  <c r="S1400" i="4" s="1"/>
  <c r="N1400" i="4" s="1"/>
  <c r="R1399" i="4"/>
  <c r="O1399" i="4"/>
  <c r="P1399" i="4" s="1"/>
  <c r="M1399" i="4"/>
  <c r="C1399" i="4"/>
  <c r="S1399" i="4" s="1"/>
  <c r="N1399" i="4" s="1"/>
  <c r="R1398" i="4"/>
  <c r="O1398" i="4"/>
  <c r="P1398" i="4" s="1"/>
  <c r="M1398" i="4"/>
  <c r="C1398" i="4"/>
  <c r="S1398" i="4" s="1"/>
  <c r="N1398" i="4" s="1"/>
  <c r="R1397" i="4"/>
  <c r="O1397" i="4"/>
  <c r="P1397" i="4" s="1"/>
  <c r="M1397" i="4"/>
  <c r="C1397" i="4"/>
  <c r="S1397" i="4" s="1"/>
  <c r="N1397" i="4" s="1"/>
  <c r="R1396" i="4"/>
  <c r="O1396" i="4"/>
  <c r="P1396" i="4" s="1"/>
  <c r="M1396" i="4"/>
  <c r="C1396" i="4"/>
  <c r="S1396" i="4" s="1"/>
  <c r="N1396" i="4" s="1"/>
  <c r="R1395" i="4"/>
  <c r="O1395" i="4"/>
  <c r="P1395" i="4" s="1"/>
  <c r="M1395" i="4"/>
  <c r="C1395" i="4"/>
  <c r="S1395" i="4" s="1"/>
  <c r="N1395" i="4" s="1"/>
  <c r="R1394" i="4"/>
  <c r="O1394" i="4"/>
  <c r="P1394" i="4" s="1"/>
  <c r="M1394" i="4"/>
  <c r="C1394" i="4"/>
  <c r="S1394" i="4" s="1"/>
  <c r="N1394" i="4" s="1"/>
  <c r="R1393" i="4"/>
  <c r="O1393" i="4"/>
  <c r="P1393" i="4" s="1"/>
  <c r="M1393" i="4"/>
  <c r="C1393" i="4"/>
  <c r="S1393" i="4" s="1"/>
  <c r="N1393" i="4" s="1"/>
  <c r="R1392" i="4"/>
  <c r="O1392" i="4"/>
  <c r="P1392" i="4" s="1"/>
  <c r="M1392" i="4"/>
  <c r="C1392" i="4"/>
  <c r="S1392" i="4" s="1"/>
  <c r="N1392" i="4" s="1"/>
  <c r="R1391" i="4"/>
  <c r="O1391" i="4"/>
  <c r="P1391" i="4" s="1"/>
  <c r="M1391" i="4"/>
  <c r="C1391" i="4"/>
  <c r="S1391" i="4" s="1"/>
  <c r="R1390" i="4"/>
  <c r="O1390" i="4"/>
  <c r="P1390" i="4" s="1"/>
  <c r="M1390" i="4"/>
  <c r="C1390" i="4"/>
  <c r="S1390" i="4" s="1"/>
  <c r="N1390" i="4" s="1"/>
  <c r="R1389" i="4"/>
  <c r="O1389" i="4"/>
  <c r="P1389" i="4" s="1"/>
  <c r="M1389" i="4"/>
  <c r="C1389" i="4"/>
  <c r="S1389" i="4" s="1"/>
  <c r="R1388" i="4"/>
  <c r="O1388" i="4"/>
  <c r="P1388" i="4" s="1"/>
  <c r="M1388" i="4"/>
  <c r="C1388" i="4"/>
  <c r="S1388" i="4" s="1"/>
  <c r="R1387" i="4"/>
  <c r="O1387" i="4"/>
  <c r="P1387" i="4" s="1"/>
  <c r="M1387" i="4"/>
  <c r="C1387" i="4"/>
  <c r="S1387" i="4" s="1"/>
  <c r="N1387" i="4" s="1"/>
  <c r="R1386" i="4"/>
  <c r="O1386" i="4"/>
  <c r="P1386" i="4" s="1"/>
  <c r="M1386" i="4"/>
  <c r="C1386" i="4"/>
  <c r="S1386" i="4" s="1"/>
  <c r="N1386" i="4" s="1"/>
  <c r="R1385" i="4"/>
  <c r="O1385" i="4"/>
  <c r="P1385" i="4" s="1"/>
  <c r="M1385" i="4"/>
  <c r="C1385" i="4"/>
  <c r="S1385" i="4" s="1"/>
  <c r="N1385" i="4" s="1"/>
  <c r="R1384" i="4"/>
  <c r="O1384" i="4"/>
  <c r="P1384" i="4" s="1"/>
  <c r="M1384" i="4"/>
  <c r="C1384" i="4"/>
  <c r="S1384" i="4" s="1"/>
  <c r="R1383" i="4"/>
  <c r="O1383" i="4"/>
  <c r="P1383" i="4" s="1"/>
  <c r="M1383" i="4"/>
  <c r="C1383" i="4"/>
  <c r="S1383" i="4" s="1"/>
  <c r="R1382" i="4"/>
  <c r="O1382" i="4"/>
  <c r="P1382" i="4" s="1"/>
  <c r="M1382" i="4"/>
  <c r="C1382" i="4"/>
  <c r="S1382" i="4" s="1"/>
  <c r="N1382" i="4" s="1"/>
  <c r="R1381" i="4"/>
  <c r="O1381" i="4"/>
  <c r="P1381" i="4" s="1"/>
  <c r="M1381" i="4"/>
  <c r="C1381" i="4"/>
  <c r="S1381" i="4" s="1"/>
  <c r="N1381" i="4" s="1"/>
  <c r="R1380" i="4"/>
  <c r="O1380" i="4"/>
  <c r="P1380" i="4" s="1"/>
  <c r="M1380" i="4"/>
  <c r="C1380" i="4"/>
  <c r="S1380" i="4" s="1"/>
  <c r="N1380" i="4" s="1"/>
  <c r="R1379" i="4"/>
  <c r="O1379" i="4"/>
  <c r="P1379" i="4" s="1"/>
  <c r="M1379" i="4"/>
  <c r="C1379" i="4"/>
  <c r="S1379" i="4" s="1"/>
  <c r="R1378" i="4"/>
  <c r="O1378" i="4"/>
  <c r="P1378" i="4" s="1"/>
  <c r="M1378" i="4"/>
  <c r="C1378" i="4"/>
  <c r="S1378" i="4" s="1"/>
  <c r="T1378" i="4" s="1"/>
  <c r="R1377" i="4"/>
  <c r="O1377" i="4"/>
  <c r="P1377" i="4" s="1"/>
  <c r="M1377" i="4"/>
  <c r="C1377" i="4"/>
  <c r="S1377" i="4" s="1"/>
  <c r="R1376" i="4"/>
  <c r="O1376" i="4"/>
  <c r="P1376" i="4" s="1"/>
  <c r="M1376" i="4"/>
  <c r="C1376" i="4"/>
  <c r="S1376" i="4" s="1"/>
  <c r="N1376" i="4" s="1"/>
  <c r="R1375" i="4"/>
  <c r="O1375" i="4"/>
  <c r="P1375" i="4" s="1"/>
  <c r="M1375" i="4"/>
  <c r="C1375" i="4"/>
  <c r="S1375" i="4" s="1"/>
  <c r="R1374" i="4"/>
  <c r="O1374" i="4"/>
  <c r="P1374" i="4" s="1"/>
  <c r="M1374" i="4"/>
  <c r="C1374" i="4"/>
  <c r="S1374" i="4" s="1"/>
  <c r="N1374" i="4" s="1"/>
  <c r="R1373" i="4"/>
  <c r="O1373" i="4"/>
  <c r="P1373" i="4" s="1"/>
  <c r="M1373" i="4"/>
  <c r="C1373" i="4"/>
  <c r="S1373" i="4" s="1"/>
  <c r="R1372" i="4"/>
  <c r="O1372" i="4"/>
  <c r="P1372" i="4" s="1"/>
  <c r="M1372" i="4"/>
  <c r="C1372" i="4"/>
  <c r="S1372" i="4" s="1"/>
  <c r="N1372" i="4" s="1"/>
  <c r="R1371" i="4"/>
  <c r="O1371" i="4"/>
  <c r="P1371" i="4" s="1"/>
  <c r="M1371" i="4"/>
  <c r="C1371" i="4"/>
  <c r="S1371" i="4" s="1"/>
  <c r="R1370" i="4"/>
  <c r="O1370" i="4"/>
  <c r="P1370" i="4" s="1"/>
  <c r="M1370" i="4"/>
  <c r="C1370" i="4"/>
  <c r="S1370" i="4" s="1"/>
  <c r="N1370" i="4" s="1"/>
  <c r="R1369" i="4"/>
  <c r="O1369" i="4"/>
  <c r="P1369" i="4" s="1"/>
  <c r="M1369" i="4"/>
  <c r="C1369" i="4"/>
  <c r="S1369" i="4" s="1"/>
  <c r="R1368" i="4"/>
  <c r="O1368" i="4"/>
  <c r="P1368" i="4" s="1"/>
  <c r="M1368" i="4"/>
  <c r="C1368" i="4"/>
  <c r="S1368" i="4" s="1"/>
  <c r="N1368" i="4" s="1"/>
  <c r="R1367" i="4"/>
  <c r="O1367" i="4"/>
  <c r="P1367" i="4" s="1"/>
  <c r="M1367" i="4"/>
  <c r="C1367" i="4"/>
  <c r="S1367" i="4" s="1"/>
  <c r="R1366" i="4"/>
  <c r="O1366" i="4"/>
  <c r="P1366" i="4" s="1"/>
  <c r="M1366" i="4"/>
  <c r="C1366" i="4"/>
  <c r="S1366" i="4" s="1"/>
  <c r="N1366" i="4" s="1"/>
  <c r="R1365" i="4"/>
  <c r="O1365" i="4"/>
  <c r="P1365" i="4" s="1"/>
  <c r="M1365" i="4"/>
  <c r="C1365" i="4"/>
  <c r="S1365" i="4" s="1"/>
  <c r="R1364" i="4"/>
  <c r="O1364" i="4"/>
  <c r="P1364" i="4" s="1"/>
  <c r="M1364" i="4"/>
  <c r="C1364" i="4"/>
  <c r="S1364" i="4" s="1"/>
  <c r="N1364" i="4" s="1"/>
  <c r="R1363" i="4"/>
  <c r="O1363" i="4"/>
  <c r="P1363" i="4" s="1"/>
  <c r="M1363" i="4"/>
  <c r="C1363" i="4"/>
  <c r="S1363" i="4" s="1"/>
  <c r="N1363" i="4" s="1"/>
  <c r="R1362" i="4"/>
  <c r="O1362" i="4"/>
  <c r="P1362" i="4" s="1"/>
  <c r="M1362" i="4"/>
  <c r="C1362" i="4"/>
  <c r="S1362" i="4" s="1"/>
  <c r="N1362" i="4" s="1"/>
  <c r="R1361" i="4"/>
  <c r="O1361" i="4"/>
  <c r="P1361" i="4" s="1"/>
  <c r="M1361" i="4"/>
  <c r="C1361" i="4"/>
  <c r="S1361" i="4" s="1"/>
  <c r="R1360" i="4"/>
  <c r="O1360" i="4"/>
  <c r="P1360" i="4" s="1"/>
  <c r="M1360" i="4"/>
  <c r="C1360" i="4"/>
  <c r="S1360" i="4" s="1"/>
  <c r="N1360" i="4" s="1"/>
  <c r="R1359" i="4"/>
  <c r="O1359" i="4"/>
  <c r="P1359" i="4" s="1"/>
  <c r="M1359" i="4"/>
  <c r="C1359" i="4"/>
  <c r="S1359" i="4" s="1"/>
  <c r="R1358" i="4"/>
  <c r="O1358" i="4"/>
  <c r="P1358" i="4" s="1"/>
  <c r="M1358" i="4"/>
  <c r="C1358" i="4"/>
  <c r="S1358" i="4" s="1"/>
  <c r="N1358" i="4" s="1"/>
  <c r="R1357" i="4"/>
  <c r="O1357" i="4"/>
  <c r="P1357" i="4" s="1"/>
  <c r="M1357" i="4"/>
  <c r="C1357" i="4"/>
  <c r="S1357" i="4" s="1"/>
  <c r="N1357" i="4" s="1"/>
  <c r="R1356" i="4"/>
  <c r="O1356" i="4"/>
  <c r="P1356" i="4" s="1"/>
  <c r="M1356" i="4"/>
  <c r="C1356" i="4"/>
  <c r="S1356" i="4" s="1"/>
  <c r="R1355" i="4"/>
  <c r="O1355" i="4"/>
  <c r="P1355" i="4" s="1"/>
  <c r="M1355" i="4"/>
  <c r="C1355" i="4"/>
  <c r="S1355" i="4" s="1"/>
  <c r="N1355" i="4" s="1"/>
  <c r="R1354" i="4"/>
  <c r="O1354" i="4"/>
  <c r="P1354" i="4" s="1"/>
  <c r="M1354" i="4"/>
  <c r="C1354" i="4"/>
  <c r="S1354" i="4" s="1"/>
  <c r="R1353" i="4"/>
  <c r="O1353" i="4"/>
  <c r="P1353" i="4" s="1"/>
  <c r="M1353" i="4"/>
  <c r="C1353" i="4"/>
  <c r="S1353" i="4" s="1"/>
  <c r="N1353" i="4" s="1"/>
  <c r="R1352" i="4"/>
  <c r="O1352" i="4"/>
  <c r="P1352" i="4" s="1"/>
  <c r="M1352" i="4"/>
  <c r="C1352" i="4"/>
  <c r="S1352" i="4" s="1"/>
  <c r="R1351" i="4"/>
  <c r="O1351" i="4"/>
  <c r="P1351" i="4" s="1"/>
  <c r="M1351" i="4"/>
  <c r="C1351" i="4"/>
  <c r="S1351" i="4" s="1"/>
  <c r="R1350" i="4"/>
  <c r="O1350" i="4"/>
  <c r="P1350" i="4" s="1"/>
  <c r="M1350" i="4"/>
  <c r="C1350" i="4"/>
  <c r="S1350" i="4" s="1"/>
  <c r="N1350" i="4" s="1"/>
  <c r="R1349" i="4"/>
  <c r="O1349" i="4"/>
  <c r="P1349" i="4" s="1"/>
  <c r="M1349" i="4"/>
  <c r="C1349" i="4"/>
  <c r="S1349" i="4" s="1"/>
  <c r="N1349" i="4" s="1"/>
  <c r="R1348" i="4"/>
  <c r="O1348" i="4"/>
  <c r="P1348" i="4" s="1"/>
  <c r="M1348" i="4"/>
  <c r="C1348" i="4"/>
  <c r="S1348" i="4" s="1"/>
  <c r="N1348" i="4" s="1"/>
  <c r="R1347" i="4"/>
  <c r="O1347" i="4"/>
  <c r="P1347" i="4" s="1"/>
  <c r="M1347" i="4"/>
  <c r="C1347" i="4"/>
  <c r="S1347" i="4" s="1"/>
  <c r="R1346" i="4"/>
  <c r="O1346" i="4"/>
  <c r="P1346" i="4" s="1"/>
  <c r="M1346" i="4"/>
  <c r="C1346" i="4"/>
  <c r="S1346" i="4" s="1"/>
  <c r="N1346" i="4" s="1"/>
  <c r="R1345" i="4"/>
  <c r="O1345" i="4"/>
  <c r="P1345" i="4" s="1"/>
  <c r="M1345" i="4"/>
  <c r="C1345" i="4"/>
  <c r="S1345" i="4" s="1"/>
  <c r="N1345" i="4" s="1"/>
  <c r="R1344" i="4"/>
  <c r="O1344" i="4"/>
  <c r="P1344" i="4" s="1"/>
  <c r="M1344" i="4"/>
  <c r="C1344" i="4"/>
  <c r="S1344" i="4" s="1"/>
  <c r="N1344" i="4" s="1"/>
  <c r="R1343" i="4"/>
  <c r="O1343" i="4"/>
  <c r="P1343" i="4" s="1"/>
  <c r="M1343" i="4"/>
  <c r="C1343" i="4"/>
  <c r="S1343" i="4" s="1"/>
  <c r="N1343" i="4" s="1"/>
  <c r="R1342" i="4"/>
  <c r="O1342" i="4"/>
  <c r="P1342" i="4" s="1"/>
  <c r="M1342" i="4"/>
  <c r="C1342" i="4"/>
  <c r="S1342" i="4" s="1"/>
  <c r="R1341" i="4"/>
  <c r="O1341" i="4"/>
  <c r="P1341" i="4" s="1"/>
  <c r="M1341" i="4"/>
  <c r="C1341" i="4"/>
  <c r="S1341" i="4" s="1"/>
  <c r="N1341" i="4" s="1"/>
  <c r="R1340" i="4"/>
  <c r="O1340" i="4"/>
  <c r="P1340" i="4" s="1"/>
  <c r="M1340" i="4"/>
  <c r="C1340" i="4"/>
  <c r="S1340" i="4" s="1"/>
  <c r="R1339" i="4"/>
  <c r="O1339" i="4"/>
  <c r="P1339" i="4" s="1"/>
  <c r="M1339" i="4"/>
  <c r="C1339" i="4"/>
  <c r="S1339" i="4" s="1"/>
  <c r="N1339" i="4" s="1"/>
  <c r="R1338" i="4"/>
  <c r="O1338" i="4"/>
  <c r="P1338" i="4" s="1"/>
  <c r="M1338" i="4"/>
  <c r="C1338" i="4"/>
  <c r="S1338" i="4" s="1"/>
  <c r="N1338" i="4" s="1"/>
  <c r="R1337" i="4"/>
  <c r="O1337" i="4"/>
  <c r="P1337" i="4" s="1"/>
  <c r="M1337" i="4"/>
  <c r="C1337" i="4"/>
  <c r="S1337" i="4" s="1"/>
  <c r="N1337" i="4" s="1"/>
  <c r="R1336" i="4"/>
  <c r="O1336" i="4"/>
  <c r="P1336" i="4" s="1"/>
  <c r="M1336" i="4"/>
  <c r="C1336" i="4"/>
  <c r="S1336" i="4" s="1"/>
  <c r="N1336" i="4" s="1"/>
  <c r="R1335" i="4"/>
  <c r="O1335" i="4"/>
  <c r="P1335" i="4" s="1"/>
  <c r="M1335" i="4"/>
  <c r="C1335" i="4"/>
  <c r="S1335" i="4" s="1"/>
  <c r="R1334" i="4"/>
  <c r="O1334" i="4"/>
  <c r="P1334" i="4" s="1"/>
  <c r="M1334" i="4"/>
  <c r="C1334" i="4"/>
  <c r="S1334" i="4" s="1"/>
  <c r="R1333" i="4"/>
  <c r="O1333" i="4"/>
  <c r="P1333" i="4" s="1"/>
  <c r="M1333" i="4"/>
  <c r="C1333" i="4"/>
  <c r="S1333" i="4" s="1"/>
  <c r="R1332" i="4"/>
  <c r="O1332" i="4"/>
  <c r="P1332" i="4" s="1"/>
  <c r="M1332" i="4"/>
  <c r="C1332" i="4"/>
  <c r="S1332" i="4" s="1"/>
  <c r="N1332" i="4" s="1"/>
  <c r="R1331" i="4"/>
  <c r="O1331" i="4"/>
  <c r="P1331" i="4" s="1"/>
  <c r="M1331" i="4"/>
  <c r="C1331" i="4"/>
  <c r="S1331" i="4" s="1"/>
  <c r="N1331" i="4" s="1"/>
  <c r="R1330" i="4"/>
  <c r="O1330" i="4"/>
  <c r="P1330" i="4" s="1"/>
  <c r="M1330" i="4"/>
  <c r="C1330" i="4"/>
  <c r="S1330" i="4" s="1"/>
  <c r="N1330" i="4" s="1"/>
  <c r="R1329" i="4"/>
  <c r="O1329" i="4"/>
  <c r="P1329" i="4" s="1"/>
  <c r="M1329" i="4"/>
  <c r="C1329" i="4"/>
  <c r="S1329" i="4" s="1"/>
  <c r="N1329" i="4" s="1"/>
  <c r="R1328" i="4"/>
  <c r="O1328" i="4"/>
  <c r="P1328" i="4" s="1"/>
  <c r="M1328" i="4"/>
  <c r="C1328" i="4"/>
  <c r="S1328" i="4" s="1"/>
  <c r="N1328" i="4" s="1"/>
  <c r="R1327" i="4"/>
  <c r="O1327" i="4"/>
  <c r="P1327" i="4" s="1"/>
  <c r="M1327" i="4"/>
  <c r="C1327" i="4"/>
  <c r="S1327" i="4" s="1"/>
  <c r="N1327" i="4" s="1"/>
  <c r="R1326" i="4"/>
  <c r="O1326" i="4"/>
  <c r="P1326" i="4" s="1"/>
  <c r="M1326" i="4"/>
  <c r="C1326" i="4"/>
  <c r="S1326" i="4" s="1"/>
  <c r="R1325" i="4"/>
  <c r="O1325" i="4"/>
  <c r="P1325" i="4" s="1"/>
  <c r="M1325" i="4"/>
  <c r="C1325" i="4"/>
  <c r="S1325" i="4" s="1"/>
  <c r="N1325" i="4" s="1"/>
  <c r="R1324" i="4"/>
  <c r="O1324" i="4"/>
  <c r="P1324" i="4" s="1"/>
  <c r="M1324" i="4"/>
  <c r="C1324" i="4"/>
  <c r="S1324" i="4" s="1"/>
  <c r="R1323" i="4"/>
  <c r="O1323" i="4"/>
  <c r="P1323" i="4" s="1"/>
  <c r="M1323" i="4"/>
  <c r="C1323" i="4"/>
  <c r="S1323" i="4" s="1"/>
  <c r="N1323" i="4" s="1"/>
  <c r="R1322" i="4"/>
  <c r="O1322" i="4"/>
  <c r="P1322" i="4" s="1"/>
  <c r="M1322" i="4"/>
  <c r="C1322" i="4"/>
  <c r="S1322" i="4" s="1"/>
  <c r="R1321" i="4"/>
  <c r="O1321" i="4"/>
  <c r="P1321" i="4" s="1"/>
  <c r="M1321" i="4"/>
  <c r="C1321" i="4"/>
  <c r="S1321" i="4" s="1"/>
  <c r="R1320" i="4"/>
  <c r="O1320" i="4"/>
  <c r="P1320" i="4" s="1"/>
  <c r="M1320" i="4"/>
  <c r="C1320" i="4"/>
  <c r="S1320" i="4" s="1"/>
  <c r="N1320" i="4" s="1"/>
  <c r="R1319" i="4"/>
  <c r="O1319" i="4"/>
  <c r="P1319" i="4" s="1"/>
  <c r="M1319" i="4"/>
  <c r="C1319" i="4"/>
  <c r="S1319" i="4" s="1"/>
  <c r="N1319" i="4" s="1"/>
  <c r="R1318" i="4"/>
  <c r="O1318" i="4"/>
  <c r="P1318" i="4" s="1"/>
  <c r="M1318" i="4"/>
  <c r="C1318" i="4"/>
  <c r="S1318" i="4" s="1"/>
  <c r="N1318" i="4" s="1"/>
  <c r="R1317" i="4"/>
  <c r="O1317" i="4"/>
  <c r="P1317" i="4" s="1"/>
  <c r="M1317" i="4"/>
  <c r="C1317" i="4"/>
  <c r="S1317" i="4" s="1"/>
  <c r="R1316" i="4"/>
  <c r="O1316" i="4"/>
  <c r="P1316" i="4" s="1"/>
  <c r="M1316" i="4"/>
  <c r="C1316" i="4"/>
  <c r="S1316" i="4" s="1"/>
  <c r="R1315" i="4"/>
  <c r="O1315" i="4"/>
  <c r="P1315" i="4" s="1"/>
  <c r="M1315" i="4"/>
  <c r="C1315" i="4"/>
  <c r="S1315" i="4" s="1"/>
  <c r="N1315" i="4" s="1"/>
  <c r="R1314" i="4"/>
  <c r="O1314" i="4"/>
  <c r="P1314" i="4" s="1"/>
  <c r="M1314" i="4"/>
  <c r="C1314" i="4"/>
  <c r="S1314" i="4" s="1"/>
  <c r="N1314" i="4" s="1"/>
  <c r="R1313" i="4"/>
  <c r="O1313" i="4"/>
  <c r="P1313" i="4" s="1"/>
  <c r="M1313" i="4"/>
  <c r="C1313" i="4"/>
  <c r="S1313" i="4" s="1"/>
  <c r="N1313" i="4" s="1"/>
  <c r="R1312" i="4"/>
  <c r="O1312" i="4"/>
  <c r="P1312" i="4" s="1"/>
  <c r="M1312" i="4"/>
  <c r="C1312" i="4"/>
  <c r="S1312" i="4" s="1"/>
  <c r="N1312" i="4" s="1"/>
  <c r="R1311" i="4"/>
  <c r="O1311" i="4"/>
  <c r="P1311" i="4" s="1"/>
  <c r="M1311" i="4"/>
  <c r="C1311" i="4"/>
  <c r="S1311" i="4" s="1"/>
  <c r="R1310" i="4"/>
  <c r="O1310" i="4"/>
  <c r="P1310" i="4" s="1"/>
  <c r="M1310" i="4"/>
  <c r="C1310" i="4"/>
  <c r="S1310" i="4" s="1"/>
  <c r="N1310" i="4" s="1"/>
  <c r="R1309" i="4"/>
  <c r="O1309" i="4"/>
  <c r="P1309" i="4" s="1"/>
  <c r="M1309" i="4"/>
  <c r="C1309" i="4"/>
  <c r="S1309" i="4" s="1"/>
  <c r="N1309" i="4" s="1"/>
  <c r="R1308" i="4"/>
  <c r="O1308" i="4"/>
  <c r="P1308" i="4" s="1"/>
  <c r="M1308" i="4"/>
  <c r="C1308" i="4"/>
  <c r="S1308" i="4" s="1"/>
  <c r="N1308" i="4" s="1"/>
  <c r="R1307" i="4"/>
  <c r="O1307" i="4"/>
  <c r="P1307" i="4" s="1"/>
  <c r="M1307" i="4"/>
  <c r="C1307" i="4"/>
  <c r="S1307" i="4" s="1"/>
  <c r="N1307" i="4" s="1"/>
  <c r="R1306" i="4"/>
  <c r="O1306" i="4"/>
  <c r="P1306" i="4" s="1"/>
  <c r="M1306" i="4"/>
  <c r="C1306" i="4"/>
  <c r="S1306" i="4" s="1"/>
  <c r="N1306" i="4" s="1"/>
  <c r="R1305" i="4"/>
  <c r="O1305" i="4"/>
  <c r="P1305" i="4" s="1"/>
  <c r="M1305" i="4"/>
  <c r="C1305" i="4"/>
  <c r="S1305" i="4" s="1"/>
  <c r="R1304" i="4"/>
  <c r="O1304" i="4"/>
  <c r="P1304" i="4" s="1"/>
  <c r="M1304" i="4"/>
  <c r="C1304" i="4"/>
  <c r="S1304" i="4" s="1"/>
  <c r="R1303" i="4"/>
  <c r="O1303" i="4"/>
  <c r="P1303" i="4" s="1"/>
  <c r="M1303" i="4"/>
  <c r="C1303" i="4"/>
  <c r="S1303" i="4" s="1"/>
  <c r="N1303" i="4" s="1"/>
  <c r="R1302" i="4"/>
  <c r="O1302" i="4"/>
  <c r="P1302" i="4" s="1"/>
  <c r="M1302" i="4"/>
  <c r="C1302" i="4"/>
  <c r="S1302" i="4" s="1"/>
  <c r="N1302" i="4" s="1"/>
  <c r="R1301" i="4"/>
  <c r="O1301" i="4"/>
  <c r="P1301" i="4" s="1"/>
  <c r="M1301" i="4"/>
  <c r="C1301" i="4"/>
  <c r="S1301" i="4" s="1"/>
  <c r="N1301" i="4" s="1"/>
  <c r="R1300" i="4"/>
  <c r="O1300" i="4"/>
  <c r="P1300" i="4" s="1"/>
  <c r="M1300" i="4"/>
  <c r="C1300" i="4"/>
  <c r="S1300" i="4" s="1"/>
  <c r="N1300" i="4" s="1"/>
  <c r="R1299" i="4"/>
  <c r="O1299" i="4"/>
  <c r="P1299" i="4" s="1"/>
  <c r="M1299" i="4"/>
  <c r="C1299" i="4"/>
  <c r="S1299" i="4" s="1"/>
  <c r="R1298" i="4"/>
  <c r="O1298" i="4"/>
  <c r="P1298" i="4" s="1"/>
  <c r="M1298" i="4"/>
  <c r="C1298" i="4"/>
  <c r="S1298" i="4" s="1"/>
  <c r="N1298" i="4" s="1"/>
  <c r="R1297" i="4"/>
  <c r="O1297" i="4"/>
  <c r="P1297" i="4" s="1"/>
  <c r="M1297" i="4"/>
  <c r="C1297" i="4"/>
  <c r="S1297" i="4" s="1"/>
  <c r="N1297" i="4" s="1"/>
  <c r="R1296" i="4"/>
  <c r="O1296" i="4"/>
  <c r="P1296" i="4" s="1"/>
  <c r="M1296" i="4"/>
  <c r="C1296" i="4"/>
  <c r="S1296" i="4" s="1"/>
  <c r="N1296" i="4" s="1"/>
  <c r="R1295" i="4"/>
  <c r="O1295" i="4"/>
  <c r="P1295" i="4" s="1"/>
  <c r="M1295" i="4"/>
  <c r="C1295" i="4"/>
  <c r="S1295" i="4" s="1"/>
  <c r="N1295" i="4" s="1"/>
  <c r="R1294" i="4"/>
  <c r="O1294" i="4"/>
  <c r="P1294" i="4" s="1"/>
  <c r="M1294" i="4"/>
  <c r="C1294" i="4"/>
  <c r="S1294" i="4" s="1"/>
  <c r="N1294" i="4" s="1"/>
  <c r="R1293" i="4"/>
  <c r="O1293" i="4"/>
  <c r="P1293" i="4" s="1"/>
  <c r="M1293" i="4"/>
  <c r="C1293" i="4"/>
  <c r="S1293" i="4" s="1"/>
  <c r="R1292" i="4"/>
  <c r="O1292" i="4"/>
  <c r="P1292" i="4" s="1"/>
  <c r="M1292" i="4"/>
  <c r="C1292" i="4"/>
  <c r="S1292" i="4" s="1"/>
  <c r="R1291" i="4"/>
  <c r="O1291" i="4"/>
  <c r="P1291" i="4" s="1"/>
  <c r="M1291" i="4"/>
  <c r="C1291" i="4"/>
  <c r="S1291" i="4" s="1"/>
  <c r="R1290" i="4"/>
  <c r="O1290" i="4"/>
  <c r="P1290" i="4" s="1"/>
  <c r="M1290" i="4"/>
  <c r="C1290" i="4"/>
  <c r="S1290" i="4" s="1"/>
  <c r="N1290" i="4" s="1"/>
  <c r="R1289" i="4"/>
  <c r="O1289" i="4"/>
  <c r="P1289" i="4" s="1"/>
  <c r="M1289" i="4"/>
  <c r="C1289" i="4"/>
  <c r="S1289" i="4" s="1"/>
  <c r="N1289" i="4" s="1"/>
  <c r="R1288" i="4"/>
  <c r="O1288" i="4"/>
  <c r="P1288" i="4" s="1"/>
  <c r="M1288" i="4"/>
  <c r="C1288" i="4"/>
  <c r="S1288" i="4" s="1"/>
  <c r="T1288" i="4" s="1"/>
  <c r="R1287" i="4"/>
  <c r="O1287" i="4"/>
  <c r="P1287" i="4" s="1"/>
  <c r="M1287" i="4"/>
  <c r="C1287" i="4"/>
  <c r="S1287" i="4" s="1"/>
  <c r="R1286" i="4"/>
  <c r="O1286" i="4"/>
  <c r="P1286" i="4" s="1"/>
  <c r="M1286" i="4"/>
  <c r="C1286" i="4"/>
  <c r="S1286" i="4" s="1"/>
  <c r="N1286" i="4" s="1"/>
  <c r="R1285" i="4"/>
  <c r="O1285" i="4"/>
  <c r="P1285" i="4" s="1"/>
  <c r="M1285" i="4"/>
  <c r="C1285" i="4"/>
  <c r="S1285" i="4" s="1"/>
  <c r="R1284" i="4"/>
  <c r="O1284" i="4"/>
  <c r="P1284" i="4" s="1"/>
  <c r="M1284" i="4"/>
  <c r="C1284" i="4"/>
  <c r="S1284" i="4" s="1"/>
  <c r="N1284" i="4" s="1"/>
  <c r="R1283" i="4"/>
  <c r="O1283" i="4"/>
  <c r="P1283" i="4" s="1"/>
  <c r="M1283" i="4"/>
  <c r="C1283" i="4"/>
  <c r="S1283" i="4" s="1"/>
  <c r="R1282" i="4"/>
  <c r="O1282" i="4"/>
  <c r="P1282" i="4" s="1"/>
  <c r="M1282" i="4"/>
  <c r="C1282" i="4"/>
  <c r="S1282" i="4" s="1"/>
  <c r="N1282" i="4" s="1"/>
  <c r="R1281" i="4"/>
  <c r="O1281" i="4"/>
  <c r="P1281" i="4" s="1"/>
  <c r="M1281" i="4"/>
  <c r="C1281" i="4"/>
  <c r="S1281" i="4" s="1"/>
  <c r="R1280" i="4"/>
  <c r="O1280" i="4"/>
  <c r="P1280" i="4" s="1"/>
  <c r="M1280" i="4"/>
  <c r="C1280" i="4"/>
  <c r="S1280" i="4" s="1"/>
  <c r="N1280" i="4" s="1"/>
  <c r="R1279" i="4"/>
  <c r="O1279" i="4"/>
  <c r="P1279" i="4" s="1"/>
  <c r="M1279" i="4"/>
  <c r="C1279" i="4"/>
  <c r="S1279" i="4" s="1"/>
  <c r="R1278" i="4"/>
  <c r="O1278" i="4"/>
  <c r="P1278" i="4" s="1"/>
  <c r="M1278" i="4"/>
  <c r="C1278" i="4"/>
  <c r="S1278" i="4" s="1"/>
  <c r="T1278" i="4" s="1"/>
  <c r="R1277" i="4"/>
  <c r="O1277" i="4"/>
  <c r="P1277" i="4" s="1"/>
  <c r="M1277" i="4"/>
  <c r="C1277" i="4"/>
  <c r="S1277" i="4" s="1"/>
  <c r="N1277" i="4" s="1"/>
  <c r="R1276" i="4"/>
  <c r="O1276" i="4"/>
  <c r="P1276" i="4" s="1"/>
  <c r="M1276" i="4"/>
  <c r="C1276" i="4"/>
  <c r="S1276" i="4" s="1"/>
  <c r="N1276" i="4" s="1"/>
  <c r="R1275" i="4"/>
  <c r="O1275" i="4"/>
  <c r="P1275" i="4" s="1"/>
  <c r="M1275" i="4"/>
  <c r="C1275" i="4"/>
  <c r="S1275" i="4" s="1"/>
  <c r="N1275" i="4" s="1"/>
  <c r="R1274" i="4"/>
  <c r="O1274" i="4"/>
  <c r="P1274" i="4" s="1"/>
  <c r="M1274" i="4"/>
  <c r="C1274" i="4"/>
  <c r="S1274" i="4" s="1"/>
  <c r="N1274" i="4" s="1"/>
  <c r="R1273" i="4"/>
  <c r="O1273" i="4"/>
  <c r="P1273" i="4" s="1"/>
  <c r="M1273" i="4"/>
  <c r="C1273" i="4"/>
  <c r="S1273" i="4" s="1"/>
  <c r="R1272" i="4"/>
  <c r="O1272" i="4"/>
  <c r="P1272" i="4" s="1"/>
  <c r="M1272" i="4"/>
  <c r="C1272" i="4"/>
  <c r="S1272" i="4" s="1"/>
  <c r="R1271" i="4"/>
  <c r="O1271" i="4"/>
  <c r="P1271" i="4" s="1"/>
  <c r="M1271" i="4"/>
  <c r="C1271" i="4"/>
  <c r="S1271" i="4" s="1"/>
  <c r="N1271" i="4" s="1"/>
  <c r="R1270" i="4"/>
  <c r="O1270" i="4"/>
  <c r="P1270" i="4" s="1"/>
  <c r="M1270" i="4"/>
  <c r="C1270" i="4"/>
  <c r="S1270" i="4" s="1"/>
  <c r="N1270" i="4" s="1"/>
  <c r="R1269" i="4"/>
  <c r="O1269" i="4"/>
  <c r="P1269" i="4" s="1"/>
  <c r="M1269" i="4"/>
  <c r="C1269" i="4"/>
  <c r="S1269" i="4" s="1"/>
  <c r="R1268" i="4"/>
  <c r="O1268" i="4"/>
  <c r="P1268" i="4" s="1"/>
  <c r="M1268" i="4"/>
  <c r="C1268" i="4"/>
  <c r="S1268" i="4" s="1"/>
  <c r="N1268" i="4" s="1"/>
  <c r="R1267" i="4"/>
  <c r="O1267" i="4"/>
  <c r="P1267" i="4" s="1"/>
  <c r="M1267" i="4"/>
  <c r="C1267" i="4"/>
  <c r="S1267" i="4" s="1"/>
  <c r="R1266" i="4"/>
  <c r="O1266" i="4"/>
  <c r="P1266" i="4" s="1"/>
  <c r="M1266" i="4"/>
  <c r="C1266" i="4"/>
  <c r="S1266" i="4" s="1"/>
  <c r="N1266" i="4" s="1"/>
  <c r="R1265" i="4"/>
  <c r="O1265" i="4"/>
  <c r="P1265" i="4" s="1"/>
  <c r="M1265" i="4"/>
  <c r="C1265" i="4"/>
  <c r="S1265" i="4" s="1"/>
  <c r="N1265" i="4" s="1"/>
  <c r="R1264" i="4"/>
  <c r="O1264" i="4"/>
  <c r="P1264" i="4" s="1"/>
  <c r="M1264" i="4"/>
  <c r="C1264" i="4"/>
  <c r="S1264" i="4" s="1"/>
  <c r="N1264" i="4" s="1"/>
  <c r="R1263" i="4"/>
  <c r="O1263" i="4"/>
  <c r="P1263" i="4" s="1"/>
  <c r="M1263" i="4"/>
  <c r="C1263" i="4"/>
  <c r="S1263" i="4" s="1"/>
  <c r="R1262" i="4"/>
  <c r="O1262" i="4"/>
  <c r="P1262" i="4" s="1"/>
  <c r="M1262" i="4"/>
  <c r="C1262" i="4"/>
  <c r="S1262" i="4" s="1"/>
  <c r="N1262" i="4" s="1"/>
  <c r="R1261" i="4"/>
  <c r="O1261" i="4"/>
  <c r="P1261" i="4" s="1"/>
  <c r="M1261" i="4"/>
  <c r="C1261" i="4"/>
  <c r="S1261" i="4" s="1"/>
  <c r="R1260" i="4"/>
  <c r="O1260" i="4"/>
  <c r="P1260" i="4" s="1"/>
  <c r="M1260" i="4"/>
  <c r="C1260" i="4"/>
  <c r="S1260" i="4" s="1"/>
  <c r="N1260" i="4" s="1"/>
  <c r="R1259" i="4"/>
  <c r="O1259" i="4"/>
  <c r="P1259" i="4" s="1"/>
  <c r="M1259" i="4"/>
  <c r="C1259" i="4"/>
  <c r="S1259" i="4" s="1"/>
  <c r="N1259" i="4" s="1"/>
  <c r="R1258" i="4"/>
  <c r="O1258" i="4"/>
  <c r="P1258" i="4" s="1"/>
  <c r="M1258" i="4"/>
  <c r="C1258" i="4"/>
  <c r="S1258" i="4" s="1"/>
  <c r="N1258" i="4" s="1"/>
  <c r="R1257" i="4"/>
  <c r="O1257" i="4"/>
  <c r="P1257" i="4" s="1"/>
  <c r="M1257" i="4"/>
  <c r="C1257" i="4"/>
  <c r="S1257" i="4" s="1"/>
  <c r="R1256" i="4"/>
  <c r="O1256" i="4"/>
  <c r="P1256" i="4" s="1"/>
  <c r="M1256" i="4"/>
  <c r="C1256" i="4"/>
  <c r="S1256" i="4" s="1"/>
  <c r="N1256" i="4" s="1"/>
  <c r="R1255" i="4"/>
  <c r="O1255" i="4"/>
  <c r="P1255" i="4" s="1"/>
  <c r="M1255" i="4"/>
  <c r="C1255" i="4"/>
  <c r="S1255" i="4" s="1"/>
  <c r="R1254" i="4"/>
  <c r="O1254" i="4"/>
  <c r="P1254" i="4" s="1"/>
  <c r="M1254" i="4"/>
  <c r="C1254" i="4"/>
  <c r="S1254" i="4" s="1"/>
  <c r="N1254" i="4" s="1"/>
  <c r="R1253" i="4"/>
  <c r="O1253" i="4"/>
  <c r="P1253" i="4" s="1"/>
  <c r="M1253" i="4"/>
  <c r="C1253" i="4"/>
  <c r="S1253" i="4" s="1"/>
  <c r="R1252" i="4"/>
  <c r="O1252" i="4"/>
  <c r="P1252" i="4" s="1"/>
  <c r="M1252" i="4"/>
  <c r="C1252" i="4"/>
  <c r="S1252" i="4" s="1"/>
  <c r="N1252" i="4" s="1"/>
  <c r="R1251" i="4"/>
  <c r="O1251" i="4"/>
  <c r="P1251" i="4" s="1"/>
  <c r="M1251" i="4"/>
  <c r="C1251" i="4"/>
  <c r="S1251" i="4" s="1"/>
  <c r="T1251" i="4" s="1"/>
  <c r="R1250" i="4"/>
  <c r="O1250" i="4"/>
  <c r="P1250" i="4" s="1"/>
  <c r="M1250" i="4"/>
  <c r="C1250" i="4"/>
  <c r="S1250" i="4" s="1"/>
  <c r="N1250" i="4" s="1"/>
  <c r="R1249" i="4"/>
  <c r="O1249" i="4"/>
  <c r="P1249" i="4" s="1"/>
  <c r="M1249" i="4"/>
  <c r="C1249" i="4"/>
  <c r="S1249" i="4" s="1"/>
  <c r="R1248" i="4"/>
  <c r="O1248" i="4"/>
  <c r="P1248" i="4" s="1"/>
  <c r="M1248" i="4"/>
  <c r="C1248" i="4"/>
  <c r="S1248" i="4" s="1"/>
  <c r="N1248" i="4" s="1"/>
  <c r="R1247" i="4"/>
  <c r="O1247" i="4"/>
  <c r="P1247" i="4" s="1"/>
  <c r="M1247" i="4"/>
  <c r="C1247" i="4"/>
  <c r="S1247" i="4" s="1"/>
  <c r="N1247" i="4" s="1"/>
  <c r="R1246" i="4"/>
  <c r="O1246" i="4"/>
  <c r="P1246" i="4" s="1"/>
  <c r="M1246" i="4"/>
  <c r="C1246" i="4"/>
  <c r="S1246" i="4" s="1"/>
  <c r="N1246" i="4" s="1"/>
  <c r="R1245" i="4"/>
  <c r="O1245" i="4"/>
  <c r="P1245" i="4" s="1"/>
  <c r="M1245" i="4"/>
  <c r="C1245" i="4"/>
  <c r="S1245" i="4" s="1"/>
  <c r="R1244" i="4"/>
  <c r="O1244" i="4"/>
  <c r="P1244" i="4" s="1"/>
  <c r="M1244" i="4"/>
  <c r="C1244" i="4"/>
  <c r="S1244" i="4" s="1"/>
  <c r="N1244" i="4" s="1"/>
  <c r="R1243" i="4"/>
  <c r="O1243" i="4"/>
  <c r="P1243" i="4" s="1"/>
  <c r="M1243" i="4"/>
  <c r="C1243" i="4"/>
  <c r="S1243" i="4" s="1"/>
  <c r="R1242" i="4"/>
  <c r="O1242" i="4"/>
  <c r="P1242" i="4" s="1"/>
  <c r="M1242" i="4"/>
  <c r="C1242" i="4"/>
  <c r="S1242" i="4" s="1"/>
  <c r="N1242" i="4" s="1"/>
  <c r="R1241" i="4"/>
  <c r="O1241" i="4"/>
  <c r="P1241" i="4" s="1"/>
  <c r="M1241" i="4"/>
  <c r="C1241" i="4"/>
  <c r="S1241" i="4" s="1"/>
  <c r="N1241" i="4" s="1"/>
  <c r="R1240" i="4"/>
  <c r="O1240" i="4"/>
  <c r="P1240" i="4" s="1"/>
  <c r="M1240" i="4"/>
  <c r="C1240" i="4"/>
  <c r="S1240" i="4" s="1"/>
  <c r="N1240" i="4" s="1"/>
  <c r="R1239" i="4"/>
  <c r="O1239" i="4"/>
  <c r="P1239" i="4" s="1"/>
  <c r="M1239" i="4"/>
  <c r="C1239" i="4"/>
  <c r="S1239" i="4" s="1"/>
  <c r="R1238" i="4"/>
  <c r="O1238" i="4"/>
  <c r="P1238" i="4" s="1"/>
  <c r="M1238" i="4"/>
  <c r="C1238" i="4"/>
  <c r="S1238" i="4" s="1"/>
  <c r="N1238" i="4" s="1"/>
  <c r="R1237" i="4"/>
  <c r="O1237" i="4"/>
  <c r="P1237" i="4" s="1"/>
  <c r="M1237" i="4"/>
  <c r="C1237" i="4"/>
  <c r="S1237" i="4" s="1"/>
  <c r="R1236" i="4"/>
  <c r="O1236" i="4"/>
  <c r="P1236" i="4" s="1"/>
  <c r="M1236" i="4"/>
  <c r="C1236" i="4"/>
  <c r="S1236" i="4" s="1"/>
  <c r="R1235" i="4"/>
  <c r="O1235" i="4"/>
  <c r="P1235" i="4" s="1"/>
  <c r="M1235" i="4"/>
  <c r="C1235" i="4"/>
  <c r="S1235" i="4" s="1"/>
  <c r="N1235" i="4" s="1"/>
  <c r="R1234" i="4"/>
  <c r="O1234" i="4"/>
  <c r="P1234" i="4" s="1"/>
  <c r="M1234" i="4"/>
  <c r="C1234" i="4"/>
  <c r="S1234" i="4" s="1"/>
  <c r="N1234" i="4" s="1"/>
  <c r="R1233" i="4"/>
  <c r="O1233" i="4"/>
  <c r="P1233" i="4" s="1"/>
  <c r="M1233" i="4"/>
  <c r="C1233" i="4"/>
  <c r="S1233" i="4" s="1"/>
  <c r="N1233" i="4" s="1"/>
  <c r="R1232" i="4"/>
  <c r="O1232" i="4"/>
  <c r="P1232" i="4" s="1"/>
  <c r="M1232" i="4"/>
  <c r="C1232" i="4"/>
  <c r="S1232" i="4" s="1"/>
  <c r="N1232" i="4" s="1"/>
  <c r="R1231" i="4"/>
  <c r="O1231" i="4"/>
  <c r="P1231" i="4" s="1"/>
  <c r="M1231" i="4"/>
  <c r="C1231" i="4"/>
  <c r="S1231" i="4" s="1"/>
  <c r="R1230" i="4"/>
  <c r="O1230" i="4"/>
  <c r="P1230" i="4" s="1"/>
  <c r="M1230" i="4"/>
  <c r="C1230" i="4"/>
  <c r="S1230" i="4" s="1"/>
  <c r="R1229" i="4"/>
  <c r="O1229" i="4"/>
  <c r="P1229" i="4" s="1"/>
  <c r="M1229" i="4"/>
  <c r="C1229" i="4"/>
  <c r="S1229" i="4" s="1"/>
  <c r="N1229" i="4" s="1"/>
  <c r="R1228" i="4"/>
  <c r="O1228" i="4"/>
  <c r="P1228" i="4" s="1"/>
  <c r="M1228" i="4"/>
  <c r="C1228" i="4"/>
  <c r="S1228" i="4" s="1"/>
  <c r="N1228" i="4" s="1"/>
  <c r="R1227" i="4"/>
  <c r="O1227" i="4"/>
  <c r="P1227" i="4" s="1"/>
  <c r="M1227" i="4"/>
  <c r="C1227" i="4"/>
  <c r="S1227" i="4" s="1"/>
  <c r="N1227" i="4" s="1"/>
  <c r="R1226" i="4"/>
  <c r="O1226" i="4"/>
  <c r="P1226" i="4" s="1"/>
  <c r="M1226" i="4"/>
  <c r="C1226" i="4"/>
  <c r="S1226" i="4" s="1"/>
  <c r="N1226" i="4" s="1"/>
  <c r="R1225" i="4"/>
  <c r="O1225" i="4"/>
  <c r="P1225" i="4" s="1"/>
  <c r="M1225" i="4"/>
  <c r="C1225" i="4"/>
  <c r="S1225" i="4" s="1"/>
  <c r="R1224" i="4"/>
  <c r="O1224" i="4"/>
  <c r="P1224" i="4" s="1"/>
  <c r="M1224" i="4"/>
  <c r="C1224" i="4"/>
  <c r="S1224" i="4" s="1"/>
  <c r="N1224" i="4" s="1"/>
  <c r="R1223" i="4"/>
  <c r="O1223" i="4"/>
  <c r="P1223" i="4" s="1"/>
  <c r="M1223" i="4"/>
  <c r="C1223" i="4"/>
  <c r="S1223" i="4" s="1"/>
  <c r="N1223" i="4" s="1"/>
  <c r="R1222" i="4"/>
  <c r="O1222" i="4"/>
  <c r="P1222" i="4" s="1"/>
  <c r="M1222" i="4"/>
  <c r="C1222" i="4"/>
  <c r="S1222" i="4" s="1"/>
  <c r="N1222" i="4" s="1"/>
  <c r="R1221" i="4"/>
  <c r="O1221" i="4"/>
  <c r="P1221" i="4" s="1"/>
  <c r="M1221" i="4"/>
  <c r="C1221" i="4"/>
  <c r="S1221" i="4" s="1"/>
  <c r="R1220" i="4"/>
  <c r="O1220" i="4"/>
  <c r="P1220" i="4" s="1"/>
  <c r="M1220" i="4"/>
  <c r="C1220" i="4"/>
  <c r="S1220" i="4" s="1"/>
  <c r="N1220" i="4" s="1"/>
  <c r="R1219" i="4"/>
  <c r="O1219" i="4"/>
  <c r="P1219" i="4" s="1"/>
  <c r="M1219" i="4"/>
  <c r="C1219" i="4"/>
  <c r="S1219" i="4" s="1"/>
  <c r="R1218" i="4"/>
  <c r="O1218" i="4"/>
  <c r="P1218" i="4" s="1"/>
  <c r="M1218" i="4"/>
  <c r="C1218" i="4"/>
  <c r="S1218" i="4" s="1"/>
  <c r="R1217" i="4"/>
  <c r="O1217" i="4"/>
  <c r="P1217" i="4" s="1"/>
  <c r="M1217" i="4"/>
  <c r="C1217" i="4"/>
  <c r="S1217" i="4" s="1"/>
  <c r="R1216" i="4"/>
  <c r="O1216" i="4"/>
  <c r="P1216" i="4" s="1"/>
  <c r="M1216" i="4"/>
  <c r="C1216" i="4"/>
  <c r="S1216" i="4" s="1"/>
  <c r="N1216" i="4" s="1"/>
  <c r="R1215" i="4"/>
  <c r="O1215" i="4"/>
  <c r="P1215" i="4" s="1"/>
  <c r="M1215" i="4"/>
  <c r="C1215" i="4"/>
  <c r="S1215" i="4" s="1"/>
  <c r="N1215" i="4" s="1"/>
  <c r="R1214" i="4"/>
  <c r="O1214" i="4"/>
  <c r="P1214" i="4" s="1"/>
  <c r="M1214" i="4"/>
  <c r="C1214" i="4"/>
  <c r="S1214" i="4" s="1"/>
  <c r="N1214" i="4" s="1"/>
  <c r="R1213" i="4"/>
  <c r="O1213" i="4"/>
  <c r="P1213" i="4" s="1"/>
  <c r="M1213" i="4"/>
  <c r="C1213" i="4"/>
  <c r="S1213" i="4" s="1"/>
  <c r="R1212" i="4"/>
  <c r="O1212" i="4"/>
  <c r="P1212" i="4" s="1"/>
  <c r="M1212" i="4"/>
  <c r="C1212" i="4"/>
  <c r="S1212" i="4" s="1"/>
  <c r="N1212" i="4" s="1"/>
  <c r="R1211" i="4"/>
  <c r="O1211" i="4"/>
  <c r="P1211" i="4" s="1"/>
  <c r="M1211" i="4"/>
  <c r="C1211" i="4"/>
  <c r="S1211" i="4" s="1"/>
  <c r="R1210" i="4"/>
  <c r="O1210" i="4"/>
  <c r="P1210" i="4" s="1"/>
  <c r="M1210" i="4"/>
  <c r="C1210" i="4"/>
  <c r="S1210" i="4" s="1"/>
  <c r="N1210" i="4" s="1"/>
  <c r="R1209" i="4"/>
  <c r="O1209" i="4"/>
  <c r="P1209" i="4" s="1"/>
  <c r="M1209" i="4"/>
  <c r="C1209" i="4"/>
  <c r="S1209" i="4" s="1"/>
  <c r="R1208" i="4"/>
  <c r="O1208" i="4"/>
  <c r="P1208" i="4" s="1"/>
  <c r="M1208" i="4"/>
  <c r="C1208" i="4"/>
  <c r="S1208" i="4" s="1"/>
  <c r="N1208" i="4" s="1"/>
  <c r="R1207" i="4"/>
  <c r="O1207" i="4"/>
  <c r="P1207" i="4" s="1"/>
  <c r="M1207" i="4"/>
  <c r="C1207" i="4"/>
  <c r="S1207" i="4" s="1"/>
  <c r="R1206" i="4"/>
  <c r="O1206" i="4"/>
  <c r="P1206" i="4" s="1"/>
  <c r="M1206" i="4"/>
  <c r="C1206" i="4"/>
  <c r="S1206" i="4" s="1"/>
  <c r="R1205" i="4"/>
  <c r="O1205" i="4"/>
  <c r="P1205" i="4" s="1"/>
  <c r="M1205" i="4"/>
  <c r="C1205" i="4"/>
  <c r="S1205" i="4" s="1"/>
  <c r="R1204" i="4"/>
  <c r="O1204" i="4"/>
  <c r="P1204" i="4" s="1"/>
  <c r="M1204" i="4"/>
  <c r="C1204" i="4"/>
  <c r="S1204" i="4" s="1"/>
  <c r="N1204" i="4" s="1"/>
  <c r="R1203" i="4"/>
  <c r="O1203" i="4"/>
  <c r="P1203" i="4" s="1"/>
  <c r="M1203" i="4"/>
  <c r="C1203" i="4"/>
  <c r="S1203" i="4" s="1"/>
  <c r="R1202" i="4"/>
  <c r="O1202" i="4"/>
  <c r="P1202" i="4" s="1"/>
  <c r="M1202" i="4"/>
  <c r="C1202" i="4"/>
  <c r="S1202" i="4" s="1"/>
  <c r="N1202" i="4" s="1"/>
  <c r="R1201" i="4"/>
  <c r="O1201" i="4"/>
  <c r="P1201" i="4" s="1"/>
  <c r="M1201" i="4"/>
  <c r="C1201" i="4"/>
  <c r="S1201" i="4" s="1"/>
  <c r="R1200" i="4"/>
  <c r="O1200" i="4"/>
  <c r="P1200" i="4" s="1"/>
  <c r="M1200" i="4"/>
  <c r="C1200" i="4"/>
  <c r="S1200" i="4" s="1"/>
  <c r="R1199" i="4"/>
  <c r="O1199" i="4"/>
  <c r="P1199" i="4" s="1"/>
  <c r="M1199" i="4"/>
  <c r="C1199" i="4"/>
  <c r="S1199" i="4" s="1"/>
  <c r="R1198" i="4"/>
  <c r="O1198" i="4"/>
  <c r="P1198" i="4" s="1"/>
  <c r="M1198" i="4"/>
  <c r="C1198" i="4"/>
  <c r="S1198" i="4" s="1"/>
  <c r="N1198" i="4" s="1"/>
  <c r="R1197" i="4"/>
  <c r="O1197" i="4"/>
  <c r="P1197" i="4" s="1"/>
  <c r="M1197" i="4"/>
  <c r="C1197" i="4"/>
  <c r="S1197" i="4" s="1"/>
  <c r="N1197" i="4" s="1"/>
  <c r="R1196" i="4"/>
  <c r="O1196" i="4"/>
  <c r="P1196" i="4" s="1"/>
  <c r="M1196" i="4"/>
  <c r="C1196" i="4"/>
  <c r="S1196" i="4" s="1"/>
  <c r="N1196" i="4" s="1"/>
  <c r="R1195" i="4"/>
  <c r="O1195" i="4"/>
  <c r="P1195" i="4" s="1"/>
  <c r="M1195" i="4"/>
  <c r="C1195" i="4"/>
  <c r="S1195" i="4" s="1"/>
  <c r="R1194" i="4"/>
  <c r="O1194" i="4"/>
  <c r="P1194" i="4" s="1"/>
  <c r="M1194" i="4"/>
  <c r="C1194" i="4"/>
  <c r="S1194" i="4" s="1"/>
  <c r="R1193" i="4"/>
  <c r="O1193" i="4"/>
  <c r="P1193" i="4" s="1"/>
  <c r="M1193" i="4"/>
  <c r="C1193" i="4"/>
  <c r="S1193" i="4" s="1"/>
  <c r="N1193" i="4" s="1"/>
  <c r="R1192" i="4"/>
  <c r="O1192" i="4"/>
  <c r="P1192" i="4" s="1"/>
  <c r="M1192" i="4"/>
  <c r="C1192" i="4"/>
  <c r="S1192" i="4" s="1"/>
  <c r="N1192" i="4" s="1"/>
  <c r="R1191" i="4"/>
  <c r="O1191" i="4"/>
  <c r="P1191" i="4" s="1"/>
  <c r="M1191" i="4"/>
  <c r="C1191" i="4"/>
  <c r="S1191" i="4" s="1"/>
  <c r="R1190" i="4"/>
  <c r="O1190" i="4"/>
  <c r="P1190" i="4" s="1"/>
  <c r="M1190" i="4"/>
  <c r="C1190" i="4"/>
  <c r="S1190" i="4" s="1"/>
  <c r="N1190" i="4" s="1"/>
  <c r="R1189" i="4"/>
  <c r="O1189" i="4"/>
  <c r="P1189" i="4" s="1"/>
  <c r="M1189" i="4"/>
  <c r="C1189" i="4"/>
  <c r="S1189" i="4" s="1"/>
  <c r="R1188" i="4"/>
  <c r="O1188" i="4"/>
  <c r="P1188" i="4" s="1"/>
  <c r="M1188" i="4"/>
  <c r="C1188" i="4"/>
  <c r="S1188" i="4" s="1"/>
  <c r="T1188" i="4" s="1"/>
  <c r="R1187" i="4"/>
  <c r="O1187" i="4"/>
  <c r="P1187" i="4" s="1"/>
  <c r="M1187" i="4"/>
  <c r="C1187" i="4"/>
  <c r="S1187" i="4" s="1"/>
  <c r="N1187" i="4" s="1"/>
  <c r="R1186" i="4"/>
  <c r="O1186" i="4"/>
  <c r="P1186" i="4" s="1"/>
  <c r="M1186" i="4"/>
  <c r="C1186" i="4"/>
  <c r="S1186" i="4" s="1"/>
  <c r="N1186" i="4" s="1"/>
  <c r="R1185" i="4"/>
  <c r="O1185" i="4"/>
  <c r="P1185" i="4" s="1"/>
  <c r="M1185" i="4"/>
  <c r="C1185" i="4"/>
  <c r="S1185" i="4" s="1"/>
  <c r="N1185" i="4" s="1"/>
  <c r="R1184" i="4"/>
  <c r="O1184" i="4"/>
  <c r="P1184" i="4" s="1"/>
  <c r="M1184" i="4"/>
  <c r="C1184" i="4"/>
  <c r="S1184" i="4" s="1"/>
  <c r="N1184" i="4" s="1"/>
  <c r="R1183" i="4"/>
  <c r="O1183" i="4"/>
  <c r="P1183" i="4" s="1"/>
  <c r="M1183" i="4"/>
  <c r="C1183" i="4"/>
  <c r="S1183" i="4" s="1"/>
  <c r="R1182" i="4"/>
  <c r="O1182" i="4"/>
  <c r="P1182" i="4" s="1"/>
  <c r="M1182" i="4"/>
  <c r="C1182" i="4"/>
  <c r="S1182" i="4" s="1"/>
  <c r="R1181" i="4"/>
  <c r="O1181" i="4"/>
  <c r="P1181" i="4" s="1"/>
  <c r="M1181" i="4"/>
  <c r="C1181" i="4"/>
  <c r="S1181" i="4" s="1"/>
  <c r="R1180" i="4"/>
  <c r="O1180" i="4"/>
  <c r="P1180" i="4" s="1"/>
  <c r="M1180" i="4"/>
  <c r="C1180" i="4"/>
  <c r="S1180" i="4" s="1"/>
  <c r="R1179" i="4"/>
  <c r="O1179" i="4"/>
  <c r="P1179" i="4" s="1"/>
  <c r="M1179" i="4"/>
  <c r="C1179" i="4"/>
  <c r="S1179" i="4" s="1"/>
  <c r="N1179" i="4" s="1"/>
  <c r="R1178" i="4"/>
  <c r="O1178" i="4"/>
  <c r="P1178" i="4" s="1"/>
  <c r="M1178" i="4"/>
  <c r="C1178" i="4"/>
  <c r="S1178" i="4" s="1"/>
  <c r="N1178" i="4" s="1"/>
  <c r="R1177" i="4"/>
  <c r="O1177" i="4"/>
  <c r="P1177" i="4" s="1"/>
  <c r="M1177" i="4"/>
  <c r="C1177" i="4"/>
  <c r="S1177" i="4" s="1"/>
  <c r="R1176" i="4"/>
  <c r="O1176" i="4"/>
  <c r="P1176" i="4" s="1"/>
  <c r="M1176" i="4"/>
  <c r="C1176" i="4"/>
  <c r="S1176" i="4" s="1"/>
  <c r="T1176" i="4" s="1"/>
  <c r="R1175" i="4"/>
  <c r="O1175" i="4"/>
  <c r="P1175" i="4" s="1"/>
  <c r="M1175" i="4"/>
  <c r="C1175" i="4"/>
  <c r="S1175" i="4" s="1"/>
  <c r="N1175" i="4" s="1"/>
  <c r="R1174" i="4"/>
  <c r="O1174" i="4"/>
  <c r="P1174" i="4" s="1"/>
  <c r="M1174" i="4"/>
  <c r="C1174" i="4"/>
  <c r="S1174" i="4" s="1"/>
  <c r="N1174" i="4" s="1"/>
  <c r="R1173" i="4"/>
  <c r="O1173" i="4"/>
  <c r="P1173" i="4" s="1"/>
  <c r="M1173" i="4"/>
  <c r="C1173" i="4"/>
  <c r="S1173" i="4" s="1"/>
  <c r="N1173" i="4" s="1"/>
  <c r="R1172" i="4"/>
  <c r="O1172" i="4"/>
  <c r="P1172" i="4" s="1"/>
  <c r="M1172" i="4"/>
  <c r="C1172" i="4"/>
  <c r="S1172" i="4" s="1"/>
  <c r="N1172" i="4" s="1"/>
  <c r="R1171" i="4"/>
  <c r="O1171" i="4"/>
  <c r="P1171" i="4" s="1"/>
  <c r="M1171" i="4"/>
  <c r="C1171" i="4"/>
  <c r="S1171" i="4" s="1"/>
  <c r="R1170" i="4"/>
  <c r="O1170" i="4"/>
  <c r="P1170" i="4" s="1"/>
  <c r="M1170" i="4"/>
  <c r="C1170" i="4"/>
  <c r="S1170" i="4" s="1"/>
  <c r="N1170" i="4" s="1"/>
  <c r="R1169" i="4"/>
  <c r="O1169" i="4"/>
  <c r="P1169" i="4" s="1"/>
  <c r="M1169" i="4"/>
  <c r="C1169" i="4"/>
  <c r="S1169" i="4" s="1"/>
  <c r="R1168" i="4"/>
  <c r="O1168" i="4"/>
  <c r="P1168" i="4" s="1"/>
  <c r="M1168" i="4"/>
  <c r="C1168" i="4"/>
  <c r="S1168" i="4" s="1"/>
  <c r="R1167" i="4"/>
  <c r="O1167" i="4"/>
  <c r="P1167" i="4" s="1"/>
  <c r="M1167" i="4"/>
  <c r="C1167" i="4"/>
  <c r="S1167" i="4" s="1"/>
  <c r="N1167" i="4" s="1"/>
  <c r="R1166" i="4"/>
  <c r="O1166" i="4"/>
  <c r="P1166" i="4" s="1"/>
  <c r="M1166" i="4"/>
  <c r="C1166" i="4"/>
  <c r="S1166" i="4" s="1"/>
  <c r="N1166" i="4" s="1"/>
  <c r="R1165" i="4"/>
  <c r="O1165" i="4"/>
  <c r="P1165" i="4" s="1"/>
  <c r="M1165" i="4"/>
  <c r="C1165" i="4"/>
  <c r="S1165" i="4" s="1"/>
  <c r="T1165" i="4" s="1"/>
  <c r="R1164" i="4"/>
  <c r="O1164" i="4"/>
  <c r="P1164" i="4" s="1"/>
  <c r="M1164" i="4"/>
  <c r="C1164" i="4"/>
  <c r="S1164" i="4" s="1"/>
  <c r="R1163" i="4"/>
  <c r="O1163" i="4"/>
  <c r="P1163" i="4" s="1"/>
  <c r="M1163" i="4"/>
  <c r="C1163" i="4"/>
  <c r="S1163" i="4" s="1"/>
  <c r="R1162" i="4"/>
  <c r="O1162" i="4"/>
  <c r="P1162" i="4" s="1"/>
  <c r="M1162" i="4"/>
  <c r="C1162" i="4"/>
  <c r="S1162" i="4" s="1"/>
  <c r="N1162" i="4" s="1"/>
  <c r="R1161" i="4"/>
  <c r="O1161" i="4"/>
  <c r="P1161" i="4" s="1"/>
  <c r="M1161" i="4"/>
  <c r="C1161" i="4"/>
  <c r="S1161" i="4" s="1"/>
  <c r="N1161" i="4" s="1"/>
  <c r="R1160" i="4"/>
  <c r="O1160" i="4"/>
  <c r="P1160" i="4" s="1"/>
  <c r="M1160" i="4"/>
  <c r="C1160" i="4"/>
  <c r="S1160" i="4" s="1"/>
  <c r="N1160" i="4" s="1"/>
  <c r="R1159" i="4"/>
  <c r="O1159" i="4"/>
  <c r="P1159" i="4" s="1"/>
  <c r="M1159" i="4"/>
  <c r="C1159" i="4"/>
  <c r="S1159" i="4" s="1"/>
  <c r="R1158" i="4"/>
  <c r="O1158" i="4"/>
  <c r="P1158" i="4" s="1"/>
  <c r="M1158" i="4"/>
  <c r="C1158" i="4"/>
  <c r="S1158" i="4" s="1"/>
  <c r="N1158" i="4" s="1"/>
  <c r="R1157" i="4"/>
  <c r="O1157" i="4"/>
  <c r="P1157" i="4" s="1"/>
  <c r="M1157" i="4"/>
  <c r="C1157" i="4"/>
  <c r="S1157" i="4" s="1"/>
  <c r="R1156" i="4"/>
  <c r="O1156" i="4"/>
  <c r="P1156" i="4" s="1"/>
  <c r="M1156" i="4"/>
  <c r="C1156" i="4"/>
  <c r="S1156" i="4" s="1"/>
  <c r="T1156" i="4" s="1"/>
  <c r="R1155" i="4"/>
  <c r="O1155" i="4"/>
  <c r="P1155" i="4" s="1"/>
  <c r="M1155" i="4"/>
  <c r="C1155" i="4"/>
  <c r="S1155" i="4" s="1"/>
  <c r="N1155" i="4" s="1"/>
  <c r="R1154" i="4"/>
  <c r="O1154" i="4"/>
  <c r="P1154" i="4" s="1"/>
  <c r="M1154" i="4"/>
  <c r="C1154" i="4"/>
  <c r="S1154" i="4" s="1"/>
  <c r="N1154" i="4" s="1"/>
  <c r="R1153" i="4"/>
  <c r="O1153" i="4"/>
  <c r="P1153" i="4" s="1"/>
  <c r="M1153" i="4"/>
  <c r="C1153" i="4"/>
  <c r="S1153" i="4" s="1"/>
  <c r="N1153" i="4" s="1"/>
  <c r="R1152" i="4"/>
  <c r="O1152" i="4"/>
  <c r="P1152" i="4" s="1"/>
  <c r="M1152" i="4"/>
  <c r="C1152" i="4"/>
  <c r="S1152" i="4" s="1"/>
  <c r="R1151" i="4"/>
  <c r="O1151" i="4"/>
  <c r="P1151" i="4" s="1"/>
  <c r="M1151" i="4"/>
  <c r="C1151" i="4"/>
  <c r="S1151" i="4" s="1"/>
  <c r="R1150" i="4"/>
  <c r="O1150" i="4"/>
  <c r="P1150" i="4" s="1"/>
  <c r="M1150" i="4"/>
  <c r="C1150" i="4"/>
  <c r="S1150" i="4" s="1"/>
  <c r="N1150" i="4" s="1"/>
  <c r="R1149" i="4"/>
  <c r="O1149" i="4"/>
  <c r="P1149" i="4" s="1"/>
  <c r="M1149" i="4"/>
  <c r="C1149" i="4"/>
  <c r="S1149" i="4" s="1"/>
  <c r="N1149" i="4" s="1"/>
  <c r="R1148" i="4"/>
  <c r="O1148" i="4"/>
  <c r="P1148" i="4" s="1"/>
  <c r="M1148" i="4"/>
  <c r="C1148" i="4"/>
  <c r="S1148" i="4" s="1"/>
  <c r="N1148" i="4" s="1"/>
  <c r="R1147" i="4"/>
  <c r="O1147" i="4"/>
  <c r="P1147" i="4" s="1"/>
  <c r="M1147" i="4"/>
  <c r="C1147" i="4"/>
  <c r="S1147" i="4" s="1"/>
  <c r="N1147" i="4" s="1"/>
  <c r="R1146" i="4"/>
  <c r="O1146" i="4"/>
  <c r="P1146" i="4" s="1"/>
  <c r="M1146" i="4"/>
  <c r="C1146" i="4"/>
  <c r="S1146" i="4" s="1"/>
  <c r="R1145" i="4"/>
  <c r="O1145" i="4"/>
  <c r="P1145" i="4" s="1"/>
  <c r="M1145" i="4"/>
  <c r="C1145" i="4"/>
  <c r="S1145" i="4" s="1"/>
  <c r="R1144" i="4"/>
  <c r="O1144" i="4"/>
  <c r="P1144" i="4" s="1"/>
  <c r="M1144" i="4"/>
  <c r="C1144" i="4"/>
  <c r="S1144" i="4" s="1"/>
  <c r="N1144" i="4" s="1"/>
  <c r="R1143" i="4"/>
  <c r="O1143" i="4"/>
  <c r="P1143" i="4" s="1"/>
  <c r="M1143" i="4"/>
  <c r="C1143" i="4"/>
  <c r="S1143" i="4" s="1"/>
  <c r="R1142" i="4"/>
  <c r="O1142" i="4"/>
  <c r="P1142" i="4" s="1"/>
  <c r="M1142" i="4"/>
  <c r="C1142" i="4"/>
  <c r="S1142" i="4" s="1"/>
  <c r="N1142" i="4" s="1"/>
  <c r="R1141" i="4"/>
  <c r="O1141" i="4"/>
  <c r="P1141" i="4" s="1"/>
  <c r="M1141" i="4"/>
  <c r="C1141" i="4"/>
  <c r="S1141" i="4" s="1"/>
  <c r="N1141" i="4" s="1"/>
  <c r="R1140" i="4"/>
  <c r="O1140" i="4"/>
  <c r="P1140" i="4" s="1"/>
  <c r="M1140" i="4"/>
  <c r="C1140" i="4"/>
  <c r="S1140" i="4" s="1"/>
  <c r="R1139" i="4"/>
  <c r="O1139" i="4"/>
  <c r="P1139" i="4" s="1"/>
  <c r="M1139" i="4"/>
  <c r="C1139" i="4"/>
  <c r="S1139" i="4" s="1"/>
  <c r="N1139" i="4" s="1"/>
  <c r="R1138" i="4"/>
  <c r="O1138" i="4"/>
  <c r="P1138" i="4" s="1"/>
  <c r="M1138" i="4"/>
  <c r="C1138" i="4"/>
  <c r="S1138" i="4" s="1"/>
  <c r="N1138" i="4" s="1"/>
  <c r="R1137" i="4"/>
  <c r="O1137" i="4"/>
  <c r="P1137" i="4" s="1"/>
  <c r="M1137" i="4"/>
  <c r="C1137" i="4"/>
  <c r="S1137" i="4" s="1"/>
  <c r="N1137" i="4" s="1"/>
  <c r="R1136" i="4"/>
  <c r="O1136" i="4"/>
  <c r="P1136" i="4" s="1"/>
  <c r="M1136" i="4"/>
  <c r="C1136" i="4"/>
  <c r="S1136" i="4" s="1"/>
  <c r="N1136" i="4" s="1"/>
  <c r="R1135" i="4"/>
  <c r="O1135" i="4"/>
  <c r="P1135" i="4" s="1"/>
  <c r="M1135" i="4"/>
  <c r="C1135" i="4"/>
  <c r="S1135" i="4" s="1"/>
  <c r="R1134" i="4"/>
  <c r="O1134" i="4"/>
  <c r="P1134" i="4" s="1"/>
  <c r="M1134" i="4"/>
  <c r="C1134" i="4"/>
  <c r="S1134" i="4" s="1"/>
  <c r="N1134" i="4" s="1"/>
  <c r="R1133" i="4"/>
  <c r="O1133" i="4"/>
  <c r="P1133" i="4" s="1"/>
  <c r="M1133" i="4"/>
  <c r="C1133" i="4"/>
  <c r="S1133" i="4" s="1"/>
  <c r="N1133" i="4" s="1"/>
  <c r="R1132" i="4"/>
  <c r="O1132" i="4"/>
  <c r="P1132" i="4" s="1"/>
  <c r="M1132" i="4"/>
  <c r="C1132" i="4"/>
  <c r="S1132" i="4" s="1"/>
  <c r="N1132" i="4" s="1"/>
  <c r="R1131" i="4"/>
  <c r="O1131" i="4"/>
  <c r="P1131" i="4" s="1"/>
  <c r="M1131" i="4"/>
  <c r="C1131" i="4"/>
  <c r="S1131" i="4" s="1"/>
  <c r="N1131" i="4" s="1"/>
  <c r="R1130" i="4"/>
  <c r="O1130" i="4"/>
  <c r="P1130" i="4" s="1"/>
  <c r="M1130" i="4"/>
  <c r="C1130" i="4"/>
  <c r="S1130" i="4" s="1"/>
  <c r="N1130" i="4" s="1"/>
  <c r="R1129" i="4"/>
  <c r="O1129" i="4"/>
  <c r="P1129" i="4" s="1"/>
  <c r="M1129" i="4"/>
  <c r="C1129" i="4"/>
  <c r="S1129" i="4" s="1"/>
  <c r="N1129" i="4" s="1"/>
  <c r="R1128" i="4"/>
  <c r="O1128" i="4"/>
  <c r="P1128" i="4" s="1"/>
  <c r="M1128" i="4"/>
  <c r="C1128" i="4"/>
  <c r="S1128" i="4" s="1"/>
  <c r="N1128" i="4" s="1"/>
  <c r="R1127" i="4"/>
  <c r="O1127" i="4"/>
  <c r="P1127" i="4" s="1"/>
  <c r="M1127" i="4"/>
  <c r="C1127" i="4"/>
  <c r="S1127" i="4" s="1"/>
  <c r="R1126" i="4"/>
  <c r="O1126" i="4"/>
  <c r="P1126" i="4" s="1"/>
  <c r="M1126" i="4"/>
  <c r="C1126" i="4"/>
  <c r="S1126" i="4" s="1"/>
  <c r="N1126" i="4" s="1"/>
  <c r="R1125" i="4"/>
  <c r="O1125" i="4"/>
  <c r="P1125" i="4" s="1"/>
  <c r="M1125" i="4"/>
  <c r="C1125" i="4"/>
  <c r="S1125" i="4" s="1"/>
  <c r="R1124" i="4"/>
  <c r="O1124" i="4"/>
  <c r="P1124" i="4" s="1"/>
  <c r="M1124" i="4"/>
  <c r="C1124" i="4"/>
  <c r="S1124" i="4" s="1"/>
  <c r="N1124" i="4" s="1"/>
  <c r="R1123" i="4"/>
  <c r="O1123" i="4"/>
  <c r="P1123" i="4" s="1"/>
  <c r="M1123" i="4"/>
  <c r="C1123" i="4"/>
  <c r="S1123" i="4" s="1"/>
  <c r="N1123" i="4" s="1"/>
  <c r="R1122" i="4"/>
  <c r="O1122" i="4"/>
  <c r="P1122" i="4" s="1"/>
  <c r="M1122" i="4"/>
  <c r="C1122" i="4"/>
  <c r="S1122" i="4" s="1"/>
  <c r="T1122" i="4" s="1"/>
  <c r="R1121" i="4"/>
  <c r="O1121" i="4"/>
  <c r="P1121" i="4" s="1"/>
  <c r="M1121" i="4"/>
  <c r="C1121" i="4"/>
  <c r="S1121" i="4" s="1"/>
  <c r="N1121" i="4" s="1"/>
  <c r="R1120" i="4"/>
  <c r="O1120" i="4"/>
  <c r="P1120" i="4" s="1"/>
  <c r="M1120" i="4"/>
  <c r="C1120" i="4"/>
  <c r="S1120" i="4" s="1"/>
  <c r="R1119" i="4"/>
  <c r="O1119" i="4"/>
  <c r="P1119" i="4" s="1"/>
  <c r="M1119" i="4"/>
  <c r="C1119" i="4"/>
  <c r="S1119" i="4" s="1"/>
  <c r="N1119" i="4" s="1"/>
  <c r="R1118" i="4"/>
  <c r="O1118" i="4"/>
  <c r="P1118" i="4" s="1"/>
  <c r="M1118" i="4"/>
  <c r="C1118" i="4"/>
  <c r="S1118" i="4" s="1"/>
  <c r="N1118" i="4" s="1"/>
  <c r="R1117" i="4"/>
  <c r="O1117" i="4"/>
  <c r="P1117" i="4" s="1"/>
  <c r="M1117" i="4"/>
  <c r="C1117" i="4"/>
  <c r="S1117" i="4" s="1"/>
  <c r="N1117" i="4" s="1"/>
  <c r="R1116" i="4"/>
  <c r="O1116" i="4"/>
  <c r="P1116" i="4" s="1"/>
  <c r="M1116" i="4"/>
  <c r="C1116" i="4"/>
  <c r="S1116" i="4" s="1"/>
  <c r="T1116" i="4" s="1"/>
  <c r="R1115" i="4"/>
  <c r="O1115" i="4"/>
  <c r="P1115" i="4" s="1"/>
  <c r="M1115" i="4"/>
  <c r="C1115" i="4"/>
  <c r="S1115" i="4" s="1"/>
  <c r="R1114" i="4"/>
  <c r="O1114" i="4"/>
  <c r="P1114" i="4" s="1"/>
  <c r="M1114" i="4"/>
  <c r="C1114" i="4"/>
  <c r="S1114" i="4" s="1"/>
  <c r="N1114" i="4" s="1"/>
  <c r="R1113" i="4"/>
  <c r="O1113" i="4"/>
  <c r="P1113" i="4" s="1"/>
  <c r="M1113" i="4"/>
  <c r="C1113" i="4"/>
  <c r="S1113" i="4" s="1"/>
  <c r="N1113" i="4" s="1"/>
  <c r="R1112" i="4"/>
  <c r="O1112" i="4"/>
  <c r="P1112" i="4" s="1"/>
  <c r="M1112" i="4"/>
  <c r="C1112" i="4"/>
  <c r="S1112" i="4" s="1"/>
  <c r="R1111" i="4"/>
  <c r="O1111" i="4"/>
  <c r="P1111" i="4" s="1"/>
  <c r="M1111" i="4"/>
  <c r="C1111" i="4"/>
  <c r="S1111" i="4" s="1"/>
  <c r="N1111" i="4" s="1"/>
  <c r="R1110" i="4"/>
  <c r="O1110" i="4"/>
  <c r="P1110" i="4" s="1"/>
  <c r="M1110" i="4"/>
  <c r="C1110" i="4"/>
  <c r="S1110" i="4" s="1"/>
  <c r="N1110" i="4" s="1"/>
  <c r="R1109" i="4"/>
  <c r="O1109" i="4"/>
  <c r="P1109" i="4" s="1"/>
  <c r="M1109" i="4"/>
  <c r="C1109" i="4"/>
  <c r="S1109" i="4" s="1"/>
  <c r="R1108" i="4"/>
  <c r="O1108" i="4"/>
  <c r="P1108" i="4" s="1"/>
  <c r="M1108" i="4"/>
  <c r="C1108" i="4"/>
  <c r="S1108" i="4" s="1"/>
  <c r="N1108" i="4" s="1"/>
  <c r="R1107" i="4"/>
  <c r="O1107" i="4"/>
  <c r="P1107" i="4" s="1"/>
  <c r="M1107" i="4"/>
  <c r="C1107" i="4"/>
  <c r="S1107" i="4" s="1"/>
  <c r="N1107" i="4" s="1"/>
  <c r="R1106" i="4"/>
  <c r="O1106" i="4"/>
  <c r="P1106" i="4" s="1"/>
  <c r="M1106" i="4"/>
  <c r="C1106" i="4"/>
  <c r="S1106" i="4" s="1"/>
  <c r="N1106" i="4" s="1"/>
  <c r="R1105" i="4"/>
  <c r="O1105" i="4"/>
  <c r="P1105" i="4" s="1"/>
  <c r="M1105" i="4"/>
  <c r="C1105" i="4"/>
  <c r="S1105" i="4" s="1"/>
  <c r="R1104" i="4"/>
  <c r="O1104" i="4"/>
  <c r="P1104" i="4" s="1"/>
  <c r="M1104" i="4"/>
  <c r="C1104" i="4"/>
  <c r="S1104" i="4" s="1"/>
  <c r="R1103" i="4"/>
  <c r="O1103" i="4"/>
  <c r="P1103" i="4" s="1"/>
  <c r="M1103" i="4"/>
  <c r="C1103" i="4"/>
  <c r="S1103" i="4" s="1"/>
  <c r="R1102" i="4"/>
  <c r="O1102" i="4"/>
  <c r="P1102" i="4" s="1"/>
  <c r="M1102" i="4"/>
  <c r="C1102" i="4"/>
  <c r="S1102" i="4" s="1"/>
  <c r="N1102" i="4" s="1"/>
  <c r="R1101" i="4"/>
  <c r="O1101" i="4"/>
  <c r="P1101" i="4" s="1"/>
  <c r="M1101" i="4"/>
  <c r="C1101" i="4"/>
  <c r="S1101" i="4" s="1"/>
  <c r="N1101" i="4" s="1"/>
  <c r="R1100" i="4"/>
  <c r="O1100" i="4"/>
  <c r="P1100" i="4" s="1"/>
  <c r="M1100" i="4"/>
  <c r="C1100" i="4"/>
  <c r="S1100" i="4" s="1"/>
  <c r="N1100" i="4" s="1"/>
  <c r="R1099" i="4"/>
  <c r="O1099" i="4"/>
  <c r="P1099" i="4" s="1"/>
  <c r="M1099" i="4"/>
  <c r="C1099" i="4"/>
  <c r="S1099" i="4" s="1"/>
  <c r="N1099" i="4" s="1"/>
  <c r="R1098" i="4"/>
  <c r="O1098" i="4"/>
  <c r="P1098" i="4" s="1"/>
  <c r="M1098" i="4"/>
  <c r="C1098" i="4"/>
  <c r="S1098" i="4" s="1"/>
  <c r="N1098" i="4" s="1"/>
  <c r="R1097" i="4"/>
  <c r="O1097" i="4"/>
  <c r="P1097" i="4" s="1"/>
  <c r="M1097" i="4"/>
  <c r="C1097" i="4"/>
  <c r="S1097" i="4" s="1"/>
  <c r="R1096" i="4"/>
  <c r="O1096" i="4"/>
  <c r="P1096" i="4" s="1"/>
  <c r="M1096" i="4"/>
  <c r="C1096" i="4"/>
  <c r="S1096" i="4" s="1"/>
  <c r="N1096" i="4" s="1"/>
  <c r="R1095" i="4"/>
  <c r="O1095" i="4"/>
  <c r="P1095" i="4" s="1"/>
  <c r="M1095" i="4"/>
  <c r="C1095" i="4"/>
  <c r="S1095" i="4" s="1"/>
  <c r="N1095" i="4" s="1"/>
  <c r="R1094" i="4"/>
  <c r="O1094" i="4"/>
  <c r="P1094" i="4" s="1"/>
  <c r="M1094" i="4"/>
  <c r="C1094" i="4"/>
  <c r="S1094" i="4" s="1"/>
  <c r="N1094" i="4" s="1"/>
  <c r="R1093" i="4"/>
  <c r="O1093" i="4"/>
  <c r="P1093" i="4" s="1"/>
  <c r="M1093" i="4"/>
  <c r="C1093" i="4"/>
  <c r="S1093" i="4" s="1"/>
  <c r="N1093" i="4" s="1"/>
  <c r="R1092" i="4"/>
  <c r="O1092" i="4"/>
  <c r="P1092" i="4" s="1"/>
  <c r="M1092" i="4"/>
  <c r="C1092" i="4"/>
  <c r="S1092" i="4" s="1"/>
  <c r="R1091" i="4"/>
  <c r="O1091" i="4"/>
  <c r="P1091" i="4" s="1"/>
  <c r="M1091" i="4"/>
  <c r="C1091" i="4"/>
  <c r="S1091" i="4" s="1"/>
  <c r="R1090" i="4"/>
  <c r="O1090" i="4"/>
  <c r="P1090" i="4" s="1"/>
  <c r="M1090" i="4"/>
  <c r="C1090" i="4"/>
  <c r="S1090" i="4" s="1"/>
  <c r="N1090" i="4" s="1"/>
  <c r="R1089" i="4"/>
  <c r="O1089" i="4"/>
  <c r="P1089" i="4" s="1"/>
  <c r="M1089" i="4"/>
  <c r="C1089" i="4"/>
  <c r="S1089" i="4" s="1"/>
  <c r="N1089" i="4" s="1"/>
  <c r="R1088" i="4"/>
  <c r="O1088" i="4"/>
  <c r="P1088" i="4" s="1"/>
  <c r="M1088" i="4"/>
  <c r="C1088" i="4"/>
  <c r="S1088" i="4" s="1"/>
  <c r="R1087" i="4"/>
  <c r="O1087" i="4"/>
  <c r="P1087" i="4" s="1"/>
  <c r="M1087" i="4"/>
  <c r="C1087" i="4"/>
  <c r="S1087" i="4" s="1"/>
  <c r="N1087" i="4" s="1"/>
  <c r="R1086" i="4"/>
  <c r="O1086" i="4"/>
  <c r="P1086" i="4" s="1"/>
  <c r="M1086" i="4"/>
  <c r="C1086" i="4"/>
  <c r="S1086" i="4" s="1"/>
  <c r="T1086" i="4" s="1"/>
  <c r="R1085" i="4"/>
  <c r="O1085" i="4"/>
  <c r="P1085" i="4" s="1"/>
  <c r="M1085" i="4"/>
  <c r="C1085" i="4"/>
  <c r="S1085" i="4" s="1"/>
  <c r="R1084" i="4"/>
  <c r="O1084" i="4"/>
  <c r="P1084" i="4" s="1"/>
  <c r="M1084" i="4"/>
  <c r="C1084" i="4"/>
  <c r="S1084" i="4" s="1"/>
  <c r="N1084" i="4" s="1"/>
  <c r="R1083" i="4"/>
  <c r="O1083" i="4"/>
  <c r="P1083" i="4" s="1"/>
  <c r="M1083" i="4"/>
  <c r="C1083" i="4"/>
  <c r="S1083" i="4" s="1"/>
  <c r="N1083" i="4" s="1"/>
  <c r="R1082" i="4"/>
  <c r="O1082" i="4"/>
  <c r="P1082" i="4" s="1"/>
  <c r="M1082" i="4"/>
  <c r="C1082" i="4"/>
  <c r="S1082" i="4" s="1"/>
  <c r="N1082" i="4" s="1"/>
  <c r="R1081" i="4"/>
  <c r="O1081" i="4"/>
  <c r="P1081" i="4" s="1"/>
  <c r="M1081" i="4"/>
  <c r="C1081" i="4"/>
  <c r="S1081" i="4" s="1"/>
  <c r="R1080" i="4"/>
  <c r="O1080" i="4"/>
  <c r="P1080" i="4" s="1"/>
  <c r="M1080" i="4"/>
  <c r="C1080" i="4"/>
  <c r="S1080" i="4" s="1"/>
  <c r="R1079" i="4"/>
  <c r="O1079" i="4"/>
  <c r="P1079" i="4" s="1"/>
  <c r="M1079" i="4"/>
  <c r="C1079" i="4"/>
  <c r="S1079" i="4" s="1"/>
  <c r="N1079" i="4" s="1"/>
  <c r="R1078" i="4"/>
  <c r="O1078" i="4"/>
  <c r="P1078" i="4" s="1"/>
  <c r="M1078" i="4"/>
  <c r="C1078" i="4"/>
  <c r="S1078" i="4" s="1"/>
  <c r="N1078" i="4" s="1"/>
  <c r="R1077" i="4"/>
  <c r="O1077" i="4"/>
  <c r="P1077" i="4" s="1"/>
  <c r="M1077" i="4"/>
  <c r="C1077" i="4"/>
  <c r="S1077" i="4" s="1"/>
  <c r="N1077" i="4" s="1"/>
  <c r="R1076" i="4"/>
  <c r="O1076" i="4"/>
  <c r="P1076" i="4" s="1"/>
  <c r="M1076" i="4"/>
  <c r="C1076" i="4"/>
  <c r="S1076" i="4" s="1"/>
  <c r="N1076" i="4" s="1"/>
  <c r="R1075" i="4"/>
  <c r="O1075" i="4"/>
  <c r="P1075" i="4" s="1"/>
  <c r="M1075" i="4"/>
  <c r="C1075" i="4"/>
  <c r="S1075" i="4" s="1"/>
  <c r="N1075" i="4" s="1"/>
  <c r="R1074" i="4"/>
  <c r="O1074" i="4"/>
  <c r="P1074" i="4" s="1"/>
  <c r="M1074" i="4"/>
  <c r="C1074" i="4"/>
  <c r="S1074" i="4" s="1"/>
  <c r="N1074" i="4" s="1"/>
  <c r="R1073" i="4"/>
  <c r="O1073" i="4"/>
  <c r="P1073" i="4" s="1"/>
  <c r="M1073" i="4"/>
  <c r="C1073" i="4"/>
  <c r="S1073" i="4" s="1"/>
  <c r="N1073" i="4" s="1"/>
  <c r="R1072" i="4"/>
  <c r="O1072" i="4"/>
  <c r="P1072" i="4" s="1"/>
  <c r="M1072" i="4"/>
  <c r="C1072" i="4"/>
  <c r="S1072" i="4" s="1"/>
  <c r="N1072" i="4" s="1"/>
  <c r="R1071" i="4"/>
  <c r="O1071" i="4"/>
  <c r="P1071" i="4" s="1"/>
  <c r="M1071" i="4"/>
  <c r="C1071" i="4"/>
  <c r="S1071" i="4" s="1"/>
  <c r="N1071" i="4" s="1"/>
  <c r="R1070" i="4"/>
  <c r="O1070" i="4"/>
  <c r="P1070" i="4" s="1"/>
  <c r="M1070" i="4"/>
  <c r="C1070" i="4"/>
  <c r="S1070" i="4" s="1"/>
  <c r="N1070" i="4" s="1"/>
  <c r="R1069" i="4"/>
  <c r="O1069" i="4"/>
  <c r="P1069" i="4" s="1"/>
  <c r="M1069" i="4"/>
  <c r="C1069" i="4"/>
  <c r="S1069" i="4" s="1"/>
  <c r="R1068" i="4"/>
  <c r="O1068" i="4"/>
  <c r="P1068" i="4" s="1"/>
  <c r="M1068" i="4"/>
  <c r="C1068" i="4"/>
  <c r="S1068" i="4" s="1"/>
  <c r="R1067" i="4"/>
  <c r="O1067" i="4"/>
  <c r="P1067" i="4" s="1"/>
  <c r="M1067" i="4"/>
  <c r="C1067" i="4"/>
  <c r="S1067" i="4" s="1"/>
  <c r="N1067" i="4" s="1"/>
  <c r="R1066" i="4"/>
  <c r="O1066" i="4"/>
  <c r="P1066" i="4" s="1"/>
  <c r="M1066" i="4"/>
  <c r="C1066" i="4"/>
  <c r="S1066" i="4" s="1"/>
  <c r="N1066" i="4" s="1"/>
  <c r="R1065" i="4"/>
  <c r="O1065" i="4"/>
  <c r="P1065" i="4" s="1"/>
  <c r="M1065" i="4"/>
  <c r="C1065" i="4"/>
  <c r="S1065" i="4" s="1"/>
  <c r="N1065" i="4" s="1"/>
  <c r="R1064" i="4"/>
  <c r="O1064" i="4"/>
  <c r="P1064" i="4" s="1"/>
  <c r="M1064" i="4"/>
  <c r="C1064" i="4"/>
  <c r="S1064" i="4" s="1"/>
  <c r="N1064" i="4" s="1"/>
  <c r="R1063" i="4"/>
  <c r="O1063" i="4"/>
  <c r="P1063" i="4" s="1"/>
  <c r="M1063" i="4"/>
  <c r="C1063" i="4"/>
  <c r="S1063" i="4" s="1"/>
  <c r="N1063" i="4" s="1"/>
  <c r="R1062" i="4"/>
  <c r="O1062" i="4"/>
  <c r="P1062" i="4" s="1"/>
  <c r="M1062" i="4"/>
  <c r="C1062" i="4"/>
  <c r="S1062" i="4" s="1"/>
  <c r="N1062" i="4" s="1"/>
  <c r="R1061" i="4"/>
  <c r="O1061" i="4"/>
  <c r="P1061" i="4" s="1"/>
  <c r="M1061" i="4"/>
  <c r="C1061" i="4"/>
  <c r="S1061" i="4" s="1"/>
  <c r="N1061" i="4" s="1"/>
  <c r="R1060" i="4"/>
  <c r="O1060" i="4"/>
  <c r="P1060" i="4" s="1"/>
  <c r="M1060" i="4"/>
  <c r="C1060" i="4"/>
  <c r="S1060" i="4" s="1"/>
  <c r="N1060" i="4" s="1"/>
  <c r="R1059" i="4"/>
  <c r="O1059" i="4"/>
  <c r="P1059" i="4" s="1"/>
  <c r="M1059" i="4"/>
  <c r="C1059" i="4"/>
  <c r="S1059" i="4" s="1"/>
  <c r="N1059" i="4" s="1"/>
  <c r="R1058" i="4"/>
  <c r="O1058" i="4"/>
  <c r="P1058" i="4" s="1"/>
  <c r="M1058" i="4"/>
  <c r="C1058" i="4"/>
  <c r="S1058" i="4" s="1"/>
  <c r="R1057" i="4"/>
  <c r="O1057" i="4"/>
  <c r="P1057" i="4" s="1"/>
  <c r="M1057" i="4"/>
  <c r="C1057" i="4"/>
  <c r="S1057" i="4" s="1"/>
  <c r="R1056" i="4"/>
  <c r="O1056" i="4"/>
  <c r="P1056" i="4" s="1"/>
  <c r="M1056" i="4"/>
  <c r="C1056" i="4"/>
  <c r="S1056" i="4" s="1"/>
  <c r="N1056" i="4" s="1"/>
  <c r="R1055" i="4"/>
  <c r="O1055" i="4"/>
  <c r="P1055" i="4" s="1"/>
  <c r="M1055" i="4"/>
  <c r="C1055" i="4"/>
  <c r="S1055" i="4" s="1"/>
  <c r="N1055" i="4" s="1"/>
  <c r="R1054" i="4"/>
  <c r="O1054" i="4"/>
  <c r="P1054" i="4" s="1"/>
  <c r="M1054" i="4"/>
  <c r="C1054" i="4"/>
  <c r="S1054" i="4" s="1"/>
  <c r="N1054" i="4" s="1"/>
  <c r="R1053" i="4"/>
  <c r="O1053" i="4"/>
  <c r="P1053" i="4" s="1"/>
  <c r="M1053" i="4"/>
  <c r="C1053" i="4"/>
  <c r="S1053" i="4" s="1"/>
  <c r="N1053" i="4" s="1"/>
  <c r="R1052" i="4"/>
  <c r="O1052" i="4"/>
  <c r="P1052" i="4" s="1"/>
  <c r="M1052" i="4"/>
  <c r="C1052" i="4"/>
  <c r="S1052" i="4" s="1"/>
  <c r="N1052" i="4" s="1"/>
  <c r="R1051" i="4"/>
  <c r="O1051" i="4"/>
  <c r="P1051" i="4" s="1"/>
  <c r="M1051" i="4"/>
  <c r="C1051" i="4"/>
  <c r="S1051" i="4" s="1"/>
  <c r="R1050" i="4"/>
  <c r="O1050" i="4"/>
  <c r="P1050" i="4" s="1"/>
  <c r="M1050" i="4"/>
  <c r="C1050" i="4"/>
  <c r="S1050" i="4" s="1"/>
  <c r="N1050" i="4" s="1"/>
  <c r="R1049" i="4"/>
  <c r="O1049" i="4"/>
  <c r="P1049" i="4" s="1"/>
  <c r="M1049" i="4"/>
  <c r="C1049" i="4"/>
  <c r="S1049" i="4" s="1"/>
  <c r="N1049" i="4" s="1"/>
  <c r="R1048" i="4"/>
  <c r="O1048" i="4"/>
  <c r="P1048" i="4" s="1"/>
  <c r="M1048" i="4"/>
  <c r="C1048" i="4"/>
  <c r="S1048" i="4" s="1"/>
  <c r="N1048" i="4" s="1"/>
  <c r="R1047" i="4"/>
  <c r="O1047" i="4"/>
  <c r="P1047" i="4" s="1"/>
  <c r="M1047" i="4"/>
  <c r="C1047" i="4"/>
  <c r="S1047" i="4" s="1"/>
  <c r="N1047" i="4" s="1"/>
  <c r="R1046" i="4"/>
  <c r="O1046" i="4"/>
  <c r="P1046" i="4" s="1"/>
  <c r="M1046" i="4"/>
  <c r="C1046" i="4"/>
  <c r="S1046" i="4" s="1"/>
  <c r="N1046" i="4" s="1"/>
  <c r="R1045" i="4"/>
  <c r="O1045" i="4"/>
  <c r="P1045" i="4" s="1"/>
  <c r="M1045" i="4"/>
  <c r="C1045" i="4"/>
  <c r="S1045" i="4" s="1"/>
  <c r="R1044" i="4"/>
  <c r="O1044" i="4"/>
  <c r="P1044" i="4" s="1"/>
  <c r="M1044" i="4"/>
  <c r="C1044" i="4"/>
  <c r="S1044" i="4" s="1"/>
  <c r="N1044" i="4" s="1"/>
  <c r="R1043" i="4"/>
  <c r="O1043" i="4"/>
  <c r="P1043" i="4" s="1"/>
  <c r="M1043" i="4"/>
  <c r="C1043" i="4"/>
  <c r="S1043" i="4" s="1"/>
  <c r="N1043" i="4" s="1"/>
  <c r="R1042" i="4"/>
  <c r="O1042" i="4"/>
  <c r="P1042" i="4" s="1"/>
  <c r="M1042" i="4"/>
  <c r="C1042" i="4"/>
  <c r="S1042" i="4" s="1"/>
  <c r="N1042" i="4" s="1"/>
  <c r="R1041" i="4"/>
  <c r="O1041" i="4"/>
  <c r="P1041" i="4" s="1"/>
  <c r="M1041" i="4"/>
  <c r="C1041" i="4"/>
  <c r="S1041" i="4" s="1"/>
  <c r="N1041" i="4" s="1"/>
  <c r="R1040" i="4"/>
  <c r="O1040" i="4"/>
  <c r="P1040" i="4" s="1"/>
  <c r="M1040" i="4"/>
  <c r="C1040" i="4"/>
  <c r="S1040" i="4" s="1"/>
  <c r="N1040" i="4" s="1"/>
  <c r="R1039" i="4"/>
  <c r="O1039" i="4"/>
  <c r="P1039" i="4" s="1"/>
  <c r="M1039" i="4"/>
  <c r="C1039" i="4"/>
  <c r="S1039" i="4" s="1"/>
  <c r="R1038" i="4"/>
  <c r="O1038" i="4"/>
  <c r="P1038" i="4" s="1"/>
  <c r="M1038" i="4"/>
  <c r="C1038" i="4"/>
  <c r="S1038" i="4" s="1"/>
  <c r="N1038" i="4" s="1"/>
  <c r="R1037" i="4"/>
  <c r="O1037" i="4"/>
  <c r="P1037" i="4" s="1"/>
  <c r="M1037" i="4"/>
  <c r="C1037" i="4"/>
  <c r="S1037" i="4" s="1"/>
  <c r="N1037" i="4" s="1"/>
  <c r="R1036" i="4"/>
  <c r="O1036" i="4"/>
  <c r="P1036" i="4" s="1"/>
  <c r="M1036" i="4"/>
  <c r="C1036" i="4"/>
  <c r="S1036" i="4" s="1"/>
  <c r="N1036" i="4" s="1"/>
  <c r="R1035" i="4"/>
  <c r="O1035" i="4"/>
  <c r="P1035" i="4" s="1"/>
  <c r="M1035" i="4"/>
  <c r="C1035" i="4"/>
  <c r="S1035" i="4" s="1"/>
  <c r="N1035" i="4" s="1"/>
  <c r="R1034" i="4"/>
  <c r="O1034" i="4"/>
  <c r="P1034" i="4" s="1"/>
  <c r="M1034" i="4"/>
  <c r="C1034" i="4"/>
  <c r="S1034" i="4" s="1"/>
  <c r="N1034" i="4" s="1"/>
  <c r="R1033" i="4"/>
  <c r="O1033" i="4"/>
  <c r="P1033" i="4" s="1"/>
  <c r="M1033" i="4"/>
  <c r="C1033" i="4"/>
  <c r="S1033" i="4" s="1"/>
  <c r="R1032" i="4"/>
  <c r="O1032" i="4"/>
  <c r="P1032" i="4" s="1"/>
  <c r="M1032" i="4"/>
  <c r="C1032" i="4"/>
  <c r="S1032" i="4" s="1"/>
  <c r="N1032" i="4" s="1"/>
  <c r="R1031" i="4"/>
  <c r="O1031" i="4"/>
  <c r="P1031" i="4" s="1"/>
  <c r="M1031" i="4"/>
  <c r="C1031" i="4"/>
  <c r="S1031" i="4" s="1"/>
  <c r="N1031" i="4" s="1"/>
  <c r="R1030" i="4"/>
  <c r="O1030" i="4"/>
  <c r="P1030" i="4" s="1"/>
  <c r="M1030" i="4"/>
  <c r="C1030" i="4"/>
  <c r="S1030" i="4" s="1"/>
  <c r="N1030" i="4" s="1"/>
  <c r="R1029" i="4"/>
  <c r="O1029" i="4"/>
  <c r="P1029" i="4" s="1"/>
  <c r="M1029" i="4"/>
  <c r="C1029" i="4"/>
  <c r="S1029" i="4" s="1"/>
  <c r="N1029" i="4" s="1"/>
  <c r="R1028" i="4"/>
  <c r="O1028" i="4"/>
  <c r="P1028" i="4" s="1"/>
  <c r="M1028" i="4"/>
  <c r="C1028" i="4"/>
  <c r="S1028" i="4" s="1"/>
  <c r="N1028" i="4" s="1"/>
  <c r="R1027" i="4"/>
  <c r="O1027" i="4"/>
  <c r="P1027" i="4" s="1"/>
  <c r="M1027" i="4"/>
  <c r="C1027" i="4"/>
  <c r="S1027" i="4" s="1"/>
  <c r="R1026" i="4"/>
  <c r="O1026" i="4"/>
  <c r="P1026" i="4" s="1"/>
  <c r="M1026" i="4"/>
  <c r="C1026" i="4"/>
  <c r="S1026" i="4" s="1"/>
  <c r="N1026" i="4" s="1"/>
  <c r="R1025" i="4"/>
  <c r="O1025" i="4"/>
  <c r="P1025" i="4" s="1"/>
  <c r="M1025" i="4"/>
  <c r="C1025" i="4"/>
  <c r="S1025" i="4" s="1"/>
  <c r="N1025" i="4" s="1"/>
  <c r="R1024" i="4"/>
  <c r="O1024" i="4"/>
  <c r="P1024" i="4" s="1"/>
  <c r="M1024" i="4"/>
  <c r="C1024" i="4"/>
  <c r="S1024" i="4" s="1"/>
  <c r="N1024" i="4" s="1"/>
  <c r="R1023" i="4"/>
  <c r="O1023" i="4"/>
  <c r="P1023" i="4" s="1"/>
  <c r="M1023" i="4"/>
  <c r="C1023" i="4"/>
  <c r="S1023" i="4" s="1"/>
  <c r="N1023" i="4" s="1"/>
  <c r="R1022" i="4"/>
  <c r="O1022" i="4"/>
  <c r="P1022" i="4" s="1"/>
  <c r="M1022" i="4"/>
  <c r="C1022" i="4"/>
  <c r="S1022" i="4" s="1"/>
  <c r="N1022" i="4" s="1"/>
  <c r="R1021" i="4"/>
  <c r="O1021" i="4"/>
  <c r="P1021" i="4" s="1"/>
  <c r="M1021" i="4"/>
  <c r="C1021" i="4"/>
  <c r="S1021" i="4" s="1"/>
  <c r="R1020" i="4"/>
  <c r="O1020" i="4"/>
  <c r="P1020" i="4" s="1"/>
  <c r="M1020" i="4"/>
  <c r="C1020" i="4"/>
  <c r="S1020" i="4" s="1"/>
  <c r="N1020" i="4" s="1"/>
  <c r="R1019" i="4"/>
  <c r="O1019" i="4"/>
  <c r="P1019" i="4" s="1"/>
  <c r="M1019" i="4"/>
  <c r="C1019" i="4"/>
  <c r="S1019" i="4" s="1"/>
  <c r="N1019" i="4" s="1"/>
  <c r="R1018" i="4"/>
  <c r="O1018" i="4"/>
  <c r="P1018" i="4" s="1"/>
  <c r="M1018" i="4"/>
  <c r="C1018" i="4"/>
  <c r="S1018" i="4" s="1"/>
  <c r="N1018" i="4" s="1"/>
  <c r="R1017" i="4"/>
  <c r="O1017" i="4"/>
  <c r="P1017" i="4" s="1"/>
  <c r="M1017" i="4"/>
  <c r="C1017" i="4"/>
  <c r="S1017" i="4" s="1"/>
  <c r="N1017" i="4" s="1"/>
  <c r="R1016" i="4"/>
  <c r="O1016" i="4"/>
  <c r="P1016" i="4" s="1"/>
  <c r="M1016" i="4"/>
  <c r="C1016" i="4"/>
  <c r="S1016" i="4" s="1"/>
  <c r="N1016" i="4" s="1"/>
  <c r="R1015" i="4"/>
  <c r="O1015" i="4"/>
  <c r="P1015" i="4" s="1"/>
  <c r="M1015" i="4"/>
  <c r="C1015" i="4"/>
  <c r="S1015" i="4" s="1"/>
  <c r="R1014" i="4"/>
  <c r="O1014" i="4"/>
  <c r="P1014" i="4" s="1"/>
  <c r="M1014" i="4"/>
  <c r="C1014" i="4"/>
  <c r="S1014" i="4" s="1"/>
  <c r="N1014" i="4" s="1"/>
  <c r="R1013" i="4"/>
  <c r="O1013" i="4"/>
  <c r="P1013" i="4" s="1"/>
  <c r="M1013" i="4"/>
  <c r="C1013" i="4"/>
  <c r="S1013" i="4" s="1"/>
  <c r="N1013" i="4" s="1"/>
  <c r="R1012" i="4"/>
  <c r="O1012" i="4"/>
  <c r="P1012" i="4" s="1"/>
  <c r="M1012" i="4"/>
  <c r="C1012" i="4"/>
  <c r="S1012" i="4" s="1"/>
  <c r="N1012" i="4" s="1"/>
  <c r="R1011" i="4"/>
  <c r="O1011" i="4"/>
  <c r="P1011" i="4" s="1"/>
  <c r="M1011" i="4"/>
  <c r="C1011" i="4"/>
  <c r="S1011" i="4" s="1"/>
  <c r="N1011" i="4" s="1"/>
  <c r="R1010" i="4"/>
  <c r="O1010" i="4"/>
  <c r="P1010" i="4" s="1"/>
  <c r="M1010" i="4"/>
  <c r="C1010" i="4"/>
  <c r="S1010" i="4" s="1"/>
  <c r="R1009" i="4"/>
  <c r="O1009" i="4"/>
  <c r="P1009" i="4" s="1"/>
  <c r="M1009" i="4"/>
  <c r="C1009" i="4"/>
  <c r="S1009" i="4" s="1"/>
  <c r="T1009" i="4" s="1"/>
  <c r="R1008" i="4"/>
  <c r="O1008" i="4"/>
  <c r="P1008" i="4" s="1"/>
  <c r="M1008" i="4"/>
  <c r="C1008" i="4"/>
  <c r="S1008" i="4" s="1"/>
  <c r="N1008" i="4" s="1"/>
  <c r="R1007" i="4"/>
  <c r="O1007" i="4"/>
  <c r="P1007" i="4" s="1"/>
  <c r="M1007" i="4"/>
  <c r="C1007" i="4"/>
  <c r="S1007" i="4" s="1"/>
  <c r="N1007" i="4" s="1"/>
  <c r="R1006" i="4"/>
  <c r="O1006" i="4"/>
  <c r="P1006" i="4" s="1"/>
  <c r="M1006" i="4"/>
  <c r="C1006" i="4"/>
  <c r="S1006" i="4" s="1"/>
  <c r="R1005" i="4"/>
  <c r="O1005" i="4"/>
  <c r="P1005" i="4" s="1"/>
  <c r="M1005" i="4"/>
  <c r="C1005" i="4"/>
  <c r="S1005" i="4" s="1"/>
  <c r="N1005" i="4" s="1"/>
  <c r="R1004" i="4"/>
  <c r="O1004" i="4"/>
  <c r="P1004" i="4" s="1"/>
  <c r="M1004" i="4"/>
  <c r="C1004" i="4"/>
  <c r="S1004" i="4" s="1"/>
  <c r="R1003" i="4"/>
  <c r="O1003" i="4"/>
  <c r="P1003" i="4" s="1"/>
  <c r="M1003" i="4"/>
  <c r="C1003" i="4"/>
  <c r="S1003" i="4" s="1"/>
  <c r="R1002" i="4"/>
  <c r="O1002" i="4"/>
  <c r="P1002" i="4" s="1"/>
  <c r="M1002" i="4"/>
  <c r="C1002" i="4"/>
  <c r="S1002" i="4" s="1"/>
  <c r="N1002" i="4" s="1"/>
  <c r="R1001" i="4"/>
  <c r="O1001" i="4"/>
  <c r="P1001" i="4" s="1"/>
  <c r="M1001" i="4"/>
  <c r="C1001" i="4"/>
  <c r="S1001" i="4" s="1"/>
  <c r="N1001" i="4" s="1"/>
  <c r="R1000" i="4"/>
  <c r="O1000" i="4"/>
  <c r="P1000" i="4" s="1"/>
  <c r="M1000" i="4"/>
  <c r="C1000" i="4"/>
  <c r="S1000" i="4" s="1"/>
  <c r="N1000" i="4" s="1"/>
  <c r="R999" i="4"/>
  <c r="O999" i="4"/>
  <c r="P999" i="4" s="1"/>
  <c r="M999" i="4"/>
  <c r="C999" i="4"/>
  <c r="S999" i="4" s="1"/>
  <c r="N999" i="4" s="1"/>
  <c r="R998" i="4"/>
  <c r="O998" i="4"/>
  <c r="P998" i="4" s="1"/>
  <c r="M998" i="4"/>
  <c r="C998" i="4"/>
  <c r="S998" i="4" s="1"/>
  <c r="R997" i="4"/>
  <c r="O997" i="4"/>
  <c r="P997" i="4" s="1"/>
  <c r="M997" i="4"/>
  <c r="C997" i="4"/>
  <c r="S997" i="4" s="1"/>
  <c r="N997" i="4" s="1"/>
  <c r="R996" i="4"/>
  <c r="O996" i="4"/>
  <c r="P996" i="4" s="1"/>
  <c r="M996" i="4"/>
  <c r="C996" i="4"/>
  <c r="S996" i="4" s="1"/>
  <c r="N996" i="4" s="1"/>
  <c r="R995" i="4"/>
  <c r="O995" i="4"/>
  <c r="P995" i="4" s="1"/>
  <c r="M995" i="4"/>
  <c r="C995" i="4"/>
  <c r="S995" i="4" s="1"/>
  <c r="N995" i="4" s="1"/>
  <c r="R994" i="4"/>
  <c r="O994" i="4"/>
  <c r="P994" i="4" s="1"/>
  <c r="M994" i="4"/>
  <c r="C994" i="4"/>
  <c r="S994" i="4" s="1"/>
  <c r="T994" i="4" s="1"/>
  <c r="R993" i="4"/>
  <c r="O993" i="4"/>
  <c r="P993" i="4" s="1"/>
  <c r="M993" i="4"/>
  <c r="C993" i="4"/>
  <c r="S993" i="4" s="1"/>
  <c r="R992" i="4"/>
  <c r="O992" i="4"/>
  <c r="P992" i="4" s="1"/>
  <c r="M992" i="4"/>
  <c r="C992" i="4"/>
  <c r="S992" i="4" s="1"/>
  <c r="N992" i="4" s="1"/>
  <c r="R991" i="4"/>
  <c r="O991" i="4"/>
  <c r="P991" i="4" s="1"/>
  <c r="M991" i="4"/>
  <c r="C991" i="4"/>
  <c r="S991" i="4" s="1"/>
  <c r="N991" i="4" s="1"/>
  <c r="R990" i="4"/>
  <c r="O990" i="4"/>
  <c r="P990" i="4" s="1"/>
  <c r="M990" i="4"/>
  <c r="C990" i="4"/>
  <c r="S990" i="4" s="1"/>
  <c r="N990" i="4" s="1"/>
  <c r="R989" i="4"/>
  <c r="O989" i="4"/>
  <c r="P989" i="4" s="1"/>
  <c r="M989" i="4"/>
  <c r="C989" i="4"/>
  <c r="S989" i="4" s="1"/>
  <c r="N989" i="4" s="1"/>
  <c r="R988" i="4"/>
  <c r="O988" i="4"/>
  <c r="P988" i="4" s="1"/>
  <c r="M988" i="4"/>
  <c r="C988" i="4"/>
  <c r="S988" i="4" s="1"/>
  <c r="N988" i="4" s="1"/>
  <c r="R987" i="4"/>
  <c r="O987" i="4"/>
  <c r="P987" i="4" s="1"/>
  <c r="M987" i="4"/>
  <c r="C987" i="4"/>
  <c r="S987" i="4" s="1"/>
  <c r="N987" i="4" s="1"/>
  <c r="R986" i="4"/>
  <c r="O986" i="4"/>
  <c r="P986" i="4" s="1"/>
  <c r="M986" i="4"/>
  <c r="C986" i="4"/>
  <c r="S986" i="4" s="1"/>
  <c r="N986" i="4" s="1"/>
  <c r="R985" i="4"/>
  <c r="O985" i="4"/>
  <c r="P985" i="4" s="1"/>
  <c r="M985" i="4"/>
  <c r="C985" i="4"/>
  <c r="S985" i="4" s="1"/>
  <c r="N985" i="4" s="1"/>
  <c r="R984" i="4"/>
  <c r="O984" i="4"/>
  <c r="P984" i="4" s="1"/>
  <c r="M984" i="4"/>
  <c r="C984" i="4"/>
  <c r="S984" i="4" s="1"/>
  <c r="R983" i="4"/>
  <c r="O983" i="4"/>
  <c r="P983" i="4" s="1"/>
  <c r="M983" i="4"/>
  <c r="C983" i="4"/>
  <c r="S983" i="4" s="1"/>
  <c r="T983" i="4" s="1"/>
  <c r="R982" i="4"/>
  <c r="O982" i="4"/>
  <c r="P982" i="4" s="1"/>
  <c r="M982" i="4"/>
  <c r="C982" i="4"/>
  <c r="S982" i="4" s="1"/>
  <c r="N982" i="4" s="1"/>
  <c r="R981" i="4"/>
  <c r="O981" i="4"/>
  <c r="P981" i="4" s="1"/>
  <c r="M981" i="4"/>
  <c r="C981" i="4"/>
  <c r="S981" i="4" s="1"/>
  <c r="N981" i="4" s="1"/>
  <c r="R980" i="4"/>
  <c r="O980" i="4"/>
  <c r="P980" i="4" s="1"/>
  <c r="M980" i="4"/>
  <c r="C980" i="4"/>
  <c r="S980" i="4" s="1"/>
  <c r="N980" i="4" s="1"/>
  <c r="R979" i="4"/>
  <c r="O979" i="4"/>
  <c r="P979" i="4" s="1"/>
  <c r="M979" i="4"/>
  <c r="C979" i="4"/>
  <c r="S979" i="4" s="1"/>
  <c r="N979" i="4" s="1"/>
  <c r="R978" i="4"/>
  <c r="O978" i="4"/>
  <c r="P978" i="4" s="1"/>
  <c r="M978" i="4"/>
  <c r="C978" i="4"/>
  <c r="S978" i="4" s="1"/>
  <c r="R977" i="4"/>
  <c r="O977" i="4"/>
  <c r="P977" i="4" s="1"/>
  <c r="M977" i="4"/>
  <c r="C977" i="4"/>
  <c r="S977" i="4" s="1"/>
  <c r="R976" i="4"/>
  <c r="O976" i="4"/>
  <c r="P976" i="4" s="1"/>
  <c r="M976" i="4"/>
  <c r="C976" i="4"/>
  <c r="S976" i="4" s="1"/>
  <c r="N976" i="4" s="1"/>
  <c r="R975" i="4"/>
  <c r="O975" i="4"/>
  <c r="P975" i="4" s="1"/>
  <c r="M975" i="4"/>
  <c r="C975" i="4"/>
  <c r="S975" i="4" s="1"/>
  <c r="N975" i="4" s="1"/>
  <c r="R974" i="4"/>
  <c r="O974" i="4"/>
  <c r="P974" i="4" s="1"/>
  <c r="M974" i="4"/>
  <c r="C974" i="4"/>
  <c r="S974" i="4" s="1"/>
  <c r="N974" i="4" s="1"/>
  <c r="R973" i="4"/>
  <c r="O973" i="4"/>
  <c r="P973" i="4" s="1"/>
  <c r="M973" i="4"/>
  <c r="C973" i="4"/>
  <c r="S973" i="4" s="1"/>
  <c r="N973" i="4" s="1"/>
  <c r="R972" i="4"/>
  <c r="O972" i="4"/>
  <c r="P972" i="4" s="1"/>
  <c r="M972" i="4"/>
  <c r="C972" i="4"/>
  <c r="S972" i="4" s="1"/>
  <c r="R971" i="4"/>
  <c r="O971" i="4"/>
  <c r="P971" i="4" s="1"/>
  <c r="M971" i="4"/>
  <c r="C971" i="4"/>
  <c r="S971" i="4" s="1"/>
  <c r="T971" i="4" s="1"/>
  <c r="R970" i="4"/>
  <c r="O970" i="4"/>
  <c r="P970" i="4" s="1"/>
  <c r="M970" i="4"/>
  <c r="C970" i="4"/>
  <c r="S970" i="4" s="1"/>
  <c r="N970" i="4" s="1"/>
  <c r="R969" i="4"/>
  <c r="O969" i="4"/>
  <c r="P969" i="4" s="1"/>
  <c r="M969" i="4"/>
  <c r="C969" i="4"/>
  <c r="S969" i="4" s="1"/>
  <c r="N969" i="4" s="1"/>
  <c r="R968" i="4"/>
  <c r="O968" i="4"/>
  <c r="P968" i="4" s="1"/>
  <c r="M968" i="4"/>
  <c r="C968" i="4"/>
  <c r="S968" i="4" s="1"/>
  <c r="N968" i="4" s="1"/>
  <c r="R967" i="4"/>
  <c r="O967" i="4"/>
  <c r="P967" i="4" s="1"/>
  <c r="M967" i="4"/>
  <c r="C967" i="4"/>
  <c r="S967" i="4" s="1"/>
  <c r="N967" i="4" s="1"/>
  <c r="R966" i="4"/>
  <c r="O966" i="4"/>
  <c r="P966" i="4" s="1"/>
  <c r="M966" i="4"/>
  <c r="C966" i="4"/>
  <c r="S966" i="4" s="1"/>
  <c r="R965" i="4"/>
  <c r="O965" i="4"/>
  <c r="P965" i="4" s="1"/>
  <c r="M965" i="4"/>
  <c r="C965" i="4"/>
  <c r="S965" i="4" s="1"/>
  <c r="T965" i="4" s="1"/>
  <c r="R964" i="4"/>
  <c r="O964" i="4"/>
  <c r="P964" i="4" s="1"/>
  <c r="M964" i="4"/>
  <c r="C964" i="4"/>
  <c r="S964" i="4" s="1"/>
  <c r="N964" i="4" s="1"/>
  <c r="R963" i="4"/>
  <c r="O963" i="4"/>
  <c r="P963" i="4" s="1"/>
  <c r="M963" i="4"/>
  <c r="C963" i="4"/>
  <c r="S963" i="4" s="1"/>
  <c r="R962" i="4"/>
  <c r="O962" i="4"/>
  <c r="P962" i="4" s="1"/>
  <c r="M962" i="4"/>
  <c r="C962" i="4"/>
  <c r="S962" i="4" s="1"/>
  <c r="N962" i="4" s="1"/>
  <c r="R961" i="4"/>
  <c r="O961" i="4"/>
  <c r="P961" i="4" s="1"/>
  <c r="M961" i="4"/>
  <c r="C961" i="4"/>
  <c r="S961" i="4" s="1"/>
  <c r="N961" i="4" s="1"/>
  <c r="R960" i="4"/>
  <c r="O960" i="4"/>
  <c r="P960" i="4" s="1"/>
  <c r="M960" i="4"/>
  <c r="C960" i="4"/>
  <c r="S960" i="4" s="1"/>
  <c r="R959" i="4"/>
  <c r="O959" i="4"/>
  <c r="P959" i="4" s="1"/>
  <c r="M959" i="4"/>
  <c r="C959" i="4"/>
  <c r="S959" i="4" s="1"/>
  <c r="N959" i="4" s="1"/>
  <c r="R958" i="4"/>
  <c r="O958" i="4"/>
  <c r="P958" i="4" s="1"/>
  <c r="M958" i="4"/>
  <c r="C958" i="4"/>
  <c r="S958" i="4" s="1"/>
  <c r="N958" i="4" s="1"/>
  <c r="R957" i="4"/>
  <c r="O957" i="4"/>
  <c r="P957" i="4" s="1"/>
  <c r="M957" i="4"/>
  <c r="C957" i="4"/>
  <c r="S957" i="4" s="1"/>
  <c r="R956" i="4"/>
  <c r="O956" i="4"/>
  <c r="P956" i="4" s="1"/>
  <c r="M956" i="4"/>
  <c r="C956" i="4"/>
  <c r="S956" i="4" s="1"/>
  <c r="N956" i="4" s="1"/>
  <c r="R955" i="4"/>
  <c r="O955" i="4"/>
  <c r="P955" i="4" s="1"/>
  <c r="M955" i="4"/>
  <c r="C955" i="4"/>
  <c r="S955" i="4" s="1"/>
  <c r="N955" i="4" s="1"/>
  <c r="R954" i="4"/>
  <c r="O954" i="4"/>
  <c r="P954" i="4" s="1"/>
  <c r="M954" i="4"/>
  <c r="C954" i="4"/>
  <c r="S954" i="4" s="1"/>
  <c r="R953" i="4"/>
  <c r="O953" i="4"/>
  <c r="P953" i="4" s="1"/>
  <c r="M953" i="4"/>
  <c r="C953" i="4"/>
  <c r="S953" i="4" s="1"/>
  <c r="N953" i="4" s="1"/>
  <c r="R952" i="4"/>
  <c r="O952" i="4"/>
  <c r="P952" i="4" s="1"/>
  <c r="M952" i="4"/>
  <c r="C952" i="4"/>
  <c r="S952" i="4" s="1"/>
  <c r="N952" i="4" s="1"/>
  <c r="R951" i="4"/>
  <c r="O951" i="4"/>
  <c r="P951" i="4" s="1"/>
  <c r="M951" i="4"/>
  <c r="C951" i="4"/>
  <c r="S951" i="4" s="1"/>
  <c r="R950" i="4"/>
  <c r="O950" i="4"/>
  <c r="P950" i="4" s="1"/>
  <c r="M950" i="4"/>
  <c r="C950" i="4"/>
  <c r="S950" i="4" s="1"/>
  <c r="N950" i="4" s="1"/>
  <c r="R949" i="4"/>
  <c r="O949" i="4"/>
  <c r="P949" i="4" s="1"/>
  <c r="M949" i="4"/>
  <c r="C949" i="4"/>
  <c r="S949" i="4" s="1"/>
  <c r="N949" i="4" s="1"/>
  <c r="R948" i="4"/>
  <c r="O948" i="4"/>
  <c r="P948" i="4" s="1"/>
  <c r="M948" i="4"/>
  <c r="C948" i="4"/>
  <c r="S948" i="4" s="1"/>
  <c r="N948" i="4" s="1"/>
  <c r="R947" i="4"/>
  <c r="O947" i="4"/>
  <c r="P947" i="4" s="1"/>
  <c r="M947" i="4"/>
  <c r="C947" i="4"/>
  <c r="S947" i="4" s="1"/>
  <c r="N947" i="4" s="1"/>
  <c r="R946" i="4"/>
  <c r="O946" i="4"/>
  <c r="P946" i="4" s="1"/>
  <c r="M946" i="4"/>
  <c r="C946" i="4"/>
  <c r="S946" i="4" s="1"/>
  <c r="N946" i="4" s="1"/>
  <c r="R945" i="4"/>
  <c r="O945" i="4"/>
  <c r="P945" i="4" s="1"/>
  <c r="M945" i="4"/>
  <c r="C945" i="4"/>
  <c r="S945" i="4" s="1"/>
  <c r="N945" i="4" s="1"/>
  <c r="R944" i="4"/>
  <c r="O944" i="4"/>
  <c r="P944" i="4" s="1"/>
  <c r="M944" i="4"/>
  <c r="C944" i="4"/>
  <c r="S944" i="4" s="1"/>
  <c r="N944" i="4" s="1"/>
  <c r="R943" i="4"/>
  <c r="O943" i="4"/>
  <c r="P943" i="4" s="1"/>
  <c r="M943" i="4"/>
  <c r="C943" i="4"/>
  <c r="S943" i="4" s="1"/>
  <c r="N943" i="4" s="1"/>
  <c r="R942" i="4"/>
  <c r="O942" i="4"/>
  <c r="P942" i="4" s="1"/>
  <c r="M942" i="4"/>
  <c r="C942" i="4"/>
  <c r="S942" i="4" s="1"/>
  <c r="N942" i="4" s="1"/>
  <c r="R941" i="4"/>
  <c r="O941" i="4"/>
  <c r="P941" i="4" s="1"/>
  <c r="M941" i="4"/>
  <c r="C941" i="4"/>
  <c r="S941" i="4" s="1"/>
  <c r="N941" i="4" s="1"/>
  <c r="R940" i="4"/>
  <c r="O940" i="4"/>
  <c r="P940" i="4" s="1"/>
  <c r="M940" i="4"/>
  <c r="C940" i="4"/>
  <c r="S940" i="4" s="1"/>
  <c r="R939" i="4"/>
  <c r="O939" i="4"/>
  <c r="P939" i="4" s="1"/>
  <c r="M939" i="4"/>
  <c r="C939" i="4"/>
  <c r="S939" i="4" s="1"/>
  <c r="N939" i="4" s="1"/>
  <c r="R938" i="4"/>
  <c r="O938" i="4"/>
  <c r="P938" i="4" s="1"/>
  <c r="M938" i="4"/>
  <c r="C938" i="4"/>
  <c r="S938" i="4" s="1"/>
  <c r="N938" i="4" s="1"/>
  <c r="R937" i="4"/>
  <c r="O937" i="4"/>
  <c r="P937" i="4" s="1"/>
  <c r="M937" i="4"/>
  <c r="C937" i="4"/>
  <c r="S937" i="4" s="1"/>
  <c r="R936" i="4"/>
  <c r="O936" i="4"/>
  <c r="P936" i="4" s="1"/>
  <c r="M936" i="4"/>
  <c r="C936" i="4"/>
  <c r="S936" i="4" s="1"/>
  <c r="R935" i="4"/>
  <c r="O935" i="4"/>
  <c r="P935" i="4" s="1"/>
  <c r="M935" i="4"/>
  <c r="C935" i="4"/>
  <c r="S935" i="4" s="1"/>
  <c r="N935" i="4" s="1"/>
  <c r="R934" i="4"/>
  <c r="O934" i="4"/>
  <c r="P934" i="4" s="1"/>
  <c r="M934" i="4"/>
  <c r="C934" i="4"/>
  <c r="S934" i="4" s="1"/>
  <c r="N934" i="4" s="1"/>
  <c r="R933" i="4"/>
  <c r="O933" i="4"/>
  <c r="P933" i="4" s="1"/>
  <c r="M933" i="4"/>
  <c r="C933" i="4"/>
  <c r="S933" i="4" s="1"/>
  <c r="N933" i="4" s="1"/>
  <c r="R932" i="4"/>
  <c r="O932" i="4"/>
  <c r="P932" i="4" s="1"/>
  <c r="M932" i="4"/>
  <c r="C932" i="4"/>
  <c r="S932" i="4" s="1"/>
  <c r="N932" i="4" s="1"/>
  <c r="R931" i="4"/>
  <c r="O931" i="4"/>
  <c r="P931" i="4" s="1"/>
  <c r="M931" i="4"/>
  <c r="C931" i="4"/>
  <c r="S931" i="4" s="1"/>
  <c r="N931" i="4" s="1"/>
  <c r="R930" i="4"/>
  <c r="O930" i="4"/>
  <c r="P930" i="4" s="1"/>
  <c r="M930" i="4"/>
  <c r="C930" i="4"/>
  <c r="S930" i="4" s="1"/>
  <c r="N930" i="4" s="1"/>
  <c r="R929" i="4"/>
  <c r="O929" i="4"/>
  <c r="P929" i="4" s="1"/>
  <c r="M929" i="4"/>
  <c r="C929" i="4"/>
  <c r="S929" i="4" s="1"/>
  <c r="N929" i="4" s="1"/>
  <c r="R928" i="4"/>
  <c r="O928" i="4"/>
  <c r="P928" i="4" s="1"/>
  <c r="M928" i="4"/>
  <c r="C928" i="4"/>
  <c r="S928" i="4" s="1"/>
  <c r="R927" i="4"/>
  <c r="O927" i="4"/>
  <c r="P927" i="4" s="1"/>
  <c r="M927" i="4"/>
  <c r="C927" i="4"/>
  <c r="S927" i="4" s="1"/>
  <c r="N927" i="4" s="1"/>
  <c r="R926" i="4"/>
  <c r="O926" i="4"/>
  <c r="P926" i="4" s="1"/>
  <c r="M926" i="4"/>
  <c r="C926" i="4"/>
  <c r="S926" i="4" s="1"/>
  <c r="N926" i="4" s="1"/>
  <c r="R925" i="4"/>
  <c r="O925" i="4"/>
  <c r="P925" i="4" s="1"/>
  <c r="M925" i="4"/>
  <c r="C925" i="4"/>
  <c r="S925" i="4" s="1"/>
  <c r="R924" i="4"/>
  <c r="O924" i="4"/>
  <c r="P924" i="4" s="1"/>
  <c r="M924" i="4"/>
  <c r="C924" i="4"/>
  <c r="S924" i="4" s="1"/>
  <c r="R923" i="4"/>
  <c r="O923" i="4"/>
  <c r="P923" i="4" s="1"/>
  <c r="M923" i="4"/>
  <c r="C923" i="4"/>
  <c r="S923" i="4" s="1"/>
  <c r="N923" i="4" s="1"/>
  <c r="R922" i="4"/>
  <c r="O922" i="4"/>
  <c r="P922" i="4" s="1"/>
  <c r="M922" i="4"/>
  <c r="C922" i="4"/>
  <c r="S922" i="4" s="1"/>
  <c r="N922" i="4" s="1"/>
  <c r="R921" i="4"/>
  <c r="O921" i="4"/>
  <c r="P921" i="4" s="1"/>
  <c r="M921" i="4"/>
  <c r="C921" i="4"/>
  <c r="S921" i="4" s="1"/>
  <c r="N921" i="4" s="1"/>
  <c r="R920" i="4"/>
  <c r="O920" i="4"/>
  <c r="P920" i="4" s="1"/>
  <c r="M920" i="4"/>
  <c r="C920" i="4"/>
  <c r="S920" i="4" s="1"/>
  <c r="N920" i="4" s="1"/>
  <c r="R919" i="4"/>
  <c r="O919" i="4"/>
  <c r="P919" i="4" s="1"/>
  <c r="M919" i="4"/>
  <c r="C919" i="4"/>
  <c r="S919" i="4" s="1"/>
  <c r="N919" i="4" s="1"/>
  <c r="R918" i="4"/>
  <c r="O918" i="4"/>
  <c r="P918" i="4" s="1"/>
  <c r="M918" i="4"/>
  <c r="C918" i="4"/>
  <c r="S918" i="4" s="1"/>
  <c r="N918" i="4" s="1"/>
  <c r="R917" i="4"/>
  <c r="O917" i="4"/>
  <c r="P917" i="4" s="1"/>
  <c r="M917" i="4"/>
  <c r="C917" i="4"/>
  <c r="S917" i="4" s="1"/>
  <c r="N917" i="4" s="1"/>
  <c r="R916" i="4"/>
  <c r="O916" i="4"/>
  <c r="P916" i="4" s="1"/>
  <c r="M916" i="4"/>
  <c r="C916" i="4"/>
  <c r="S916" i="4" s="1"/>
  <c r="N916" i="4" s="1"/>
  <c r="R915" i="4"/>
  <c r="O915" i="4"/>
  <c r="P915" i="4" s="1"/>
  <c r="M915" i="4"/>
  <c r="C915" i="4"/>
  <c r="S915" i="4" s="1"/>
  <c r="R914" i="4"/>
  <c r="O914" i="4"/>
  <c r="P914" i="4" s="1"/>
  <c r="M914" i="4"/>
  <c r="C914" i="4"/>
  <c r="S914" i="4" s="1"/>
  <c r="N914" i="4" s="1"/>
  <c r="R913" i="4"/>
  <c r="O913" i="4"/>
  <c r="P913" i="4" s="1"/>
  <c r="M913" i="4"/>
  <c r="C913" i="4"/>
  <c r="S913" i="4" s="1"/>
  <c r="R912" i="4"/>
  <c r="O912" i="4"/>
  <c r="P912" i="4" s="1"/>
  <c r="M912" i="4"/>
  <c r="C912" i="4"/>
  <c r="S912" i="4" s="1"/>
  <c r="N912" i="4" s="1"/>
  <c r="R911" i="4"/>
  <c r="O911" i="4"/>
  <c r="P911" i="4" s="1"/>
  <c r="M911" i="4"/>
  <c r="C911" i="4"/>
  <c r="S911" i="4" s="1"/>
  <c r="N911" i="4" s="1"/>
  <c r="R910" i="4"/>
  <c r="O910" i="4"/>
  <c r="P910" i="4" s="1"/>
  <c r="M910" i="4"/>
  <c r="C910" i="4"/>
  <c r="S910" i="4" s="1"/>
  <c r="N910" i="4" s="1"/>
  <c r="R909" i="4"/>
  <c r="O909" i="4"/>
  <c r="P909" i="4" s="1"/>
  <c r="M909" i="4"/>
  <c r="C909" i="4"/>
  <c r="S909" i="4" s="1"/>
  <c r="N909" i="4" s="1"/>
  <c r="R908" i="4"/>
  <c r="O908" i="4"/>
  <c r="P908" i="4" s="1"/>
  <c r="M908" i="4"/>
  <c r="C908" i="4"/>
  <c r="S908" i="4" s="1"/>
  <c r="N908" i="4" s="1"/>
  <c r="R907" i="4"/>
  <c r="O907" i="4"/>
  <c r="P907" i="4" s="1"/>
  <c r="M907" i="4"/>
  <c r="C907" i="4"/>
  <c r="S907" i="4" s="1"/>
  <c r="T907" i="4" s="1"/>
  <c r="R906" i="4"/>
  <c r="O906" i="4"/>
  <c r="P906" i="4" s="1"/>
  <c r="M906" i="4"/>
  <c r="C906" i="4"/>
  <c r="S906" i="4" s="1"/>
  <c r="N906" i="4" s="1"/>
  <c r="R905" i="4"/>
  <c r="O905" i="4"/>
  <c r="P905" i="4" s="1"/>
  <c r="M905" i="4"/>
  <c r="C905" i="4"/>
  <c r="S905" i="4" s="1"/>
  <c r="N905" i="4" s="1"/>
  <c r="R904" i="4"/>
  <c r="O904" i="4"/>
  <c r="P904" i="4" s="1"/>
  <c r="M904" i="4"/>
  <c r="C904" i="4"/>
  <c r="S904" i="4" s="1"/>
  <c r="N904" i="4" s="1"/>
  <c r="R903" i="4"/>
  <c r="O903" i="4"/>
  <c r="P903" i="4" s="1"/>
  <c r="M903" i="4"/>
  <c r="C903" i="4"/>
  <c r="S903" i="4" s="1"/>
  <c r="R902" i="4"/>
  <c r="O902" i="4"/>
  <c r="P902" i="4" s="1"/>
  <c r="M902" i="4"/>
  <c r="C902" i="4"/>
  <c r="S902" i="4" s="1"/>
  <c r="N902" i="4" s="1"/>
  <c r="R901" i="4"/>
  <c r="O901" i="4"/>
  <c r="P901" i="4" s="1"/>
  <c r="M901" i="4"/>
  <c r="C901" i="4"/>
  <c r="S901" i="4" s="1"/>
  <c r="T901" i="4" s="1"/>
  <c r="R900" i="4"/>
  <c r="O900" i="4"/>
  <c r="P900" i="4" s="1"/>
  <c r="M900" i="4"/>
  <c r="C900" i="4"/>
  <c r="S900" i="4" s="1"/>
  <c r="N900" i="4" s="1"/>
  <c r="R899" i="4"/>
  <c r="O899" i="4"/>
  <c r="P899" i="4" s="1"/>
  <c r="M899" i="4"/>
  <c r="C899" i="4"/>
  <c r="S899" i="4" s="1"/>
  <c r="R898" i="4"/>
  <c r="O898" i="4"/>
  <c r="P898" i="4" s="1"/>
  <c r="M898" i="4"/>
  <c r="C898" i="4"/>
  <c r="S898" i="4" s="1"/>
  <c r="N898" i="4" s="1"/>
  <c r="R897" i="4"/>
  <c r="O897" i="4"/>
  <c r="P897" i="4" s="1"/>
  <c r="M897" i="4"/>
  <c r="C897" i="4"/>
  <c r="S897" i="4" s="1"/>
  <c r="N897" i="4" s="1"/>
  <c r="R896" i="4"/>
  <c r="O896" i="4"/>
  <c r="P896" i="4" s="1"/>
  <c r="M896" i="4"/>
  <c r="C896" i="4"/>
  <c r="S896" i="4" s="1"/>
  <c r="N896" i="4" s="1"/>
  <c r="R895" i="4"/>
  <c r="O895" i="4"/>
  <c r="P895" i="4" s="1"/>
  <c r="M895" i="4"/>
  <c r="C895" i="4"/>
  <c r="S895" i="4" s="1"/>
  <c r="R894" i="4"/>
  <c r="O894" i="4"/>
  <c r="P894" i="4" s="1"/>
  <c r="M894" i="4"/>
  <c r="C894" i="4"/>
  <c r="S894" i="4" s="1"/>
  <c r="N894" i="4" s="1"/>
  <c r="R893" i="4"/>
  <c r="O893" i="4"/>
  <c r="P893" i="4" s="1"/>
  <c r="M893" i="4"/>
  <c r="C893" i="4"/>
  <c r="S893" i="4" s="1"/>
  <c r="N893" i="4" s="1"/>
  <c r="R892" i="4"/>
  <c r="O892" i="4"/>
  <c r="P892" i="4" s="1"/>
  <c r="M892" i="4"/>
  <c r="C892" i="4"/>
  <c r="S892" i="4" s="1"/>
  <c r="R891" i="4"/>
  <c r="O891" i="4"/>
  <c r="P891" i="4" s="1"/>
  <c r="M891" i="4"/>
  <c r="C891" i="4"/>
  <c r="S891" i="4" s="1"/>
  <c r="R890" i="4"/>
  <c r="O890" i="4"/>
  <c r="P890" i="4" s="1"/>
  <c r="M890" i="4"/>
  <c r="C890" i="4"/>
  <c r="S890" i="4" s="1"/>
  <c r="N890" i="4" s="1"/>
  <c r="R889" i="4"/>
  <c r="O889" i="4"/>
  <c r="P889" i="4" s="1"/>
  <c r="M889" i="4"/>
  <c r="C889" i="4"/>
  <c r="S889" i="4" s="1"/>
  <c r="R888" i="4"/>
  <c r="O888" i="4"/>
  <c r="P888" i="4" s="1"/>
  <c r="M888" i="4"/>
  <c r="C888" i="4"/>
  <c r="S888" i="4" s="1"/>
  <c r="N888" i="4" s="1"/>
  <c r="R887" i="4"/>
  <c r="O887" i="4"/>
  <c r="P887" i="4" s="1"/>
  <c r="M887" i="4"/>
  <c r="C887" i="4"/>
  <c r="S887" i="4" s="1"/>
  <c r="R886" i="4"/>
  <c r="O886" i="4"/>
  <c r="P886" i="4" s="1"/>
  <c r="M886" i="4"/>
  <c r="C886" i="4"/>
  <c r="S886" i="4" s="1"/>
  <c r="N886" i="4" s="1"/>
  <c r="R885" i="4"/>
  <c r="O885" i="4"/>
  <c r="P885" i="4" s="1"/>
  <c r="M885" i="4"/>
  <c r="C885" i="4"/>
  <c r="S885" i="4" s="1"/>
  <c r="N885" i="4" s="1"/>
  <c r="R884" i="4"/>
  <c r="O884" i="4"/>
  <c r="P884" i="4" s="1"/>
  <c r="M884" i="4"/>
  <c r="C884" i="4"/>
  <c r="S884" i="4" s="1"/>
  <c r="N884" i="4" s="1"/>
  <c r="R883" i="4"/>
  <c r="O883" i="4"/>
  <c r="P883" i="4" s="1"/>
  <c r="M883" i="4"/>
  <c r="C883" i="4"/>
  <c r="S883" i="4" s="1"/>
  <c r="N883" i="4" s="1"/>
  <c r="R882" i="4"/>
  <c r="O882" i="4"/>
  <c r="P882" i="4" s="1"/>
  <c r="M882" i="4"/>
  <c r="C882" i="4"/>
  <c r="S882" i="4" s="1"/>
  <c r="N882" i="4" s="1"/>
  <c r="R881" i="4"/>
  <c r="O881" i="4"/>
  <c r="P881" i="4" s="1"/>
  <c r="M881" i="4"/>
  <c r="C881" i="4"/>
  <c r="S881" i="4" s="1"/>
  <c r="N881" i="4" s="1"/>
  <c r="R880" i="4"/>
  <c r="O880" i="4"/>
  <c r="P880" i="4" s="1"/>
  <c r="M880" i="4"/>
  <c r="C880" i="4"/>
  <c r="S880" i="4" s="1"/>
  <c r="N880" i="4" s="1"/>
  <c r="R879" i="4"/>
  <c r="O879" i="4"/>
  <c r="P879" i="4" s="1"/>
  <c r="M879" i="4"/>
  <c r="C879" i="4"/>
  <c r="S879" i="4" s="1"/>
  <c r="R878" i="4"/>
  <c r="O878" i="4"/>
  <c r="P878" i="4" s="1"/>
  <c r="M878" i="4"/>
  <c r="C878" i="4"/>
  <c r="S878" i="4" s="1"/>
  <c r="N878" i="4" s="1"/>
  <c r="R877" i="4"/>
  <c r="O877" i="4"/>
  <c r="P877" i="4" s="1"/>
  <c r="M877" i="4"/>
  <c r="C877" i="4"/>
  <c r="S877" i="4" s="1"/>
  <c r="N877" i="4" s="1"/>
  <c r="R876" i="4"/>
  <c r="O876" i="4"/>
  <c r="P876" i="4" s="1"/>
  <c r="M876" i="4"/>
  <c r="C876" i="4"/>
  <c r="S876" i="4" s="1"/>
  <c r="N876" i="4" s="1"/>
  <c r="R875" i="4"/>
  <c r="O875" i="4"/>
  <c r="P875" i="4" s="1"/>
  <c r="M875" i="4"/>
  <c r="C875" i="4"/>
  <c r="S875" i="4" s="1"/>
  <c r="R874" i="4"/>
  <c r="O874" i="4"/>
  <c r="P874" i="4" s="1"/>
  <c r="M874" i="4"/>
  <c r="C874" i="4"/>
  <c r="S874" i="4" s="1"/>
  <c r="N874" i="4" s="1"/>
  <c r="R873" i="4"/>
  <c r="O873" i="4"/>
  <c r="P873" i="4" s="1"/>
  <c r="M873" i="4"/>
  <c r="C873" i="4"/>
  <c r="S873" i="4" s="1"/>
  <c r="N873" i="4" s="1"/>
  <c r="R872" i="4"/>
  <c r="O872" i="4"/>
  <c r="P872" i="4" s="1"/>
  <c r="M872" i="4"/>
  <c r="C872" i="4"/>
  <c r="S872" i="4" s="1"/>
  <c r="N872" i="4" s="1"/>
  <c r="R871" i="4"/>
  <c r="O871" i="4"/>
  <c r="P871" i="4" s="1"/>
  <c r="M871" i="4"/>
  <c r="C871" i="4"/>
  <c r="S871" i="4" s="1"/>
  <c r="N871" i="4" s="1"/>
  <c r="R870" i="4"/>
  <c r="O870" i="4"/>
  <c r="P870" i="4" s="1"/>
  <c r="M870" i="4"/>
  <c r="C870" i="4"/>
  <c r="S870" i="4" s="1"/>
  <c r="N870" i="4" s="1"/>
  <c r="R869" i="4"/>
  <c r="O869" i="4"/>
  <c r="P869" i="4" s="1"/>
  <c r="M869" i="4"/>
  <c r="C869" i="4"/>
  <c r="S869" i="4" s="1"/>
  <c r="R868" i="4"/>
  <c r="O868" i="4"/>
  <c r="P868" i="4" s="1"/>
  <c r="M868" i="4"/>
  <c r="C868" i="4"/>
  <c r="S868" i="4" s="1"/>
  <c r="N868" i="4" s="1"/>
  <c r="R867" i="4"/>
  <c r="O867" i="4"/>
  <c r="P867" i="4" s="1"/>
  <c r="M867" i="4"/>
  <c r="C867" i="4"/>
  <c r="S867" i="4" s="1"/>
  <c r="R866" i="4"/>
  <c r="O866" i="4"/>
  <c r="P866" i="4" s="1"/>
  <c r="M866" i="4"/>
  <c r="C866" i="4"/>
  <c r="S866" i="4" s="1"/>
  <c r="N866" i="4" s="1"/>
  <c r="R865" i="4"/>
  <c r="O865" i="4"/>
  <c r="P865" i="4" s="1"/>
  <c r="M865" i="4"/>
  <c r="C865" i="4"/>
  <c r="S865" i="4" s="1"/>
  <c r="N865" i="4" s="1"/>
  <c r="R864" i="4"/>
  <c r="O864" i="4"/>
  <c r="P864" i="4" s="1"/>
  <c r="M864" i="4"/>
  <c r="C864" i="4"/>
  <c r="S864" i="4" s="1"/>
  <c r="N864" i="4" s="1"/>
  <c r="R863" i="4"/>
  <c r="O863" i="4"/>
  <c r="P863" i="4" s="1"/>
  <c r="M863" i="4"/>
  <c r="C863" i="4"/>
  <c r="S863" i="4" s="1"/>
  <c r="R862" i="4"/>
  <c r="O862" i="4"/>
  <c r="P862" i="4" s="1"/>
  <c r="M862" i="4"/>
  <c r="C862" i="4"/>
  <c r="S862" i="4" s="1"/>
  <c r="N862" i="4" s="1"/>
  <c r="R861" i="4"/>
  <c r="O861" i="4"/>
  <c r="P861" i="4" s="1"/>
  <c r="M861" i="4"/>
  <c r="C861" i="4"/>
  <c r="S861" i="4" s="1"/>
  <c r="T861" i="4" s="1"/>
  <c r="R860" i="4"/>
  <c r="O860" i="4"/>
  <c r="P860" i="4" s="1"/>
  <c r="M860" i="4"/>
  <c r="C860" i="4"/>
  <c r="S860" i="4" s="1"/>
  <c r="N860" i="4" s="1"/>
  <c r="R859" i="4"/>
  <c r="O859" i="4"/>
  <c r="P859" i="4" s="1"/>
  <c r="M859" i="4"/>
  <c r="C859" i="4"/>
  <c r="S859" i="4" s="1"/>
  <c r="N859" i="4" s="1"/>
  <c r="R858" i="4"/>
  <c r="O858" i="4"/>
  <c r="P858" i="4" s="1"/>
  <c r="M858" i="4"/>
  <c r="C858" i="4"/>
  <c r="S858" i="4" s="1"/>
  <c r="N858" i="4" s="1"/>
  <c r="R857" i="4"/>
  <c r="O857" i="4"/>
  <c r="P857" i="4" s="1"/>
  <c r="M857" i="4"/>
  <c r="C857" i="4"/>
  <c r="S857" i="4" s="1"/>
  <c r="R856" i="4"/>
  <c r="O856" i="4"/>
  <c r="P856" i="4" s="1"/>
  <c r="M856" i="4"/>
  <c r="C856" i="4"/>
  <c r="S856" i="4" s="1"/>
  <c r="N856" i="4" s="1"/>
  <c r="R855" i="4"/>
  <c r="O855" i="4"/>
  <c r="P855" i="4" s="1"/>
  <c r="M855" i="4"/>
  <c r="C855" i="4"/>
  <c r="S855" i="4" s="1"/>
  <c r="R854" i="4"/>
  <c r="O854" i="4"/>
  <c r="P854" i="4" s="1"/>
  <c r="M854" i="4"/>
  <c r="C854" i="4"/>
  <c r="S854" i="4" s="1"/>
  <c r="N854" i="4" s="1"/>
  <c r="R853" i="4"/>
  <c r="O853" i="4"/>
  <c r="P853" i="4" s="1"/>
  <c r="M853" i="4"/>
  <c r="C853" i="4"/>
  <c r="S853" i="4" s="1"/>
  <c r="N853" i="4" s="1"/>
  <c r="R852" i="4"/>
  <c r="O852" i="4"/>
  <c r="P852" i="4" s="1"/>
  <c r="M852" i="4"/>
  <c r="C852" i="4"/>
  <c r="S852" i="4" s="1"/>
  <c r="R851" i="4"/>
  <c r="O851" i="4"/>
  <c r="P851" i="4" s="1"/>
  <c r="M851" i="4"/>
  <c r="C851" i="4"/>
  <c r="S851" i="4" s="1"/>
  <c r="N851" i="4" s="1"/>
  <c r="R850" i="4"/>
  <c r="O850" i="4"/>
  <c r="P850" i="4" s="1"/>
  <c r="M850" i="4"/>
  <c r="C850" i="4"/>
  <c r="S850" i="4" s="1"/>
  <c r="R849" i="4"/>
  <c r="O849" i="4"/>
  <c r="P849" i="4" s="1"/>
  <c r="M849" i="4"/>
  <c r="C849" i="4"/>
  <c r="S849" i="4" s="1"/>
  <c r="N849" i="4" s="1"/>
  <c r="R848" i="4"/>
  <c r="O848" i="4"/>
  <c r="P848" i="4" s="1"/>
  <c r="M848" i="4"/>
  <c r="C848" i="4"/>
  <c r="S848" i="4" s="1"/>
  <c r="N848" i="4" s="1"/>
  <c r="R847" i="4"/>
  <c r="O847" i="4"/>
  <c r="P847" i="4" s="1"/>
  <c r="M847" i="4"/>
  <c r="C847" i="4"/>
  <c r="S847" i="4" s="1"/>
  <c r="N847" i="4" s="1"/>
  <c r="R846" i="4"/>
  <c r="O846" i="4"/>
  <c r="P846" i="4" s="1"/>
  <c r="M846" i="4"/>
  <c r="C846" i="4"/>
  <c r="S846" i="4" s="1"/>
  <c r="N846" i="4" s="1"/>
  <c r="R845" i="4"/>
  <c r="O845" i="4"/>
  <c r="P845" i="4" s="1"/>
  <c r="M845" i="4"/>
  <c r="C845" i="4"/>
  <c r="S845" i="4" s="1"/>
  <c r="N845" i="4" s="1"/>
  <c r="R844" i="4"/>
  <c r="O844" i="4"/>
  <c r="P844" i="4" s="1"/>
  <c r="M844" i="4"/>
  <c r="C844" i="4"/>
  <c r="S844" i="4" s="1"/>
  <c r="N844" i="4" s="1"/>
  <c r="R843" i="4"/>
  <c r="O843" i="4"/>
  <c r="P843" i="4" s="1"/>
  <c r="M843" i="4"/>
  <c r="C843" i="4"/>
  <c r="S843" i="4" s="1"/>
  <c r="N843" i="4" s="1"/>
  <c r="R842" i="4"/>
  <c r="O842" i="4"/>
  <c r="P842" i="4" s="1"/>
  <c r="M842" i="4"/>
  <c r="C842" i="4"/>
  <c r="S842" i="4" s="1"/>
  <c r="N842" i="4" s="1"/>
  <c r="R841" i="4"/>
  <c r="O841" i="4"/>
  <c r="P841" i="4" s="1"/>
  <c r="M841" i="4"/>
  <c r="C841" i="4"/>
  <c r="S841" i="4" s="1"/>
  <c r="N841" i="4" s="1"/>
  <c r="R840" i="4"/>
  <c r="O840" i="4"/>
  <c r="P840" i="4" s="1"/>
  <c r="M840" i="4"/>
  <c r="C840" i="4"/>
  <c r="S840" i="4" s="1"/>
  <c r="R839" i="4"/>
  <c r="O839" i="4"/>
  <c r="P839" i="4" s="1"/>
  <c r="M839" i="4"/>
  <c r="C839" i="4"/>
  <c r="S839" i="4" s="1"/>
  <c r="N839" i="4" s="1"/>
  <c r="R838" i="4"/>
  <c r="O838" i="4"/>
  <c r="P838" i="4" s="1"/>
  <c r="M838" i="4"/>
  <c r="C838" i="4"/>
  <c r="S838" i="4" s="1"/>
  <c r="N838" i="4" s="1"/>
  <c r="R837" i="4"/>
  <c r="O837" i="4"/>
  <c r="P837" i="4" s="1"/>
  <c r="M837" i="4"/>
  <c r="C837" i="4"/>
  <c r="S837" i="4" s="1"/>
  <c r="N837" i="4" s="1"/>
  <c r="R836" i="4"/>
  <c r="O836" i="4"/>
  <c r="P836" i="4" s="1"/>
  <c r="M836" i="4"/>
  <c r="C836" i="4"/>
  <c r="S836" i="4" s="1"/>
  <c r="N836" i="4" s="1"/>
  <c r="R835" i="4"/>
  <c r="O835" i="4"/>
  <c r="P835" i="4" s="1"/>
  <c r="M835" i="4"/>
  <c r="C835" i="4"/>
  <c r="S835" i="4" s="1"/>
  <c r="N835" i="4" s="1"/>
  <c r="R834" i="4"/>
  <c r="O834" i="4"/>
  <c r="P834" i="4" s="1"/>
  <c r="M834" i="4"/>
  <c r="C834" i="4"/>
  <c r="S834" i="4" s="1"/>
  <c r="R833" i="4"/>
  <c r="O833" i="4"/>
  <c r="P833" i="4" s="1"/>
  <c r="M833" i="4"/>
  <c r="C833" i="4"/>
  <c r="S833" i="4" s="1"/>
  <c r="N833" i="4" s="1"/>
  <c r="R832" i="4"/>
  <c r="O832" i="4"/>
  <c r="P832" i="4" s="1"/>
  <c r="M832" i="4"/>
  <c r="C832" i="4"/>
  <c r="S832" i="4" s="1"/>
  <c r="N832" i="4" s="1"/>
  <c r="R831" i="4"/>
  <c r="O831" i="4"/>
  <c r="P831" i="4" s="1"/>
  <c r="M831" i="4"/>
  <c r="C831" i="4"/>
  <c r="S831" i="4" s="1"/>
  <c r="N831" i="4" s="1"/>
  <c r="R830" i="4"/>
  <c r="O830" i="4"/>
  <c r="P830" i="4" s="1"/>
  <c r="M830" i="4"/>
  <c r="C830" i="4"/>
  <c r="S830" i="4" s="1"/>
  <c r="N830" i="4" s="1"/>
  <c r="R829" i="4"/>
  <c r="O829" i="4"/>
  <c r="P829" i="4" s="1"/>
  <c r="M829" i="4"/>
  <c r="C829" i="4"/>
  <c r="S829" i="4" s="1"/>
  <c r="N829" i="4" s="1"/>
  <c r="R828" i="4"/>
  <c r="O828" i="4"/>
  <c r="P828" i="4" s="1"/>
  <c r="M828" i="4"/>
  <c r="C828" i="4"/>
  <c r="S828" i="4" s="1"/>
  <c r="R827" i="4"/>
  <c r="O827" i="4"/>
  <c r="P827" i="4" s="1"/>
  <c r="M827" i="4"/>
  <c r="C827" i="4"/>
  <c r="S827" i="4" s="1"/>
  <c r="N827" i="4" s="1"/>
  <c r="R826" i="4"/>
  <c r="O826" i="4"/>
  <c r="P826" i="4" s="1"/>
  <c r="M826" i="4"/>
  <c r="C826" i="4"/>
  <c r="S826" i="4" s="1"/>
  <c r="N826" i="4" s="1"/>
  <c r="R825" i="4"/>
  <c r="O825" i="4"/>
  <c r="P825" i="4" s="1"/>
  <c r="M825" i="4"/>
  <c r="C825" i="4"/>
  <c r="S825" i="4" s="1"/>
  <c r="N825" i="4" s="1"/>
  <c r="R824" i="4"/>
  <c r="O824" i="4"/>
  <c r="P824" i="4" s="1"/>
  <c r="M824" i="4"/>
  <c r="C824" i="4"/>
  <c r="S824" i="4" s="1"/>
  <c r="N824" i="4" s="1"/>
  <c r="R823" i="4"/>
  <c r="O823" i="4"/>
  <c r="P823" i="4" s="1"/>
  <c r="M823" i="4"/>
  <c r="C823" i="4"/>
  <c r="S823" i="4" s="1"/>
  <c r="N823" i="4" s="1"/>
  <c r="R822" i="4"/>
  <c r="O822" i="4"/>
  <c r="P822" i="4" s="1"/>
  <c r="M822" i="4"/>
  <c r="C822" i="4"/>
  <c r="S822" i="4" s="1"/>
  <c r="R821" i="4"/>
  <c r="O821" i="4"/>
  <c r="P821" i="4" s="1"/>
  <c r="M821" i="4"/>
  <c r="C821" i="4"/>
  <c r="S821" i="4" s="1"/>
  <c r="N821" i="4" s="1"/>
  <c r="R820" i="4"/>
  <c r="O820" i="4"/>
  <c r="P820" i="4" s="1"/>
  <c r="M820" i="4"/>
  <c r="C820" i="4"/>
  <c r="S820" i="4" s="1"/>
  <c r="N820" i="4" s="1"/>
  <c r="R819" i="4"/>
  <c r="O819" i="4"/>
  <c r="P819" i="4" s="1"/>
  <c r="M819" i="4"/>
  <c r="C819" i="4"/>
  <c r="S819" i="4" s="1"/>
  <c r="N819" i="4" s="1"/>
  <c r="R818" i="4"/>
  <c r="O818" i="4"/>
  <c r="P818" i="4" s="1"/>
  <c r="M818" i="4"/>
  <c r="C818" i="4"/>
  <c r="S818" i="4" s="1"/>
  <c r="N818" i="4" s="1"/>
  <c r="R817" i="4"/>
  <c r="O817" i="4"/>
  <c r="P817" i="4" s="1"/>
  <c r="M817" i="4"/>
  <c r="C817" i="4"/>
  <c r="S817" i="4" s="1"/>
  <c r="N817" i="4" s="1"/>
  <c r="R816" i="4"/>
  <c r="O816" i="4"/>
  <c r="P816" i="4" s="1"/>
  <c r="M816" i="4"/>
  <c r="C816" i="4"/>
  <c r="S816" i="4" s="1"/>
  <c r="R815" i="4"/>
  <c r="O815" i="4"/>
  <c r="P815" i="4" s="1"/>
  <c r="M815" i="4"/>
  <c r="C815" i="4"/>
  <c r="S815" i="4" s="1"/>
  <c r="N815" i="4" s="1"/>
  <c r="R814" i="4"/>
  <c r="O814" i="4"/>
  <c r="P814" i="4" s="1"/>
  <c r="M814" i="4"/>
  <c r="C814" i="4"/>
  <c r="S814" i="4" s="1"/>
  <c r="N814" i="4" s="1"/>
  <c r="R813" i="4"/>
  <c r="O813" i="4"/>
  <c r="P813" i="4" s="1"/>
  <c r="M813" i="4"/>
  <c r="C813" i="4"/>
  <c r="S813" i="4" s="1"/>
  <c r="N813" i="4" s="1"/>
  <c r="R812" i="4"/>
  <c r="O812" i="4"/>
  <c r="P812" i="4" s="1"/>
  <c r="M812" i="4"/>
  <c r="C812" i="4"/>
  <c r="S812" i="4" s="1"/>
  <c r="N812" i="4" s="1"/>
  <c r="R811" i="4"/>
  <c r="O811" i="4"/>
  <c r="P811" i="4" s="1"/>
  <c r="M811" i="4"/>
  <c r="C811" i="4"/>
  <c r="S811" i="4" s="1"/>
  <c r="N811" i="4" s="1"/>
  <c r="R810" i="4"/>
  <c r="O810" i="4"/>
  <c r="P810" i="4" s="1"/>
  <c r="M810" i="4"/>
  <c r="C810" i="4"/>
  <c r="S810" i="4" s="1"/>
  <c r="R809" i="4"/>
  <c r="O809" i="4"/>
  <c r="P809" i="4" s="1"/>
  <c r="M809" i="4"/>
  <c r="C809" i="4"/>
  <c r="S809" i="4" s="1"/>
  <c r="N809" i="4" s="1"/>
  <c r="R808" i="4"/>
  <c r="O808" i="4"/>
  <c r="P808" i="4" s="1"/>
  <c r="M808" i="4"/>
  <c r="C808" i="4"/>
  <c r="S808" i="4" s="1"/>
  <c r="N808" i="4" s="1"/>
  <c r="R807" i="4"/>
  <c r="O807" i="4"/>
  <c r="P807" i="4" s="1"/>
  <c r="M807" i="4"/>
  <c r="C807" i="4"/>
  <c r="S807" i="4" s="1"/>
  <c r="N807" i="4" s="1"/>
  <c r="R806" i="4"/>
  <c r="O806" i="4"/>
  <c r="P806" i="4" s="1"/>
  <c r="M806" i="4"/>
  <c r="C806" i="4"/>
  <c r="S806" i="4" s="1"/>
  <c r="N806" i="4" s="1"/>
  <c r="R805" i="4"/>
  <c r="O805" i="4"/>
  <c r="P805" i="4" s="1"/>
  <c r="M805" i="4"/>
  <c r="C805" i="4"/>
  <c r="S805" i="4" s="1"/>
  <c r="N805" i="4" s="1"/>
  <c r="R804" i="4"/>
  <c r="O804" i="4"/>
  <c r="P804" i="4" s="1"/>
  <c r="M804" i="4"/>
  <c r="C804" i="4"/>
  <c r="S804" i="4" s="1"/>
  <c r="R803" i="4"/>
  <c r="O803" i="4"/>
  <c r="P803" i="4" s="1"/>
  <c r="M803" i="4"/>
  <c r="C803" i="4"/>
  <c r="S803" i="4" s="1"/>
  <c r="N803" i="4" s="1"/>
  <c r="R802" i="4"/>
  <c r="O802" i="4"/>
  <c r="P802" i="4" s="1"/>
  <c r="M802" i="4"/>
  <c r="C802" i="4"/>
  <c r="S802" i="4" s="1"/>
  <c r="N802" i="4" s="1"/>
  <c r="R801" i="4"/>
  <c r="O801" i="4"/>
  <c r="P801" i="4" s="1"/>
  <c r="M801" i="4"/>
  <c r="C801" i="4"/>
  <c r="S801" i="4" s="1"/>
  <c r="N801" i="4" s="1"/>
  <c r="R800" i="4"/>
  <c r="O800" i="4"/>
  <c r="P800" i="4" s="1"/>
  <c r="M800" i="4"/>
  <c r="C800" i="4"/>
  <c r="S800" i="4" s="1"/>
  <c r="N800" i="4" s="1"/>
  <c r="R799" i="4"/>
  <c r="O799" i="4"/>
  <c r="P799" i="4" s="1"/>
  <c r="M799" i="4"/>
  <c r="C799" i="4"/>
  <c r="S799" i="4" s="1"/>
  <c r="N799" i="4" s="1"/>
  <c r="R798" i="4"/>
  <c r="O798" i="4"/>
  <c r="P798" i="4" s="1"/>
  <c r="M798" i="4"/>
  <c r="C798" i="4"/>
  <c r="S798" i="4" s="1"/>
  <c r="R797" i="4"/>
  <c r="O797" i="4"/>
  <c r="P797" i="4" s="1"/>
  <c r="M797" i="4"/>
  <c r="C797" i="4"/>
  <c r="S797" i="4" s="1"/>
  <c r="R796" i="4"/>
  <c r="O796" i="4"/>
  <c r="P796" i="4" s="1"/>
  <c r="M796" i="4"/>
  <c r="C796" i="4"/>
  <c r="S796" i="4" s="1"/>
  <c r="N796" i="4" s="1"/>
  <c r="R795" i="4"/>
  <c r="O795" i="4"/>
  <c r="P795" i="4" s="1"/>
  <c r="M795" i="4"/>
  <c r="C795" i="4"/>
  <c r="S795" i="4" s="1"/>
  <c r="N795" i="4" s="1"/>
  <c r="R794" i="4"/>
  <c r="O794" i="4"/>
  <c r="P794" i="4" s="1"/>
  <c r="M794" i="4"/>
  <c r="C794" i="4"/>
  <c r="S794" i="4" s="1"/>
  <c r="N794" i="4" s="1"/>
  <c r="R793" i="4"/>
  <c r="O793" i="4"/>
  <c r="P793" i="4" s="1"/>
  <c r="M793" i="4"/>
  <c r="C793" i="4"/>
  <c r="S793" i="4" s="1"/>
  <c r="N793" i="4" s="1"/>
  <c r="R792" i="4"/>
  <c r="O792" i="4"/>
  <c r="P792" i="4" s="1"/>
  <c r="M792" i="4"/>
  <c r="C792" i="4"/>
  <c r="S792" i="4" s="1"/>
  <c r="N792" i="4" s="1"/>
  <c r="R791" i="4"/>
  <c r="O791" i="4"/>
  <c r="P791" i="4" s="1"/>
  <c r="M791" i="4"/>
  <c r="C791" i="4"/>
  <c r="S791" i="4" s="1"/>
  <c r="N791" i="4" s="1"/>
  <c r="R790" i="4"/>
  <c r="O790" i="4"/>
  <c r="P790" i="4" s="1"/>
  <c r="M790" i="4"/>
  <c r="C790" i="4"/>
  <c r="S790" i="4" s="1"/>
  <c r="N790" i="4" s="1"/>
  <c r="R789" i="4"/>
  <c r="O789" i="4"/>
  <c r="P789" i="4" s="1"/>
  <c r="M789" i="4"/>
  <c r="C789" i="4"/>
  <c r="S789" i="4" s="1"/>
  <c r="N789" i="4" s="1"/>
  <c r="R788" i="4"/>
  <c r="O788" i="4"/>
  <c r="P788" i="4" s="1"/>
  <c r="M788" i="4"/>
  <c r="C788" i="4"/>
  <c r="S788" i="4" s="1"/>
  <c r="N788" i="4" s="1"/>
  <c r="R787" i="4"/>
  <c r="O787" i="4"/>
  <c r="P787" i="4" s="1"/>
  <c r="M787" i="4"/>
  <c r="C787" i="4"/>
  <c r="S787" i="4" s="1"/>
  <c r="N787" i="4" s="1"/>
  <c r="R786" i="4"/>
  <c r="O786" i="4"/>
  <c r="P786" i="4" s="1"/>
  <c r="M786" i="4"/>
  <c r="C786" i="4"/>
  <c r="S786" i="4" s="1"/>
  <c r="R785" i="4"/>
  <c r="O785" i="4"/>
  <c r="P785" i="4" s="1"/>
  <c r="M785" i="4"/>
  <c r="C785" i="4"/>
  <c r="S785" i="4" s="1"/>
  <c r="R784" i="4"/>
  <c r="O784" i="4"/>
  <c r="P784" i="4" s="1"/>
  <c r="M784" i="4"/>
  <c r="C784" i="4"/>
  <c r="S784" i="4" s="1"/>
  <c r="N784" i="4" s="1"/>
  <c r="R783" i="4"/>
  <c r="O783" i="4"/>
  <c r="P783" i="4" s="1"/>
  <c r="M783" i="4"/>
  <c r="C783" i="4"/>
  <c r="S783" i="4" s="1"/>
  <c r="N783" i="4" s="1"/>
  <c r="R782" i="4"/>
  <c r="O782" i="4"/>
  <c r="P782" i="4" s="1"/>
  <c r="M782" i="4"/>
  <c r="C782" i="4"/>
  <c r="S782" i="4" s="1"/>
  <c r="N782" i="4" s="1"/>
  <c r="R781" i="4"/>
  <c r="O781" i="4"/>
  <c r="P781" i="4" s="1"/>
  <c r="M781" i="4"/>
  <c r="C781" i="4"/>
  <c r="S781" i="4" s="1"/>
  <c r="N781" i="4" s="1"/>
  <c r="R780" i="4"/>
  <c r="O780" i="4"/>
  <c r="P780" i="4" s="1"/>
  <c r="M780" i="4"/>
  <c r="C780" i="4"/>
  <c r="S780" i="4" s="1"/>
  <c r="R779" i="4"/>
  <c r="O779" i="4"/>
  <c r="P779" i="4" s="1"/>
  <c r="M779" i="4"/>
  <c r="C779" i="4"/>
  <c r="S779" i="4" s="1"/>
  <c r="N779" i="4" s="1"/>
  <c r="R778" i="4"/>
  <c r="O778" i="4"/>
  <c r="P778" i="4" s="1"/>
  <c r="M778" i="4"/>
  <c r="C778" i="4"/>
  <c r="S778" i="4" s="1"/>
  <c r="N778" i="4" s="1"/>
  <c r="R777" i="4"/>
  <c r="O777" i="4"/>
  <c r="P777" i="4" s="1"/>
  <c r="M777" i="4"/>
  <c r="C777" i="4"/>
  <c r="S777" i="4" s="1"/>
  <c r="N777" i="4" s="1"/>
  <c r="R776" i="4"/>
  <c r="O776" i="4"/>
  <c r="P776" i="4" s="1"/>
  <c r="M776" i="4"/>
  <c r="C776" i="4"/>
  <c r="S776" i="4" s="1"/>
  <c r="N776" i="4" s="1"/>
  <c r="R775" i="4"/>
  <c r="O775" i="4"/>
  <c r="P775" i="4" s="1"/>
  <c r="M775" i="4"/>
  <c r="C775" i="4"/>
  <c r="S775" i="4" s="1"/>
  <c r="N775" i="4" s="1"/>
  <c r="R774" i="4"/>
  <c r="O774" i="4"/>
  <c r="P774" i="4" s="1"/>
  <c r="M774" i="4"/>
  <c r="C774" i="4"/>
  <c r="S774" i="4" s="1"/>
  <c r="R773" i="4"/>
  <c r="O773" i="4"/>
  <c r="P773" i="4" s="1"/>
  <c r="M773" i="4"/>
  <c r="C773" i="4"/>
  <c r="S773" i="4" s="1"/>
  <c r="R772" i="4"/>
  <c r="O772" i="4"/>
  <c r="P772" i="4" s="1"/>
  <c r="M772" i="4"/>
  <c r="C772" i="4"/>
  <c r="S772" i="4" s="1"/>
  <c r="N772" i="4" s="1"/>
  <c r="R771" i="4"/>
  <c r="O771" i="4"/>
  <c r="P771" i="4" s="1"/>
  <c r="M771" i="4"/>
  <c r="C771" i="4"/>
  <c r="S771" i="4" s="1"/>
  <c r="N771" i="4" s="1"/>
  <c r="R770" i="4"/>
  <c r="O770" i="4"/>
  <c r="P770" i="4" s="1"/>
  <c r="M770" i="4"/>
  <c r="C770" i="4"/>
  <c r="S770" i="4" s="1"/>
  <c r="N770" i="4" s="1"/>
  <c r="R769" i="4"/>
  <c r="O769" i="4"/>
  <c r="P769" i="4" s="1"/>
  <c r="M769" i="4"/>
  <c r="C769" i="4"/>
  <c r="S769" i="4" s="1"/>
  <c r="N769" i="4" s="1"/>
  <c r="R768" i="4"/>
  <c r="O768" i="4"/>
  <c r="P768" i="4" s="1"/>
  <c r="M768" i="4"/>
  <c r="C768" i="4"/>
  <c r="S768" i="4" s="1"/>
  <c r="N768" i="4" s="1"/>
  <c r="R767" i="4"/>
  <c r="O767" i="4"/>
  <c r="P767" i="4" s="1"/>
  <c r="M767" i="4"/>
  <c r="C767" i="4"/>
  <c r="S767" i="4" s="1"/>
  <c r="R766" i="4"/>
  <c r="O766" i="4"/>
  <c r="P766" i="4" s="1"/>
  <c r="M766" i="4"/>
  <c r="C766" i="4"/>
  <c r="S766" i="4" s="1"/>
  <c r="R765" i="4"/>
  <c r="O765" i="4"/>
  <c r="P765" i="4" s="1"/>
  <c r="M765" i="4"/>
  <c r="C765" i="4"/>
  <c r="S765" i="4" s="1"/>
  <c r="N765" i="4" s="1"/>
  <c r="R764" i="4"/>
  <c r="O764" i="4"/>
  <c r="P764" i="4" s="1"/>
  <c r="M764" i="4"/>
  <c r="C764" i="4"/>
  <c r="S764" i="4" s="1"/>
  <c r="N764" i="4" s="1"/>
  <c r="R763" i="4"/>
  <c r="O763" i="4"/>
  <c r="P763" i="4" s="1"/>
  <c r="M763" i="4"/>
  <c r="C763" i="4"/>
  <c r="S763" i="4" s="1"/>
  <c r="T763" i="4" s="1"/>
  <c r="R762" i="4"/>
  <c r="O762" i="4"/>
  <c r="P762" i="4" s="1"/>
  <c r="M762" i="4"/>
  <c r="C762" i="4"/>
  <c r="S762" i="4" s="1"/>
  <c r="R761" i="4"/>
  <c r="O761" i="4"/>
  <c r="P761" i="4" s="1"/>
  <c r="M761" i="4"/>
  <c r="C761" i="4"/>
  <c r="S761" i="4" s="1"/>
  <c r="N761" i="4" s="1"/>
  <c r="R760" i="4"/>
  <c r="O760" i="4"/>
  <c r="P760" i="4" s="1"/>
  <c r="M760" i="4"/>
  <c r="C760" i="4"/>
  <c r="S760" i="4" s="1"/>
  <c r="N760" i="4" s="1"/>
  <c r="R759" i="4"/>
  <c r="O759" i="4"/>
  <c r="P759" i="4" s="1"/>
  <c r="M759" i="4"/>
  <c r="C759" i="4"/>
  <c r="S759" i="4" s="1"/>
  <c r="N759" i="4" s="1"/>
  <c r="R758" i="4"/>
  <c r="O758" i="4"/>
  <c r="P758" i="4" s="1"/>
  <c r="M758" i="4"/>
  <c r="C758" i="4"/>
  <c r="S758" i="4" s="1"/>
  <c r="N758" i="4" s="1"/>
  <c r="R757" i="4"/>
  <c r="O757" i="4"/>
  <c r="P757" i="4" s="1"/>
  <c r="M757" i="4"/>
  <c r="C757" i="4"/>
  <c r="S757" i="4" s="1"/>
  <c r="N757" i="4" s="1"/>
  <c r="R756" i="4"/>
  <c r="O756" i="4"/>
  <c r="P756" i="4" s="1"/>
  <c r="M756" i="4"/>
  <c r="C756" i="4"/>
  <c r="S756" i="4" s="1"/>
  <c r="N756" i="4" s="1"/>
  <c r="R755" i="4"/>
  <c r="O755" i="4"/>
  <c r="P755" i="4" s="1"/>
  <c r="M755" i="4"/>
  <c r="C755" i="4"/>
  <c r="S755" i="4" s="1"/>
  <c r="R754" i="4"/>
  <c r="O754" i="4"/>
  <c r="P754" i="4" s="1"/>
  <c r="M754" i="4"/>
  <c r="C754" i="4"/>
  <c r="S754" i="4" s="1"/>
  <c r="R753" i="4"/>
  <c r="O753" i="4"/>
  <c r="P753" i="4" s="1"/>
  <c r="M753" i="4"/>
  <c r="C753" i="4"/>
  <c r="S753" i="4" s="1"/>
  <c r="N753" i="4" s="1"/>
  <c r="R752" i="4"/>
  <c r="O752" i="4"/>
  <c r="P752" i="4" s="1"/>
  <c r="M752" i="4"/>
  <c r="C752" i="4"/>
  <c r="S752" i="4" s="1"/>
  <c r="N752" i="4" s="1"/>
  <c r="R751" i="4"/>
  <c r="O751" i="4"/>
  <c r="P751" i="4" s="1"/>
  <c r="M751" i="4"/>
  <c r="C751" i="4"/>
  <c r="S751" i="4" s="1"/>
  <c r="R750" i="4"/>
  <c r="O750" i="4"/>
  <c r="P750" i="4" s="1"/>
  <c r="M750" i="4"/>
  <c r="C750" i="4"/>
  <c r="S750" i="4" s="1"/>
  <c r="N750" i="4" s="1"/>
  <c r="R749" i="4"/>
  <c r="O749" i="4"/>
  <c r="P749" i="4" s="1"/>
  <c r="M749" i="4"/>
  <c r="C749" i="4"/>
  <c r="S749" i="4" s="1"/>
  <c r="R748" i="4"/>
  <c r="O748" i="4"/>
  <c r="P748" i="4" s="1"/>
  <c r="M748" i="4"/>
  <c r="C748" i="4"/>
  <c r="S748" i="4" s="1"/>
  <c r="N748" i="4" s="1"/>
  <c r="R747" i="4"/>
  <c r="O747" i="4"/>
  <c r="P747" i="4" s="1"/>
  <c r="M747" i="4"/>
  <c r="C747" i="4"/>
  <c r="S747" i="4" s="1"/>
  <c r="R746" i="4"/>
  <c r="O746" i="4"/>
  <c r="P746" i="4" s="1"/>
  <c r="M746" i="4"/>
  <c r="C746" i="4"/>
  <c r="S746" i="4" s="1"/>
  <c r="N746" i="4" s="1"/>
  <c r="R745" i="4"/>
  <c r="O745" i="4"/>
  <c r="P745" i="4" s="1"/>
  <c r="M745" i="4"/>
  <c r="C745" i="4"/>
  <c r="S745" i="4" s="1"/>
  <c r="R744" i="4"/>
  <c r="O744" i="4"/>
  <c r="P744" i="4" s="1"/>
  <c r="M744" i="4"/>
  <c r="C744" i="4"/>
  <c r="S744" i="4" s="1"/>
  <c r="R743" i="4"/>
  <c r="O743" i="4"/>
  <c r="P743" i="4" s="1"/>
  <c r="M743" i="4"/>
  <c r="C743" i="4"/>
  <c r="S743" i="4" s="1"/>
  <c r="R742" i="4"/>
  <c r="O742" i="4"/>
  <c r="P742" i="4" s="1"/>
  <c r="M742" i="4"/>
  <c r="C742" i="4"/>
  <c r="S742" i="4" s="1"/>
  <c r="R741" i="4"/>
  <c r="O741" i="4"/>
  <c r="P741" i="4" s="1"/>
  <c r="M741" i="4"/>
  <c r="C741" i="4"/>
  <c r="S741" i="4" s="1"/>
  <c r="T741" i="4" s="1"/>
  <c r="R740" i="4"/>
  <c r="O740" i="4"/>
  <c r="P740" i="4" s="1"/>
  <c r="M740" i="4"/>
  <c r="C740" i="4"/>
  <c r="S740" i="4" s="1"/>
  <c r="N740" i="4" s="1"/>
  <c r="R739" i="4"/>
  <c r="O739" i="4"/>
  <c r="P739" i="4" s="1"/>
  <c r="M739" i="4"/>
  <c r="C739" i="4"/>
  <c r="S739" i="4" s="1"/>
  <c r="R738" i="4"/>
  <c r="O738" i="4"/>
  <c r="P738" i="4" s="1"/>
  <c r="M738" i="4"/>
  <c r="C738" i="4"/>
  <c r="S738" i="4" s="1"/>
  <c r="R737" i="4"/>
  <c r="O737" i="4"/>
  <c r="P737" i="4" s="1"/>
  <c r="M737" i="4"/>
  <c r="C737" i="4"/>
  <c r="S737" i="4" s="1"/>
  <c r="N737" i="4" s="1"/>
  <c r="R736" i="4"/>
  <c r="O736" i="4"/>
  <c r="P736" i="4" s="1"/>
  <c r="M736" i="4"/>
  <c r="C736" i="4"/>
  <c r="S736" i="4" s="1"/>
  <c r="R735" i="4"/>
  <c r="O735" i="4"/>
  <c r="P735" i="4" s="1"/>
  <c r="M735" i="4"/>
  <c r="C735" i="4"/>
  <c r="S735" i="4" s="1"/>
  <c r="R734" i="4"/>
  <c r="O734" i="4"/>
  <c r="P734" i="4" s="1"/>
  <c r="M734" i="4"/>
  <c r="C734" i="4"/>
  <c r="S734" i="4" s="1"/>
  <c r="N734" i="4" s="1"/>
  <c r="R733" i="4"/>
  <c r="O733" i="4"/>
  <c r="P733" i="4" s="1"/>
  <c r="M733" i="4"/>
  <c r="C733" i="4"/>
  <c r="S733" i="4" s="1"/>
  <c r="N733" i="4" s="1"/>
  <c r="R732" i="4"/>
  <c r="O732" i="4"/>
  <c r="P732" i="4" s="1"/>
  <c r="M732" i="4"/>
  <c r="C732" i="4"/>
  <c r="S732" i="4" s="1"/>
  <c r="N732" i="4" s="1"/>
  <c r="R731" i="4"/>
  <c r="O731" i="4"/>
  <c r="P731" i="4" s="1"/>
  <c r="M731" i="4"/>
  <c r="C731" i="4"/>
  <c r="S731" i="4" s="1"/>
  <c r="R730" i="4"/>
  <c r="O730" i="4"/>
  <c r="P730" i="4" s="1"/>
  <c r="M730" i="4"/>
  <c r="C730" i="4"/>
  <c r="S730" i="4" s="1"/>
  <c r="N730" i="4" s="1"/>
  <c r="R729" i="4"/>
  <c r="O729" i="4"/>
  <c r="P729" i="4" s="1"/>
  <c r="M729" i="4"/>
  <c r="C729" i="4"/>
  <c r="S729" i="4" s="1"/>
  <c r="N729" i="4" s="1"/>
  <c r="R728" i="4"/>
  <c r="O728" i="4"/>
  <c r="P728" i="4" s="1"/>
  <c r="M728" i="4"/>
  <c r="C728" i="4"/>
  <c r="S728" i="4" s="1"/>
  <c r="N728" i="4" s="1"/>
  <c r="R727" i="4"/>
  <c r="O727" i="4"/>
  <c r="P727" i="4" s="1"/>
  <c r="M727" i="4"/>
  <c r="C727" i="4"/>
  <c r="S727" i="4" s="1"/>
  <c r="N727" i="4" s="1"/>
  <c r="R726" i="4"/>
  <c r="O726" i="4"/>
  <c r="P726" i="4" s="1"/>
  <c r="M726" i="4"/>
  <c r="C726" i="4"/>
  <c r="S726" i="4" s="1"/>
  <c r="R725" i="4"/>
  <c r="O725" i="4"/>
  <c r="P725" i="4" s="1"/>
  <c r="M725" i="4"/>
  <c r="C725" i="4"/>
  <c r="S725" i="4" s="1"/>
  <c r="N725" i="4" s="1"/>
  <c r="R724" i="4"/>
  <c r="O724" i="4"/>
  <c r="P724" i="4" s="1"/>
  <c r="M724" i="4"/>
  <c r="C724" i="4"/>
  <c r="S724" i="4" s="1"/>
  <c r="N724" i="4" s="1"/>
  <c r="R723" i="4"/>
  <c r="O723" i="4"/>
  <c r="P723" i="4" s="1"/>
  <c r="M723" i="4"/>
  <c r="C723" i="4"/>
  <c r="S723" i="4" s="1"/>
  <c r="N723" i="4" s="1"/>
  <c r="R722" i="4"/>
  <c r="O722" i="4"/>
  <c r="P722" i="4" s="1"/>
  <c r="M722" i="4"/>
  <c r="C722" i="4"/>
  <c r="S722" i="4" s="1"/>
  <c r="R721" i="4"/>
  <c r="O721" i="4"/>
  <c r="P721" i="4" s="1"/>
  <c r="M721" i="4"/>
  <c r="C721" i="4"/>
  <c r="S721" i="4" s="1"/>
  <c r="R720" i="4"/>
  <c r="O720" i="4"/>
  <c r="P720" i="4" s="1"/>
  <c r="M720" i="4"/>
  <c r="C720" i="4"/>
  <c r="S720" i="4" s="1"/>
  <c r="N720" i="4" s="1"/>
  <c r="R719" i="4"/>
  <c r="O719" i="4"/>
  <c r="P719" i="4" s="1"/>
  <c r="M719" i="4"/>
  <c r="C719" i="4"/>
  <c r="S719" i="4" s="1"/>
  <c r="T719" i="4" s="1"/>
  <c r="R718" i="4"/>
  <c r="O718" i="4"/>
  <c r="P718" i="4" s="1"/>
  <c r="M718" i="4"/>
  <c r="C718" i="4"/>
  <c r="S718" i="4" s="1"/>
  <c r="N718" i="4" s="1"/>
  <c r="R717" i="4"/>
  <c r="O717" i="4"/>
  <c r="P717" i="4" s="1"/>
  <c r="M717" i="4"/>
  <c r="C717" i="4"/>
  <c r="S717" i="4" s="1"/>
  <c r="R716" i="4"/>
  <c r="O716" i="4"/>
  <c r="P716" i="4" s="1"/>
  <c r="M716" i="4"/>
  <c r="C716" i="4"/>
  <c r="S716" i="4" s="1"/>
  <c r="R715" i="4"/>
  <c r="O715" i="4"/>
  <c r="P715" i="4" s="1"/>
  <c r="M715" i="4"/>
  <c r="C715" i="4"/>
  <c r="S715" i="4" s="1"/>
  <c r="N715" i="4" s="1"/>
  <c r="R714" i="4"/>
  <c r="O714" i="4"/>
  <c r="P714" i="4" s="1"/>
  <c r="M714" i="4"/>
  <c r="C714" i="4"/>
  <c r="S714" i="4" s="1"/>
  <c r="N714" i="4" s="1"/>
  <c r="R713" i="4"/>
  <c r="O713" i="4"/>
  <c r="P713" i="4" s="1"/>
  <c r="M713" i="4"/>
  <c r="C713" i="4"/>
  <c r="S713" i="4" s="1"/>
  <c r="N713" i="4" s="1"/>
  <c r="R712" i="4"/>
  <c r="O712" i="4"/>
  <c r="P712" i="4" s="1"/>
  <c r="M712" i="4"/>
  <c r="C712" i="4"/>
  <c r="S712" i="4" s="1"/>
  <c r="N712" i="4" s="1"/>
  <c r="R711" i="4"/>
  <c r="O711" i="4"/>
  <c r="P711" i="4" s="1"/>
  <c r="M711" i="4"/>
  <c r="C711" i="4"/>
  <c r="S711" i="4" s="1"/>
  <c r="R710" i="4"/>
  <c r="O710" i="4"/>
  <c r="P710" i="4" s="1"/>
  <c r="M710" i="4"/>
  <c r="C710" i="4"/>
  <c r="S710" i="4" s="1"/>
  <c r="R709" i="4"/>
  <c r="O709" i="4"/>
  <c r="P709" i="4" s="1"/>
  <c r="M709" i="4"/>
  <c r="C709" i="4"/>
  <c r="S709" i="4" s="1"/>
  <c r="N709" i="4" s="1"/>
  <c r="R708" i="4"/>
  <c r="O708" i="4"/>
  <c r="P708" i="4" s="1"/>
  <c r="M708" i="4"/>
  <c r="C708" i="4"/>
  <c r="S708" i="4" s="1"/>
  <c r="N708" i="4" s="1"/>
  <c r="R707" i="4"/>
  <c r="O707" i="4"/>
  <c r="P707" i="4" s="1"/>
  <c r="M707" i="4"/>
  <c r="C707" i="4"/>
  <c r="S707" i="4" s="1"/>
  <c r="R706" i="4"/>
  <c r="O706" i="4"/>
  <c r="P706" i="4" s="1"/>
  <c r="M706" i="4"/>
  <c r="C706" i="4"/>
  <c r="S706" i="4" s="1"/>
  <c r="R705" i="4"/>
  <c r="O705" i="4"/>
  <c r="P705" i="4" s="1"/>
  <c r="M705" i="4"/>
  <c r="C705" i="4"/>
  <c r="S705" i="4" s="1"/>
  <c r="R704" i="4"/>
  <c r="O704" i="4"/>
  <c r="P704" i="4" s="1"/>
  <c r="M704" i="4"/>
  <c r="C704" i="4"/>
  <c r="S704" i="4" s="1"/>
  <c r="R703" i="4"/>
  <c r="O703" i="4"/>
  <c r="P703" i="4" s="1"/>
  <c r="M703" i="4"/>
  <c r="C703" i="4"/>
  <c r="S703" i="4" s="1"/>
  <c r="N703" i="4" s="1"/>
  <c r="R702" i="4"/>
  <c r="O702" i="4"/>
  <c r="P702" i="4" s="1"/>
  <c r="M702" i="4"/>
  <c r="C702" i="4"/>
  <c r="S702" i="4" s="1"/>
  <c r="N702" i="4" s="1"/>
  <c r="R701" i="4"/>
  <c r="O701" i="4"/>
  <c r="P701" i="4" s="1"/>
  <c r="M701" i="4"/>
  <c r="C701" i="4"/>
  <c r="S701" i="4" s="1"/>
  <c r="R700" i="4"/>
  <c r="O700" i="4"/>
  <c r="P700" i="4" s="1"/>
  <c r="M700" i="4"/>
  <c r="C700" i="4"/>
  <c r="S700" i="4" s="1"/>
  <c r="R699" i="4"/>
  <c r="O699" i="4"/>
  <c r="P699" i="4" s="1"/>
  <c r="M699" i="4"/>
  <c r="C699" i="4"/>
  <c r="S699" i="4" s="1"/>
  <c r="R698" i="4"/>
  <c r="O698" i="4"/>
  <c r="P698" i="4" s="1"/>
  <c r="M698" i="4"/>
  <c r="C698" i="4"/>
  <c r="S698" i="4" s="1"/>
  <c r="N698" i="4" s="1"/>
  <c r="R697" i="4"/>
  <c r="O697" i="4"/>
  <c r="P697" i="4" s="1"/>
  <c r="M697" i="4"/>
  <c r="C697" i="4"/>
  <c r="S697" i="4" s="1"/>
  <c r="N697" i="4" s="1"/>
  <c r="R696" i="4"/>
  <c r="O696" i="4"/>
  <c r="P696" i="4" s="1"/>
  <c r="M696" i="4"/>
  <c r="C696" i="4"/>
  <c r="S696" i="4" s="1"/>
  <c r="N696" i="4" s="1"/>
  <c r="R695" i="4"/>
  <c r="O695" i="4"/>
  <c r="P695" i="4" s="1"/>
  <c r="M695" i="4"/>
  <c r="C695" i="4"/>
  <c r="S695" i="4" s="1"/>
  <c r="R694" i="4"/>
  <c r="O694" i="4"/>
  <c r="P694" i="4" s="1"/>
  <c r="M694" i="4"/>
  <c r="C694" i="4"/>
  <c r="S694" i="4" s="1"/>
  <c r="R693" i="4"/>
  <c r="O693" i="4"/>
  <c r="P693" i="4" s="1"/>
  <c r="M693" i="4"/>
  <c r="C693" i="4"/>
  <c r="S693" i="4" s="1"/>
  <c r="R692" i="4"/>
  <c r="O692" i="4"/>
  <c r="P692" i="4" s="1"/>
  <c r="M692" i="4"/>
  <c r="C692" i="4"/>
  <c r="S692" i="4" s="1"/>
  <c r="R691" i="4"/>
  <c r="O691" i="4"/>
  <c r="P691" i="4" s="1"/>
  <c r="M691" i="4"/>
  <c r="C691" i="4"/>
  <c r="S691" i="4" s="1"/>
  <c r="N691" i="4" s="1"/>
  <c r="R690" i="4"/>
  <c r="O690" i="4"/>
  <c r="P690" i="4" s="1"/>
  <c r="M690" i="4"/>
  <c r="C690" i="4"/>
  <c r="S690" i="4" s="1"/>
  <c r="N690" i="4" s="1"/>
  <c r="R689" i="4"/>
  <c r="O689" i="4"/>
  <c r="P689" i="4" s="1"/>
  <c r="M689" i="4"/>
  <c r="C689" i="4"/>
  <c r="S689" i="4" s="1"/>
  <c r="T689" i="4" s="1"/>
  <c r="R688" i="4"/>
  <c r="O688" i="4"/>
  <c r="P688" i="4" s="1"/>
  <c r="M688" i="4"/>
  <c r="C688" i="4"/>
  <c r="S688" i="4" s="1"/>
  <c r="N688" i="4" s="1"/>
  <c r="R687" i="4"/>
  <c r="O687" i="4"/>
  <c r="P687" i="4" s="1"/>
  <c r="M687" i="4"/>
  <c r="C687" i="4"/>
  <c r="S687" i="4" s="1"/>
  <c r="R686" i="4"/>
  <c r="O686" i="4"/>
  <c r="P686" i="4" s="1"/>
  <c r="M686" i="4"/>
  <c r="C686" i="4"/>
  <c r="S686" i="4" s="1"/>
  <c r="R685" i="4"/>
  <c r="O685" i="4"/>
  <c r="P685" i="4" s="1"/>
  <c r="M685" i="4"/>
  <c r="C685" i="4"/>
  <c r="S685" i="4" s="1"/>
  <c r="N685" i="4" s="1"/>
  <c r="R684" i="4"/>
  <c r="O684" i="4"/>
  <c r="P684" i="4" s="1"/>
  <c r="M684" i="4"/>
  <c r="C684" i="4"/>
  <c r="S684" i="4" s="1"/>
  <c r="N684" i="4" s="1"/>
  <c r="R683" i="4"/>
  <c r="O683" i="4"/>
  <c r="P683" i="4" s="1"/>
  <c r="M683" i="4"/>
  <c r="C683" i="4"/>
  <c r="S683" i="4" s="1"/>
  <c r="N683" i="4" s="1"/>
  <c r="R682" i="4"/>
  <c r="O682" i="4"/>
  <c r="P682" i="4" s="1"/>
  <c r="M682" i="4"/>
  <c r="C682" i="4"/>
  <c r="S682" i="4" s="1"/>
  <c r="R681" i="4"/>
  <c r="O681" i="4"/>
  <c r="P681" i="4" s="1"/>
  <c r="M681" i="4"/>
  <c r="C681" i="4"/>
  <c r="S681" i="4" s="1"/>
  <c r="R680" i="4"/>
  <c r="O680" i="4"/>
  <c r="P680" i="4" s="1"/>
  <c r="M680" i="4"/>
  <c r="C680" i="4"/>
  <c r="S680" i="4" s="1"/>
  <c r="R679" i="4"/>
  <c r="O679" i="4"/>
  <c r="P679" i="4" s="1"/>
  <c r="M679" i="4"/>
  <c r="C679" i="4"/>
  <c r="S679" i="4" s="1"/>
  <c r="N679" i="4" s="1"/>
  <c r="R678" i="4"/>
  <c r="O678" i="4"/>
  <c r="P678" i="4" s="1"/>
  <c r="M678" i="4"/>
  <c r="C678" i="4"/>
  <c r="S678" i="4" s="1"/>
  <c r="N678" i="4" s="1"/>
  <c r="R677" i="4"/>
  <c r="O677" i="4"/>
  <c r="P677" i="4" s="1"/>
  <c r="M677" i="4"/>
  <c r="C677" i="4"/>
  <c r="S677" i="4" s="1"/>
  <c r="N677" i="4" s="1"/>
  <c r="R676" i="4"/>
  <c r="O676" i="4"/>
  <c r="P676" i="4" s="1"/>
  <c r="M676" i="4"/>
  <c r="C676" i="4"/>
  <c r="S676" i="4" s="1"/>
  <c r="R675" i="4"/>
  <c r="O675" i="4"/>
  <c r="P675" i="4" s="1"/>
  <c r="M675" i="4"/>
  <c r="C675" i="4"/>
  <c r="S675" i="4" s="1"/>
  <c r="N675" i="4" s="1"/>
  <c r="R674" i="4"/>
  <c r="O674" i="4"/>
  <c r="P674" i="4" s="1"/>
  <c r="M674" i="4"/>
  <c r="C674" i="4"/>
  <c r="S674" i="4" s="1"/>
  <c r="R673" i="4"/>
  <c r="O673" i="4"/>
  <c r="P673" i="4" s="1"/>
  <c r="M673" i="4"/>
  <c r="C673" i="4"/>
  <c r="S673" i="4" s="1"/>
  <c r="N673" i="4" s="1"/>
  <c r="R672" i="4"/>
  <c r="O672" i="4"/>
  <c r="P672" i="4" s="1"/>
  <c r="M672" i="4"/>
  <c r="C672" i="4"/>
  <c r="S672" i="4" s="1"/>
  <c r="R671" i="4"/>
  <c r="O671" i="4"/>
  <c r="P671" i="4" s="1"/>
  <c r="M671" i="4"/>
  <c r="C671" i="4"/>
  <c r="S671" i="4" s="1"/>
  <c r="N671" i="4" s="1"/>
  <c r="R670" i="4"/>
  <c r="O670" i="4"/>
  <c r="P670" i="4" s="1"/>
  <c r="M670" i="4"/>
  <c r="C670" i="4"/>
  <c r="S670" i="4" s="1"/>
  <c r="R669" i="4"/>
  <c r="O669" i="4"/>
  <c r="P669" i="4" s="1"/>
  <c r="M669" i="4"/>
  <c r="C669" i="4"/>
  <c r="S669" i="4" s="1"/>
  <c r="R668" i="4"/>
  <c r="O668" i="4"/>
  <c r="P668" i="4" s="1"/>
  <c r="M668" i="4"/>
  <c r="C668" i="4"/>
  <c r="S668" i="4" s="1"/>
  <c r="R667" i="4"/>
  <c r="O667" i="4"/>
  <c r="P667" i="4" s="1"/>
  <c r="M667" i="4"/>
  <c r="C667" i="4"/>
  <c r="S667" i="4" s="1"/>
  <c r="N667" i="4" s="1"/>
  <c r="R666" i="4"/>
  <c r="O666" i="4"/>
  <c r="P666" i="4" s="1"/>
  <c r="M666" i="4"/>
  <c r="C666" i="4"/>
  <c r="S666" i="4" s="1"/>
  <c r="R665" i="4"/>
  <c r="O665" i="4"/>
  <c r="P665" i="4" s="1"/>
  <c r="M665" i="4"/>
  <c r="C665" i="4"/>
  <c r="S665" i="4" s="1"/>
  <c r="N665" i="4" s="1"/>
  <c r="R664" i="4"/>
  <c r="O664" i="4"/>
  <c r="P664" i="4" s="1"/>
  <c r="M664" i="4"/>
  <c r="C664" i="4"/>
  <c r="S664" i="4" s="1"/>
  <c r="R663" i="4"/>
  <c r="O663" i="4"/>
  <c r="P663" i="4" s="1"/>
  <c r="M663" i="4"/>
  <c r="C663" i="4"/>
  <c r="S663" i="4" s="1"/>
  <c r="R662" i="4"/>
  <c r="O662" i="4"/>
  <c r="P662" i="4" s="1"/>
  <c r="M662" i="4"/>
  <c r="C662" i="4"/>
  <c r="S662" i="4" s="1"/>
  <c r="R661" i="4"/>
  <c r="O661" i="4"/>
  <c r="P661" i="4" s="1"/>
  <c r="M661" i="4"/>
  <c r="C661" i="4"/>
  <c r="S661" i="4" s="1"/>
  <c r="N661" i="4" s="1"/>
  <c r="R660" i="4"/>
  <c r="O660" i="4"/>
  <c r="P660" i="4" s="1"/>
  <c r="M660" i="4"/>
  <c r="C660" i="4"/>
  <c r="S660" i="4" s="1"/>
  <c r="T660" i="4" s="1"/>
  <c r="R659" i="4"/>
  <c r="O659" i="4"/>
  <c r="P659" i="4" s="1"/>
  <c r="M659" i="4"/>
  <c r="C659" i="4"/>
  <c r="S659" i="4" s="1"/>
  <c r="N659" i="4" s="1"/>
  <c r="R658" i="4"/>
  <c r="O658" i="4"/>
  <c r="P658" i="4" s="1"/>
  <c r="M658" i="4"/>
  <c r="C658" i="4"/>
  <c r="S658" i="4" s="1"/>
  <c r="R657" i="4"/>
  <c r="O657" i="4"/>
  <c r="P657" i="4" s="1"/>
  <c r="M657" i="4"/>
  <c r="C657" i="4"/>
  <c r="S657" i="4" s="1"/>
  <c r="N657" i="4" s="1"/>
  <c r="R656" i="4"/>
  <c r="O656" i="4"/>
  <c r="P656" i="4" s="1"/>
  <c r="M656" i="4"/>
  <c r="C656" i="4"/>
  <c r="S656" i="4" s="1"/>
  <c r="R655" i="4"/>
  <c r="O655" i="4"/>
  <c r="P655" i="4" s="1"/>
  <c r="M655" i="4"/>
  <c r="C655" i="4"/>
  <c r="S655" i="4" s="1"/>
  <c r="N655" i="4" s="1"/>
  <c r="R654" i="4"/>
  <c r="O654" i="4"/>
  <c r="P654" i="4" s="1"/>
  <c r="M654" i="4"/>
  <c r="C654" i="4"/>
  <c r="S654" i="4" s="1"/>
  <c r="R653" i="4"/>
  <c r="O653" i="4"/>
  <c r="P653" i="4" s="1"/>
  <c r="M653" i="4"/>
  <c r="C653" i="4"/>
  <c r="S653" i="4" s="1"/>
  <c r="N653" i="4" s="1"/>
  <c r="R652" i="4"/>
  <c r="O652" i="4"/>
  <c r="P652" i="4" s="1"/>
  <c r="M652" i="4"/>
  <c r="C652" i="4"/>
  <c r="S652" i="4" s="1"/>
  <c r="R651" i="4"/>
  <c r="O651" i="4"/>
  <c r="P651" i="4" s="1"/>
  <c r="M651" i="4"/>
  <c r="C651" i="4"/>
  <c r="S651" i="4" s="1"/>
  <c r="T651" i="4" s="1"/>
  <c r="R650" i="4"/>
  <c r="O650" i="4"/>
  <c r="P650" i="4" s="1"/>
  <c r="M650" i="4"/>
  <c r="C650" i="4"/>
  <c r="S650" i="4" s="1"/>
  <c r="N650" i="4" s="1"/>
  <c r="R649" i="4"/>
  <c r="O649" i="4"/>
  <c r="P649" i="4" s="1"/>
  <c r="M649" i="4"/>
  <c r="C649" i="4"/>
  <c r="S649" i="4" s="1"/>
  <c r="N649" i="4" s="1"/>
  <c r="R648" i="4"/>
  <c r="O648" i="4"/>
  <c r="P648" i="4" s="1"/>
  <c r="M648" i="4"/>
  <c r="C648" i="4"/>
  <c r="S648" i="4" s="1"/>
  <c r="R647" i="4"/>
  <c r="O647" i="4"/>
  <c r="P647" i="4" s="1"/>
  <c r="M647" i="4"/>
  <c r="C647" i="4"/>
  <c r="S647" i="4" s="1"/>
  <c r="N647" i="4" s="1"/>
  <c r="R646" i="4"/>
  <c r="O646" i="4"/>
  <c r="P646" i="4" s="1"/>
  <c r="M646" i="4"/>
  <c r="C646" i="4"/>
  <c r="S646" i="4" s="1"/>
  <c r="R645" i="4"/>
  <c r="O645" i="4"/>
  <c r="P645" i="4" s="1"/>
  <c r="M645" i="4"/>
  <c r="C645" i="4"/>
  <c r="S645" i="4" s="1"/>
  <c r="N645" i="4" s="1"/>
  <c r="R644" i="4"/>
  <c r="O644" i="4"/>
  <c r="P644" i="4" s="1"/>
  <c r="M644" i="4"/>
  <c r="C644" i="4"/>
  <c r="S644" i="4" s="1"/>
  <c r="R643" i="4"/>
  <c r="O643" i="4"/>
  <c r="P643" i="4" s="1"/>
  <c r="M643" i="4"/>
  <c r="C643" i="4"/>
  <c r="S643" i="4" s="1"/>
  <c r="N643" i="4" s="1"/>
  <c r="R642" i="4"/>
  <c r="O642" i="4"/>
  <c r="P642" i="4" s="1"/>
  <c r="M642" i="4"/>
  <c r="C642" i="4"/>
  <c r="S642" i="4" s="1"/>
  <c r="R641" i="4"/>
  <c r="O641" i="4"/>
  <c r="P641" i="4" s="1"/>
  <c r="M641" i="4"/>
  <c r="C641" i="4"/>
  <c r="S641" i="4" s="1"/>
  <c r="N641" i="4" s="1"/>
  <c r="R640" i="4"/>
  <c r="O640" i="4"/>
  <c r="P640" i="4" s="1"/>
  <c r="M640" i="4"/>
  <c r="C640" i="4"/>
  <c r="S640" i="4" s="1"/>
  <c r="R639" i="4"/>
  <c r="O639" i="4"/>
  <c r="P639" i="4" s="1"/>
  <c r="M639" i="4"/>
  <c r="C639" i="4"/>
  <c r="S639" i="4" s="1"/>
  <c r="N639" i="4" s="1"/>
  <c r="R638" i="4"/>
  <c r="O638" i="4"/>
  <c r="P638" i="4" s="1"/>
  <c r="M638" i="4"/>
  <c r="C638" i="4"/>
  <c r="S638" i="4" s="1"/>
  <c r="R637" i="4"/>
  <c r="O637" i="4"/>
  <c r="P637" i="4" s="1"/>
  <c r="M637" i="4"/>
  <c r="C637" i="4"/>
  <c r="S637" i="4" s="1"/>
  <c r="N637" i="4" s="1"/>
  <c r="R636" i="4"/>
  <c r="O636" i="4"/>
  <c r="P636" i="4" s="1"/>
  <c r="M636" i="4"/>
  <c r="C636" i="4"/>
  <c r="S636" i="4" s="1"/>
  <c r="T636" i="4" s="1"/>
  <c r="R635" i="4"/>
  <c r="O635" i="4"/>
  <c r="P635" i="4" s="1"/>
  <c r="M635" i="4"/>
  <c r="C635" i="4"/>
  <c r="S635" i="4" s="1"/>
  <c r="N635" i="4" s="1"/>
  <c r="R634" i="4"/>
  <c r="O634" i="4"/>
  <c r="P634" i="4" s="1"/>
  <c r="M634" i="4"/>
  <c r="C634" i="4"/>
  <c r="S634" i="4" s="1"/>
  <c r="R633" i="4"/>
  <c r="O633" i="4"/>
  <c r="P633" i="4" s="1"/>
  <c r="M633" i="4"/>
  <c r="C633" i="4"/>
  <c r="S633" i="4" s="1"/>
  <c r="R632" i="4"/>
  <c r="O632" i="4"/>
  <c r="P632" i="4" s="1"/>
  <c r="M632" i="4"/>
  <c r="C632" i="4"/>
  <c r="S632" i="4" s="1"/>
  <c r="R631" i="4"/>
  <c r="O631" i="4"/>
  <c r="P631" i="4" s="1"/>
  <c r="M631" i="4"/>
  <c r="C631" i="4"/>
  <c r="S631" i="4" s="1"/>
  <c r="N631" i="4" s="1"/>
  <c r="R630" i="4"/>
  <c r="O630" i="4"/>
  <c r="P630" i="4" s="1"/>
  <c r="M630" i="4"/>
  <c r="C630" i="4"/>
  <c r="S630" i="4" s="1"/>
  <c r="R629" i="4"/>
  <c r="O629" i="4"/>
  <c r="P629" i="4" s="1"/>
  <c r="M629" i="4"/>
  <c r="C629" i="4"/>
  <c r="S629" i="4" s="1"/>
  <c r="T629" i="4" s="1"/>
  <c r="R628" i="4"/>
  <c r="O628" i="4"/>
  <c r="P628" i="4" s="1"/>
  <c r="M628" i="4"/>
  <c r="C628" i="4"/>
  <c r="S628" i="4" s="1"/>
  <c r="N628" i="4" s="1"/>
  <c r="R627" i="4"/>
  <c r="O627" i="4"/>
  <c r="P627" i="4" s="1"/>
  <c r="M627" i="4"/>
  <c r="C627" i="4"/>
  <c r="S627" i="4" s="1"/>
  <c r="R626" i="4"/>
  <c r="O626" i="4"/>
  <c r="P626" i="4" s="1"/>
  <c r="M626" i="4"/>
  <c r="C626" i="4"/>
  <c r="S626" i="4" s="1"/>
  <c r="T626" i="4" s="1"/>
  <c r="R625" i="4"/>
  <c r="O625" i="4"/>
  <c r="P625" i="4" s="1"/>
  <c r="M625" i="4"/>
  <c r="C625" i="4"/>
  <c r="S625" i="4" s="1"/>
  <c r="R624" i="4"/>
  <c r="O624" i="4"/>
  <c r="P624" i="4" s="1"/>
  <c r="M624" i="4"/>
  <c r="C624" i="4"/>
  <c r="S624" i="4" s="1"/>
  <c r="R623" i="4"/>
  <c r="O623" i="4"/>
  <c r="P623" i="4" s="1"/>
  <c r="M623" i="4"/>
  <c r="C623" i="4"/>
  <c r="S623" i="4" s="1"/>
  <c r="N623" i="4" s="1"/>
  <c r="R622" i="4"/>
  <c r="O622" i="4"/>
  <c r="P622" i="4" s="1"/>
  <c r="M622" i="4"/>
  <c r="C622" i="4"/>
  <c r="S622" i="4" s="1"/>
  <c r="N622" i="4" s="1"/>
  <c r="R621" i="4"/>
  <c r="O621" i="4"/>
  <c r="P621" i="4" s="1"/>
  <c r="M621" i="4"/>
  <c r="C621" i="4"/>
  <c r="S621" i="4" s="1"/>
  <c r="N621" i="4" s="1"/>
  <c r="R620" i="4"/>
  <c r="O620" i="4"/>
  <c r="P620" i="4" s="1"/>
  <c r="M620" i="4"/>
  <c r="C620" i="4"/>
  <c r="S620" i="4" s="1"/>
  <c r="R619" i="4"/>
  <c r="O619" i="4"/>
  <c r="P619" i="4" s="1"/>
  <c r="M619" i="4"/>
  <c r="C619" i="4"/>
  <c r="S619" i="4" s="1"/>
  <c r="N619" i="4" s="1"/>
  <c r="R618" i="4"/>
  <c r="O618" i="4"/>
  <c r="P618" i="4" s="1"/>
  <c r="M618" i="4"/>
  <c r="C618" i="4"/>
  <c r="S618" i="4" s="1"/>
  <c r="N618" i="4" s="1"/>
  <c r="R617" i="4"/>
  <c r="O617" i="4"/>
  <c r="P617" i="4" s="1"/>
  <c r="M617" i="4"/>
  <c r="C617" i="4"/>
  <c r="S617" i="4" s="1"/>
  <c r="N617" i="4" s="1"/>
  <c r="R616" i="4"/>
  <c r="O616" i="4"/>
  <c r="P616" i="4" s="1"/>
  <c r="M616" i="4"/>
  <c r="C616" i="4"/>
  <c r="S616" i="4" s="1"/>
  <c r="N616" i="4" s="1"/>
  <c r="R615" i="4"/>
  <c r="O615" i="4"/>
  <c r="P615" i="4" s="1"/>
  <c r="M615" i="4"/>
  <c r="C615" i="4"/>
  <c r="S615" i="4" s="1"/>
  <c r="N615" i="4" s="1"/>
  <c r="R614" i="4"/>
  <c r="O614" i="4"/>
  <c r="P614" i="4" s="1"/>
  <c r="M614" i="4"/>
  <c r="C614" i="4"/>
  <c r="S614" i="4" s="1"/>
  <c r="N614" i="4" s="1"/>
  <c r="R613" i="4"/>
  <c r="O613" i="4"/>
  <c r="P613" i="4" s="1"/>
  <c r="M613" i="4"/>
  <c r="C613" i="4"/>
  <c r="S613" i="4" s="1"/>
  <c r="N613" i="4" s="1"/>
  <c r="R612" i="4"/>
  <c r="O612" i="4"/>
  <c r="P612" i="4" s="1"/>
  <c r="M612" i="4"/>
  <c r="C612" i="4"/>
  <c r="S612" i="4" s="1"/>
  <c r="R611" i="4"/>
  <c r="O611" i="4"/>
  <c r="P611" i="4" s="1"/>
  <c r="M611" i="4"/>
  <c r="C611" i="4"/>
  <c r="S611" i="4" s="1"/>
  <c r="N611" i="4" s="1"/>
  <c r="R610" i="4"/>
  <c r="O610" i="4"/>
  <c r="P610" i="4" s="1"/>
  <c r="M610" i="4"/>
  <c r="C610" i="4"/>
  <c r="S610" i="4" s="1"/>
  <c r="N610" i="4" s="1"/>
  <c r="R609" i="4"/>
  <c r="O609" i="4"/>
  <c r="P609" i="4" s="1"/>
  <c r="M609" i="4"/>
  <c r="C609" i="4"/>
  <c r="S609" i="4" s="1"/>
  <c r="N609" i="4" s="1"/>
  <c r="R608" i="4"/>
  <c r="O608" i="4"/>
  <c r="P608" i="4" s="1"/>
  <c r="M608" i="4"/>
  <c r="C608" i="4"/>
  <c r="S608" i="4" s="1"/>
  <c r="R607" i="4"/>
  <c r="O607" i="4"/>
  <c r="P607" i="4" s="1"/>
  <c r="M607" i="4"/>
  <c r="C607" i="4"/>
  <c r="S607" i="4" s="1"/>
  <c r="N607" i="4" s="1"/>
  <c r="R606" i="4"/>
  <c r="O606" i="4"/>
  <c r="P606" i="4" s="1"/>
  <c r="M606" i="4"/>
  <c r="C606" i="4"/>
  <c r="S606" i="4" s="1"/>
  <c r="N606" i="4" s="1"/>
  <c r="R605" i="4"/>
  <c r="O605" i="4"/>
  <c r="P605" i="4" s="1"/>
  <c r="M605" i="4"/>
  <c r="C605" i="4"/>
  <c r="S605" i="4" s="1"/>
  <c r="N605" i="4" s="1"/>
  <c r="R604" i="4"/>
  <c r="O604" i="4"/>
  <c r="P604" i="4" s="1"/>
  <c r="M604" i="4"/>
  <c r="C604" i="4"/>
  <c r="S604" i="4" s="1"/>
  <c r="N604" i="4" s="1"/>
  <c r="R603" i="4"/>
  <c r="O603" i="4"/>
  <c r="P603" i="4" s="1"/>
  <c r="M603" i="4"/>
  <c r="C603" i="4"/>
  <c r="S603" i="4" s="1"/>
  <c r="N603" i="4" s="1"/>
  <c r="R602" i="4"/>
  <c r="O602" i="4"/>
  <c r="P602" i="4" s="1"/>
  <c r="M602" i="4"/>
  <c r="C602" i="4"/>
  <c r="S602" i="4" s="1"/>
  <c r="R601" i="4"/>
  <c r="O601" i="4"/>
  <c r="P601" i="4" s="1"/>
  <c r="M601" i="4"/>
  <c r="C601" i="4"/>
  <c r="S601" i="4" s="1"/>
  <c r="N601" i="4" s="1"/>
  <c r="R600" i="4"/>
  <c r="O600" i="4"/>
  <c r="P600" i="4" s="1"/>
  <c r="M600" i="4"/>
  <c r="C600" i="4"/>
  <c r="S600" i="4" s="1"/>
  <c r="N600" i="4" s="1"/>
  <c r="R599" i="4"/>
  <c r="O599" i="4"/>
  <c r="P599" i="4" s="1"/>
  <c r="M599" i="4"/>
  <c r="C599" i="4"/>
  <c r="S599" i="4" s="1"/>
  <c r="N599" i="4" s="1"/>
  <c r="R598" i="4"/>
  <c r="O598" i="4"/>
  <c r="P598" i="4" s="1"/>
  <c r="M598" i="4"/>
  <c r="C598" i="4"/>
  <c r="S598" i="4" s="1"/>
  <c r="N598" i="4" s="1"/>
  <c r="R597" i="4"/>
  <c r="O597" i="4"/>
  <c r="P597" i="4" s="1"/>
  <c r="M597" i="4"/>
  <c r="C597" i="4"/>
  <c r="S597" i="4" s="1"/>
  <c r="R596" i="4"/>
  <c r="O596" i="4"/>
  <c r="P596" i="4" s="1"/>
  <c r="M596" i="4"/>
  <c r="C596" i="4"/>
  <c r="S596" i="4" s="1"/>
  <c r="R595" i="4"/>
  <c r="O595" i="4"/>
  <c r="P595" i="4" s="1"/>
  <c r="M595" i="4"/>
  <c r="C595" i="4"/>
  <c r="S595" i="4" s="1"/>
  <c r="N595" i="4" s="1"/>
  <c r="R594" i="4"/>
  <c r="O594" i="4"/>
  <c r="P594" i="4" s="1"/>
  <c r="M594" i="4"/>
  <c r="C594" i="4"/>
  <c r="S594" i="4" s="1"/>
  <c r="N594" i="4" s="1"/>
  <c r="R593" i="4"/>
  <c r="O593" i="4"/>
  <c r="P593" i="4" s="1"/>
  <c r="M593" i="4"/>
  <c r="C593" i="4"/>
  <c r="S593" i="4" s="1"/>
  <c r="N593" i="4" s="1"/>
  <c r="R592" i="4"/>
  <c r="O592" i="4"/>
  <c r="P592" i="4" s="1"/>
  <c r="M592" i="4"/>
  <c r="C592" i="4"/>
  <c r="S592" i="4" s="1"/>
  <c r="R591" i="4"/>
  <c r="O591" i="4"/>
  <c r="P591" i="4" s="1"/>
  <c r="M591" i="4"/>
  <c r="C591" i="4"/>
  <c r="S591" i="4" s="1"/>
  <c r="N591" i="4" s="1"/>
  <c r="R590" i="4"/>
  <c r="O590" i="4"/>
  <c r="P590" i="4" s="1"/>
  <c r="M590" i="4"/>
  <c r="C590" i="4"/>
  <c r="S590" i="4" s="1"/>
  <c r="N590" i="4" s="1"/>
  <c r="R589" i="4"/>
  <c r="O589" i="4"/>
  <c r="P589" i="4" s="1"/>
  <c r="M589" i="4"/>
  <c r="C589" i="4"/>
  <c r="S589" i="4" s="1"/>
  <c r="N589" i="4" s="1"/>
  <c r="R588" i="4"/>
  <c r="O588" i="4"/>
  <c r="P588" i="4" s="1"/>
  <c r="M588" i="4"/>
  <c r="C588" i="4"/>
  <c r="S588" i="4" s="1"/>
  <c r="N588" i="4" s="1"/>
  <c r="R587" i="4"/>
  <c r="O587" i="4"/>
  <c r="P587" i="4" s="1"/>
  <c r="M587" i="4"/>
  <c r="C587" i="4"/>
  <c r="S587" i="4" s="1"/>
  <c r="N587" i="4" s="1"/>
  <c r="R586" i="4"/>
  <c r="O586" i="4"/>
  <c r="P586" i="4" s="1"/>
  <c r="M586" i="4"/>
  <c r="C586" i="4"/>
  <c r="S586" i="4" s="1"/>
  <c r="R585" i="4"/>
  <c r="O585" i="4"/>
  <c r="P585" i="4" s="1"/>
  <c r="M585" i="4"/>
  <c r="C585" i="4"/>
  <c r="S585" i="4" s="1"/>
  <c r="N585" i="4" s="1"/>
  <c r="R584" i="4"/>
  <c r="O584" i="4"/>
  <c r="P584" i="4" s="1"/>
  <c r="M584" i="4"/>
  <c r="C584" i="4"/>
  <c r="S584" i="4" s="1"/>
  <c r="N584" i="4" s="1"/>
  <c r="R583" i="4"/>
  <c r="O583" i="4"/>
  <c r="P583" i="4" s="1"/>
  <c r="M583" i="4"/>
  <c r="C583" i="4"/>
  <c r="S583" i="4" s="1"/>
  <c r="N583" i="4" s="1"/>
  <c r="R582" i="4"/>
  <c r="O582" i="4"/>
  <c r="P582" i="4" s="1"/>
  <c r="M582" i="4"/>
  <c r="C582" i="4"/>
  <c r="S582" i="4" s="1"/>
  <c r="N582" i="4" s="1"/>
  <c r="R581" i="4"/>
  <c r="O581" i="4"/>
  <c r="P581" i="4" s="1"/>
  <c r="M581" i="4"/>
  <c r="C581" i="4"/>
  <c r="S581" i="4" s="1"/>
  <c r="N581" i="4" s="1"/>
  <c r="R580" i="4"/>
  <c r="O580" i="4"/>
  <c r="P580" i="4" s="1"/>
  <c r="M580" i="4"/>
  <c r="C580" i="4"/>
  <c r="S580" i="4" s="1"/>
  <c r="R579" i="4"/>
  <c r="O579" i="4"/>
  <c r="P579" i="4" s="1"/>
  <c r="M579" i="4"/>
  <c r="C579" i="4"/>
  <c r="S579" i="4" s="1"/>
  <c r="N579" i="4" s="1"/>
  <c r="R578" i="4"/>
  <c r="O578" i="4"/>
  <c r="P578" i="4" s="1"/>
  <c r="M578" i="4"/>
  <c r="C578" i="4"/>
  <c r="S578" i="4" s="1"/>
  <c r="N578" i="4" s="1"/>
  <c r="R577" i="4"/>
  <c r="O577" i="4"/>
  <c r="P577" i="4" s="1"/>
  <c r="M577" i="4"/>
  <c r="C577" i="4"/>
  <c r="S577" i="4" s="1"/>
  <c r="N577" i="4" s="1"/>
  <c r="R576" i="4"/>
  <c r="O576" i="4"/>
  <c r="P576" i="4" s="1"/>
  <c r="M576" i="4"/>
  <c r="C576" i="4"/>
  <c r="S576" i="4" s="1"/>
  <c r="N576" i="4" s="1"/>
  <c r="R575" i="4"/>
  <c r="O575" i="4"/>
  <c r="P575" i="4" s="1"/>
  <c r="M575" i="4"/>
  <c r="C575" i="4"/>
  <c r="S575" i="4" s="1"/>
  <c r="N575" i="4" s="1"/>
  <c r="R574" i="4"/>
  <c r="O574" i="4"/>
  <c r="P574" i="4" s="1"/>
  <c r="M574" i="4"/>
  <c r="C574" i="4"/>
  <c r="S574" i="4" s="1"/>
  <c r="R573" i="4"/>
  <c r="O573" i="4"/>
  <c r="P573" i="4" s="1"/>
  <c r="M573" i="4"/>
  <c r="C573" i="4"/>
  <c r="S573" i="4" s="1"/>
  <c r="N573" i="4" s="1"/>
  <c r="R572" i="4"/>
  <c r="O572" i="4"/>
  <c r="P572" i="4" s="1"/>
  <c r="M572" i="4"/>
  <c r="C572" i="4"/>
  <c r="S572" i="4" s="1"/>
  <c r="N572" i="4" s="1"/>
  <c r="R571" i="4"/>
  <c r="O571" i="4"/>
  <c r="P571" i="4" s="1"/>
  <c r="M571" i="4"/>
  <c r="C571" i="4"/>
  <c r="S571" i="4" s="1"/>
  <c r="N571" i="4" s="1"/>
  <c r="R570" i="4"/>
  <c r="O570" i="4"/>
  <c r="P570" i="4" s="1"/>
  <c r="M570" i="4"/>
  <c r="C570" i="4"/>
  <c r="S570" i="4" s="1"/>
  <c r="N570" i="4" s="1"/>
  <c r="R569" i="4"/>
  <c r="O569" i="4"/>
  <c r="P569" i="4" s="1"/>
  <c r="M569" i="4"/>
  <c r="C569" i="4"/>
  <c r="S569" i="4" s="1"/>
  <c r="N569" i="4" s="1"/>
  <c r="R568" i="4"/>
  <c r="O568" i="4"/>
  <c r="P568" i="4" s="1"/>
  <c r="M568" i="4"/>
  <c r="C568" i="4"/>
  <c r="S568" i="4" s="1"/>
  <c r="R567" i="4"/>
  <c r="O567" i="4"/>
  <c r="P567" i="4" s="1"/>
  <c r="M567" i="4"/>
  <c r="C567" i="4"/>
  <c r="S567" i="4" s="1"/>
  <c r="N567" i="4" s="1"/>
  <c r="R566" i="4"/>
  <c r="O566" i="4"/>
  <c r="P566" i="4" s="1"/>
  <c r="M566" i="4"/>
  <c r="C566" i="4"/>
  <c r="S566" i="4" s="1"/>
  <c r="N566" i="4" s="1"/>
  <c r="R565" i="4"/>
  <c r="O565" i="4"/>
  <c r="P565" i="4" s="1"/>
  <c r="M565" i="4"/>
  <c r="C565" i="4"/>
  <c r="S565" i="4" s="1"/>
  <c r="N565" i="4" s="1"/>
  <c r="R564" i="4"/>
  <c r="O564" i="4"/>
  <c r="P564" i="4" s="1"/>
  <c r="M564" i="4"/>
  <c r="C564" i="4"/>
  <c r="S564" i="4" s="1"/>
  <c r="N564" i="4" s="1"/>
  <c r="R563" i="4"/>
  <c r="O563" i="4"/>
  <c r="P563" i="4" s="1"/>
  <c r="M563" i="4"/>
  <c r="C563" i="4"/>
  <c r="S563" i="4" s="1"/>
  <c r="N563" i="4" s="1"/>
  <c r="R562" i="4"/>
  <c r="O562" i="4"/>
  <c r="P562" i="4" s="1"/>
  <c r="M562" i="4"/>
  <c r="C562" i="4"/>
  <c r="S562" i="4" s="1"/>
  <c r="R561" i="4"/>
  <c r="O561" i="4"/>
  <c r="P561" i="4" s="1"/>
  <c r="M561" i="4"/>
  <c r="C561" i="4"/>
  <c r="S561" i="4" s="1"/>
  <c r="N561" i="4" s="1"/>
  <c r="R560" i="4"/>
  <c r="O560" i="4"/>
  <c r="P560" i="4" s="1"/>
  <c r="M560" i="4"/>
  <c r="C560" i="4"/>
  <c r="S560" i="4" s="1"/>
  <c r="N560" i="4" s="1"/>
  <c r="R559" i="4"/>
  <c r="O559" i="4"/>
  <c r="P559" i="4" s="1"/>
  <c r="M559" i="4"/>
  <c r="C559" i="4"/>
  <c r="S559" i="4" s="1"/>
  <c r="N559" i="4" s="1"/>
  <c r="R558" i="4"/>
  <c r="O558" i="4"/>
  <c r="P558" i="4" s="1"/>
  <c r="M558" i="4"/>
  <c r="C558" i="4"/>
  <c r="S558" i="4" s="1"/>
  <c r="N558" i="4" s="1"/>
  <c r="R557" i="4"/>
  <c r="O557" i="4"/>
  <c r="P557" i="4" s="1"/>
  <c r="M557" i="4"/>
  <c r="C557" i="4"/>
  <c r="S557" i="4" s="1"/>
  <c r="N557" i="4" s="1"/>
  <c r="R556" i="4"/>
  <c r="O556" i="4"/>
  <c r="P556" i="4" s="1"/>
  <c r="M556" i="4"/>
  <c r="C556" i="4"/>
  <c r="S556" i="4" s="1"/>
  <c r="R555" i="4"/>
  <c r="O555" i="4"/>
  <c r="P555" i="4" s="1"/>
  <c r="M555" i="4"/>
  <c r="C555" i="4"/>
  <c r="S555" i="4" s="1"/>
  <c r="N555" i="4" s="1"/>
  <c r="R554" i="4"/>
  <c r="O554" i="4"/>
  <c r="P554" i="4" s="1"/>
  <c r="M554" i="4"/>
  <c r="C554" i="4"/>
  <c r="S554" i="4" s="1"/>
  <c r="N554" i="4" s="1"/>
  <c r="R553" i="4"/>
  <c r="O553" i="4"/>
  <c r="P553" i="4" s="1"/>
  <c r="M553" i="4"/>
  <c r="C553" i="4"/>
  <c r="S553" i="4" s="1"/>
  <c r="N553" i="4" s="1"/>
  <c r="R552" i="4"/>
  <c r="O552" i="4"/>
  <c r="P552" i="4" s="1"/>
  <c r="M552" i="4"/>
  <c r="C552" i="4"/>
  <c r="S552" i="4" s="1"/>
  <c r="N552" i="4" s="1"/>
  <c r="R551" i="4"/>
  <c r="O551" i="4"/>
  <c r="P551" i="4" s="1"/>
  <c r="M551" i="4"/>
  <c r="C551" i="4"/>
  <c r="S551" i="4" s="1"/>
  <c r="N551" i="4" s="1"/>
  <c r="R550" i="4"/>
  <c r="O550" i="4"/>
  <c r="P550" i="4" s="1"/>
  <c r="M550" i="4"/>
  <c r="C550" i="4"/>
  <c r="S550" i="4" s="1"/>
  <c r="R549" i="4"/>
  <c r="O549" i="4"/>
  <c r="P549" i="4" s="1"/>
  <c r="M549" i="4"/>
  <c r="C549" i="4"/>
  <c r="S549" i="4" s="1"/>
  <c r="N549" i="4" s="1"/>
  <c r="R548" i="4"/>
  <c r="O548" i="4"/>
  <c r="P548" i="4" s="1"/>
  <c r="M548" i="4"/>
  <c r="C548" i="4"/>
  <c r="S548" i="4" s="1"/>
  <c r="N548" i="4" s="1"/>
  <c r="R547" i="4"/>
  <c r="O547" i="4"/>
  <c r="P547" i="4" s="1"/>
  <c r="M547" i="4"/>
  <c r="C547" i="4"/>
  <c r="S547" i="4" s="1"/>
  <c r="N547" i="4" s="1"/>
  <c r="R546" i="4"/>
  <c r="O546" i="4"/>
  <c r="P546" i="4" s="1"/>
  <c r="M546" i="4"/>
  <c r="C546" i="4"/>
  <c r="S546" i="4" s="1"/>
  <c r="N546" i="4" s="1"/>
  <c r="R545" i="4"/>
  <c r="O545" i="4"/>
  <c r="P545" i="4" s="1"/>
  <c r="M545" i="4"/>
  <c r="C545" i="4"/>
  <c r="S545" i="4" s="1"/>
  <c r="N545" i="4" s="1"/>
  <c r="R544" i="4"/>
  <c r="O544" i="4"/>
  <c r="P544" i="4" s="1"/>
  <c r="M544" i="4"/>
  <c r="C544" i="4"/>
  <c r="S544" i="4" s="1"/>
  <c r="R543" i="4"/>
  <c r="O543" i="4"/>
  <c r="P543" i="4" s="1"/>
  <c r="M543" i="4"/>
  <c r="C543" i="4"/>
  <c r="S543" i="4" s="1"/>
  <c r="N543" i="4" s="1"/>
  <c r="R542" i="4"/>
  <c r="O542" i="4"/>
  <c r="P542" i="4" s="1"/>
  <c r="M542" i="4"/>
  <c r="C542" i="4"/>
  <c r="S542" i="4" s="1"/>
  <c r="N542" i="4" s="1"/>
  <c r="R541" i="4"/>
  <c r="O541" i="4"/>
  <c r="P541" i="4" s="1"/>
  <c r="M541" i="4"/>
  <c r="C541" i="4"/>
  <c r="S541" i="4" s="1"/>
  <c r="N541" i="4" s="1"/>
  <c r="R540" i="4"/>
  <c r="O540" i="4"/>
  <c r="P540" i="4" s="1"/>
  <c r="M540" i="4"/>
  <c r="C540" i="4"/>
  <c r="S540" i="4" s="1"/>
  <c r="N540" i="4" s="1"/>
  <c r="R539" i="4"/>
  <c r="O539" i="4"/>
  <c r="P539" i="4" s="1"/>
  <c r="M539" i="4"/>
  <c r="C539" i="4"/>
  <c r="S539" i="4" s="1"/>
  <c r="N539" i="4" s="1"/>
  <c r="R538" i="4"/>
  <c r="O538" i="4"/>
  <c r="P538" i="4" s="1"/>
  <c r="M538" i="4"/>
  <c r="C538" i="4"/>
  <c r="S538" i="4" s="1"/>
  <c r="R537" i="4"/>
  <c r="O537" i="4"/>
  <c r="P537" i="4" s="1"/>
  <c r="M537" i="4"/>
  <c r="C537" i="4"/>
  <c r="S537" i="4" s="1"/>
  <c r="N537" i="4" s="1"/>
  <c r="R536" i="4"/>
  <c r="O536" i="4"/>
  <c r="P536" i="4" s="1"/>
  <c r="M536" i="4"/>
  <c r="C536" i="4"/>
  <c r="S536" i="4" s="1"/>
  <c r="N536" i="4" s="1"/>
  <c r="R535" i="4"/>
  <c r="O535" i="4"/>
  <c r="P535" i="4" s="1"/>
  <c r="M535" i="4"/>
  <c r="C535" i="4"/>
  <c r="S535" i="4" s="1"/>
  <c r="N535" i="4" s="1"/>
  <c r="R534" i="4"/>
  <c r="O534" i="4"/>
  <c r="P534" i="4" s="1"/>
  <c r="M534" i="4"/>
  <c r="C534" i="4"/>
  <c r="S534" i="4" s="1"/>
  <c r="N534" i="4" s="1"/>
  <c r="R533" i="4"/>
  <c r="O533" i="4"/>
  <c r="P533" i="4" s="1"/>
  <c r="M533" i="4"/>
  <c r="C533" i="4"/>
  <c r="S533" i="4" s="1"/>
  <c r="N533" i="4" s="1"/>
  <c r="R532" i="4"/>
  <c r="O532" i="4"/>
  <c r="P532" i="4" s="1"/>
  <c r="M532" i="4"/>
  <c r="C532" i="4"/>
  <c r="S532" i="4" s="1"/>
  <c r="R531" i="4"/>
  <c r="O531" i="4"/>
  <c r="P531" i="4" s="1"/>
  <c r="M531" i="4"/>
  <c r="C531" i="4"/>
  <c r="S531" i="4" s="1"/>
  <c r="N531" i="4" s="1"/>
  <c r="R530" i="4"/>
  <c r="O530" i="4"/>
  <c r="P530" i="4" s="1"/>
  <c r="M530" i="4"/>
  <c r="C530" i="4"/>
  <c r="S530" i="4" s="1"/>
  <c r="N530" i="4" s="1"/>
  <c r="R529" i="4"/>
  <c r="O529" i="4"/>
  <c r="P529" i="4" s="1"/>
  <c r="M529" i="4"/>
  <c r="C529" i="4"/>
  <c r="S529" i="4" s="1"/>
  <c r="N529" i="4" s="1"/>
  <c r="R528" i="4"/>
  <c r="O528" i="4"/>
  <c r="P528" i="4" s="1"/>
  <c r="M528" i="4"/>
  <c r="C528" i="4"/>
  <c r="S528" i="4" s="1"/>
  <c r="N528" i="4" s="1"/>
  <c r="R527" i="4"/>
  <c r="O527" i="4"/>
  <c r="P527" i="4" s="1"/>
  <c r="M527" i="4"/>
  <c r="C527" i="4"/>
  <c r="S527" i="4" s="1"/>
  <c r="N527" i="4" s="1"/>
  <c r="R526" i="4"/>
  <c r="O526" i="4"/>
  <c r="P526" i="4" s="1"/>
  <c r="M526" i="4"/>
  <c r="C526" i="4"/>
  <c r="S526" i="4" s="1"/>
  <c r="R525" i="4"/>
  <c r="O525" i="4"/>
  <c r="P525" i="4" s="1"/>
  <c r="M525" i="4"/>
  <c r="C525" i="4"/>
  <c r="S525" i="4" s="1"/>
  <c r="N525" i="4" s="1"/>
  <c r="R524" i="4"/>
  <c r="O524" i="4"/>
  <c r="P524" i="4" s="1"/>
  <c r="M524" i="4"/>
  <c r="C524" i="4"/>
  <c r="S524" i="4" s="1"/>
  <c r="N524" i="4" s="1"/>
  <c r="R523" i="4"/>
  <c r="O523" i="4"/>
  <c r="P523" i="4" s="1"/>
  <c r="M523" i="4"/>
  <c r="C523" i="4"/>
  <c r="S523" i="4" s="1"/>
  <c r="N523" i="4" s="1"/>
  <c r="R522" i="4"/>
  <c r="O522" i="4"/>
  <c r="P522" i="4" s="1"/>
  <c r="M522" i="4"/>
  <c r="C522" i="4"/>
  <c r="S522" i="4" s="1"/>
  <c r="N522" i="4" s="1"/>
  <c r="R521" i="4"/>
  <c r="O521" i="4"/>
  <c r="P521" i="4" s="1"/>
  <c r="M521" i="4"/>
  <c r="C521" i="4"/>
  <c r="S521" i="4" s="1"/>
  <c r="N521" i="4" s="1"/>
  <c r="R520" i="4"/>
  <c r="O520" i="4"/>
  <c r="P520" i="4" s="1"/>
  <c r="M520" i="4"/>
  <c r="C520" i="4"/>
  <c r="S520" i="4" s="1"/>
  <c r="R519" i="4"/>
  <c r="O519" i="4"/>
  <c r="P519" i="4" s="1"/>
  <c r="M519" i="4"/>
  <c r="C519" i="4"/>
  <c r="S519" i="4" s="1"/>
  <c r="N519" i="4" s="1"/>
  <c r="R518" i="4"/>
  <c r="O518" i="4"/>
  <c r="P518" i="4" s="1"/>
  <c r="M518" i="4"/>
  <c r="C518" i="4"/>
  <c r="S518" i="4" s="1"/>
  <c r="N518" i="4" s="1"/>
  <c r="R517" i="4"/>
  <c r="O517" i="4"/>
  <c r="P517" i="4" s="1"/>
  <c r="M517" i="4"/>
  <c r="C517" i="4"/>
  <c r="S517" i="4" s="1"/>
  <c r="N517" i="4" s="1"/>
  <c r="R516" i="4"/>
  <c r="O516" i="4"/>
  <c r="P516" i="4" s="1"/>
  <c r="M516" i="4"/>
  <c r="C516" i="4"/>
  <c r="S516" i="4" s="1"/>
  <c r="N516" i="4" s="1"/>
  <c r="R515" i="4"/>
  <c r="O515" i="4"/>
  <c r="P515" i="4" s="1"/>
  <c r="M515" i="4"/>
  <c r="C515" i="4"/>
  <c r="S515" i="4" s="1"/>
  <c r="N515" i="4" s="1"/>
  <c r="R514" i="4"/>
  <c r="O514" i="4"/>
  <c r="P514" i="4" s="1"/>
  <c r="M514" i="4"/>
  <c r="C514" i="4"/>
  <c r="S514" i="4" s="1"/>
  <c r="R513" i="4"/>
  <c r="O513" i="4"/>
  <c r="P513" i="4" s="1"/>
  <c r="M513" i="4"/>
  <c r="C513" i="4"/>
  <c r="S513" i="4" s="1"/>
  <c r="N513" i="4" s="1"/>
  <c r="R512" i="4"/>
  <c r="O512" i="4"/>
  <c r="P512" i="4" s="1"/>
  <c r="M512" i="4"/>
  <c r="C512" i="4"/>
  <c r="S512" i="4" s="1"/>
  <c r="N512" i="4" s="1"/>
  <c r="R511" i="4"/>
  <c r="O511" i="4"/>
  <c r="P511" i="4" s="1"/>
  <c r="M511" i="4"/>
  <c r="C511" i="4"/>
  <c r="S511" i="4" s="1"/>
  <c r="N511" i="4" s="1"/>
  <c r="R510" i="4"/>
  <c r="O510" i="4"/>
  <c r="P510" i="4" s="1"/>
  <c r="M510" i="4"/>
  <c r="C510" i="4"/>
  <c r="S510" i="4" s="1"/>
  <c r="N510" i="4" s="1"/>
  <c r="R509" i="4"/>
  <c r="O509" i="4"/>
  <c r="P509" i="4" s="1"/>
  <c r="M509" i="4"/>
  <c r="C509" i="4"/>
  <c r="S509" i="4" s="1"/>
  <c r="N509" i="4" s="1"/>
  <c r="R508" i="4"/>
  <c r="O508" i="4"/>
  <c r="P508" i="4" s="1"/>
  <c r="M508" i="4"/>
  <c r="C508" i="4"/>
  <c r="S508" i="4" s="1"/>
  <c r="R507" i="4"/>
  <c r="O507" i="4"/>
  <c r="P507" i="4" s="1"/>
  <c r="M507" i="4"/>
  <c r="C507" i="4"/>
  <c r="S507" i="4" s="1"/>
  <c r="N507" i="4" s="1"/>
  <c r="R506" i="4"/>
  <c r="O506" i="4"/>
  <c r="P506" i="4" s="1"/>
  <c r="M506" i="4"/>
  <c r="C506" i="4"/>
  <c r="S506" i="4" s="1"/>
  <c r="N506" i="4" s="1"/>
  <c r="R505" i="4"/>
  <c r="O505" i="4"/>
  <c r="P505" i="4" s="1"/>
  <c r="M505" i="4"/>
  <c r="C505" i="4"/>
  <c r="S505" i="4" s="1"/>
  <c r="N505" i="4" s="1"/>
  <c r="R504" i="4"/>
  <c r="O504" i="4"/>
  <c r="P504" i="4" s="1"/>
  <c r="M504" i="4"/>
  <c r="C504" i="4"/>
  <c r="S504" i="4" s="1"/>
  <c r="N504" i="4" s="1"/>
  <c r="R503" i="4"/>
  <c r="O503" i="4"/>
  <c r="P503" i="4" s="1"/>
  <c r="M503" i="4"/>
  <c r="C503" i="4"/>
  <c r="S503" i="4" s="1"/>
  <c r="N503" i="4" s="1"/>
  <c r="R502" i="4"/>
  <c r="O502" i="4"/>
  <c r="P502" i="4" s="1"/>
  <c r="M502" i="4"/>
  <c r="C502" i="4"/>
  <c r="S502" i="4" s="1"/>
  <c r="R501" i="4"/>
  <c r="O501" i="4"/>
  <c r="P501" i="4" s="1"/>
  <c r="M501" i="4"/>
  <c r="C501" i="4"/>
  <c r="S501" i="4" s="1"/>
  <c r="N501" i="4" s="1"/>
  <c r="R500" i="4"/>
  <c r="O500" i="4"/>
  <c r="P500" i="4" s="1"/>
  <c r="M500" i="4"/>
  <c r="C500" i="4"/>
  <c r="S500" i="4" s="1"/>
  <c r="N500" i="4" s="1"/>
  <c r="R499" i="4"/>
  <c r="O499" i="4"/>
  <c r="P499" i="4" s="1"/>
  <c r="M499" i="4"/>
  <c r="C499" i="4"/>
  <c r="S499" i="4" s="1"/>
  <c r="N499" i="4" s="1"/>
  <c r="R498" i="4"/>
  <c r="O498" i="4"/>
  <c r="P498" i="4" s="1"/>
  <c r="M498" i="4"/>
  <c r="C498" i="4"/>
  <c r="S498" i="4" s="1"/>
  <c r="N498" i="4" s="1"/>
  <c r="R497" i="4"/>
  <c r="O497" i="4"/>
  <c r="P497" i="4" s="1"/>
  <c r="M497" i="4"/>
  <c r="C497" i="4"/>
  <c r="S497" i="4" s="1"/>
  <c r="N497" i="4" s="1"/>
  <c r="R496" i="4"/>
  <c r="O496" i="4"/>
  <c r="P496" i="4" s="1"/>
  <c r="M496" i="4"/>
  <c r="C496" i="4"/>
  <c r="S496" i="4" s="1"/>
  <c r="R495" i="4"/>
  <c r="O495" i="4"/>
  <c r="P495" i="4" s="1"/>
  <c r="M495" i="4"/>
  <c r="C495" i="4"/>
  <c r="S495" i="4" s="1"/>
  <c r="N495" i="4" s="1"/>
  <c r="R494" i="4"/>
  <c r="O494" i="4"/>
  <c r="P494" i="4" s="1"/>
  <c r="M494" i="4"/>
  <c r="C494" i="4"/>
  <c r="S494" i="4" s="1"/>
  <c r="N494" i="4" s="1"/>
  <c r="R493" i="4"/>
  <c r="O493" i="4"/>
  <c r="P493" i="4" s="1"/>
  <c r="M493" i="4"/>
  <c r="C493" i="4"/>
  <c r="S493" i="4" s="1"/>
  <c r="N493" i="4" s="1"/>
  <c r="R492" i="4"/>
  <c r="O492" i="4"/>
  <c r="P492" i="4" s="1"/>
  <c r="M492" i="4"/>
  <c r="C492" i="4"/>
  <c r="S492" i="4" s="1"/>
  <c r="N492" i="4" s="1"/>
  <c r="R491" i="4"/>
  <c r="O491" i="4"/>
  <c r="P491" i="4" s="1"/>
  <c r="M491" i="4"/>
  <c r="C491" i="4"/>
  <c r="S491" i="4" s="1"/>
  <c r="N491" i="4" s="1"/>
  <c r="R490" i="4"/>
  <c r="O490" i="4"/>
  <c r="P490" i="4" s="1"/>
  <c r="M490" i="4"/>
  <c r="C490" i="4"/>
  <c r="S490" i="4" s="1"/>
  <c r="R489" i="4"/>
  <c r="O489" i="4"/>
  <c r="P489" i="4" s="1"/>
  <c r="M489" i="4"/>
  <c r="C489" i="4"/>
  <c r="S489" i="4" s="1"/>
  <c r="N489" i="4" s="1"/>
  <c r="R488" i="4"/>
  <c r="O488" i="4"/>
  <c r="P488" i="4" s="1"/>
  <c r="M488" i="4"/>
  <c r="C488" i="4"/>
  <c r="S488" i="4" s="1"/>
  <c r="N488" i="4" s="1"/>
  <c r="R487" i="4"/>
  <c r="O487" i="4"/>
  <c r="P487" i="4" s="1"/>
  <c r="M487" i="4"/>
  <c r="C487" i="4"/>
  <c r="S487" i="4" s="1"/>
  <c r="N487" i="4" s="1"/>
  <c r="R486" i="4"/>
  <c r="O486" i="4"/>
  <c r="P486" i="4" s="1"/>
  <c r="M486" i="4"/>
  <c r="C486" i="4"/>
  <c r="S486" i="4" s="1"/>
  <c r="N486" i="4" s="1"/>
  <c r="R485" i="4"/>
  <c r="O485" i="4"/>
  <c r="P485" i="4" s="1"/>
  <c r="M485" i="4"/>
  <c r="C485" i="4"/>
  <c r="S485" i="4" s="1"/>
  <c r="N485" i="4" s="1"/>
  <c r="R484" i="4"/>
  <c r="O484" i="4"/>
  <c r="P484" i="4" s="1"/>
  <c r="M484" i="4"/>
  <c r="C484" i="4"/>
  <c r="S484" i="4" s="1"/>
  <c r="R483" i="4"/>
  <c r="O483" i="4"/>
  <c r="P483" i="4" s="1"/>
  <c r="M483" i="4"/>
  <c r="C483" i="4"/>
  <c r="S483" i="4" s="1"/>
  <c r="N483" i="4" s="1"/>
  <c r="R482" i="4"/>
  <c r="O482" i="4"/>
  <c r="P482" i="4" s="1"/>
  <c r="M482" i="4"/>
  <c r="C482" i="4"/>
  <c r="S482" i="4" s="1"/>
  <c r="N482" i="4" s="1"/>
  <c r="R481" i="4"/>
  <c r="O481" i="4"/>
  <c r="P481" i="4" s="1"/>
  <c r="M481" i="4"/>
  <c r="C481" i="4"/>
  <c r="S481" i="4" s="1"/>
  <c r="N481" i="4" s="1"/>
  <c r="R480" i="4"/>
  <c r="O480" i="4"/>
  <c r="P480" i="4" s="1"/>
  <c r="M480" i="4"/>
  <c r="C480" i="4"/>
  <c r="S480" i="4" s="1"/>
  <c r="N480" i="4" s="1"/>
  <c r="R479" i="4"/>
  <c r="O479" i="4"/>
  <c r="P479" i="4" s="1"/>
  <c r="M479" i="4"/>
  <c r="C479" i="4"/>
  <c r="S479" i="4" s="1"/>
  <c r="N479" i="4" s="1"/>
  <c r="R478" i="4"/>
  <c r="O478" i="4"/>
  <c r="P478" i="4" s="1"/>
  <c r="M478" i="4"/>
  <c r="C478" i="4"/>
  <c r="S478" i="4" s="1"/>
  <c r="R477" i="4"/>
  <c r="O477" i="4"/>
  <c r="P477" i="4" s="1"/>
  <c r="M477" i="4"/>
  <c r="C477" i="4"/>
  <c r="S477" i="4" s="1"/>
  <c r="N477" i="4" s="1"/>
  <c r="R476" i="4"/>
  <c r="O476" i="4"/>
  <c r="P476" i="4" s="1"/>
  <c r="M476" i="4"/>
  <c r="C476" i="4"/>
  <c r="S476" i="4" s="1"/>
  <c r="R475" i="4"/>
  <c r="O475" i="4"/>
  <c r="P475" i="4" s="1"/>
  <c r="M475" i="4"/>
  <c r="C475" i="4"/>
  <c r="S475" i="4" s="1"/>
  <c r="N475" i="4" s="1"/>
  <c r="R474" i="4"/>
  <c r="O474" i="4"/>
  <c r="P474" i="4" s="1"/>
  <c r="M474" i="4"/>
  <c r="C474" i="4"/>
  <c r="S474" i="4" s="1"/>
  <c r="N474" i="4" s="1"/>
  <c r="R473" i="4"/>
  <c r="O473" i="4"/>
  <c r="P473" i="4" s="1"/>
  <c r="M473" i="4"/>
  <c r="C473" i="4"/>
  <c r="S473" i="4" s="1"/>
  <c r="N473" i="4" s="1"/>
  <c r="R472" i="4"/>
  <c r="O472" i="4"/>
  <c r="P472" i="4" s="1"/>
  <c r="M472" i="4"/>
  <c r="C472" i="4"/>
  <c r="S472" i="4" s="1"/>
  <c r="N472" i="4" s="1"/>
  <c r="R471" i="4"/>
  <c r="O471" i="4"/>
  <c r="P471" i="4" s="1"/>
  <c r="M471" i="4"/>
  <c r="C471" i="4"/>
  <c r="S471" i="4" s="1"/>
  <c r="N471" i="4" s="1"/>
  <c r="R470" i="4"/>
  <c r="O470" i="4"/>
  <c r="P470" i="4" s="1"/>
  <c r="M470" i="4"/>
  <c r="C470" i="4"/>
  <c r="S470" i="4" s="1"/>
  <c r="R469" i="4"/>
  <c r="O469" i="4"/>
  <c r="P469" i="4" s="1"/>
  <c r="M469" i="4"/>
  <c r="C469" i="4"/>
  <c r="S469" i="4" s="1"/>
  <c r="N469" i="4" s="1"/>
  <c r="R468" i="4"/>
  <c r="O468" i="4"/>
  <c r="P468" i="4" s="1"/>
  <c r="M468" i="4"/>
  <c r="C468" i="4"/>
  <c r="S468" i="4" s="1"/>
  <c r="N468" i="4" s="1"/>
  <c r="R467" i="4"/>
  <c r="O467" i="4"/>
  <c r="P467" i="4" s="1"/>
  <c r="M467" i="4"/>
  <c r="C467" i="4"/>
  <c r="S467" i="4" s="1"/>
  <c r="N467" i="4" s="1"/>
  <c r="R466" i="4"/>
  <c r="O466" i="4"/>
  <c r="P466" i="4" s="1"/>
  <c r="M466" i="4"/>
  <c r="C466" i="4"/>
  <c r="S466" i="4" s="1"/>
  <c r="R465" i="4"/>
  <c r="O465" i="4"/>
  <c r="P465" i="4" s="1"/>
  <c r="M465" i="4"/>
  <c r="C465" i="4"/>
  <c r="S465" i="4" s="1"/>
  <c r="N465" i="4" s="1"/>
  <c r="R464" i="4"/>
  <c r="O464" i="4"/>
  <c r="P464" i="4" s="1"/>
  <c r="M464" i="4"/>
  <c r="C464" i="4"/>
  <c r="S464" i="4" s="1"/>
  <c r="N464" i="4" s="1"/>
  <c r="R463" i="4"/>
  <c r="O463" i="4"/>
  <c r="P463" i="4" s="1"/>
  <c r="M463" i="4"/>
  <c r="C463" i="4"/>
  <c r="S463" i="4" s="1"/>
  <c r="N463" i="4" s="1"/>
  <c r="R462" i="4"/>
  <c r="O462" i="4"/>
  <c r="P462" i="4" s="1"/>
  <c r="M462" i="4"/>
  <c r="C462" i="4"/>
  <c r="S462" i="4" s="1"/>
  <c r="N462" i="4" s="1"/>
  <c r="R461" i="4"/>
  <c r="O461" i="4"/>
  <c r="P461" i="4" s="1"/>
  <c r="M461" i="4"/>
  <c r="C461" i="4"/>
  <c r="S461" i="4" s="1"/>
  <c r="N461" i="4" s="1"/>
  <c r="R460" i="4"/>
  <c r="O460" i="4"/>
  <c r="P460" i="4" s="1"/>
  <c r="M460" i="4"/>
  <c r="C460" i="4"/>
  <c r="S460" i="4" s="1"/>
  <c r="R459" i="4"/>
  <c r="O459" i="4"/>
  <c r="P459" i="4" s="1"/>
  <c r="M459" i="4"/>
  <c r="C459" i="4"/>
  <c r="S459" i="4" s="1"/>
  <c r="N459" i="4" s="1"/>
  <c r="R458" i="4"/>
  <c r="O458" i="4"/>
  <c r="P458" i="4" s="1"/>
  <c r="M458" i="4"/>
  <c r="C458" i="4"/>
  <c r="S458" i="4" s="1"/>
  <c r="T458" i="4" s="1"/>
  <c r="R457" i="4"/>
  <c r="O457" i="4"/>
  <c r="P457" i="4" s="1"/>
  <c r="M457" i="4"/>
  <c r="C457" i="4"/>
  <c r="S457" i="4" s="1"/>
  <c r="N457" i="4" s="1"/>
  <c r="R456" i="4"/>
  <c r="O456" i="4"/>
  <c r="P456" i="4" s="1"/>
  <c r="M456" i="4"/>
  <c r="C456" i="4"/>
  <c r="S456" i="4" s="1"/>
  <c r="N456" i="4" s="1"/>
  <c r="R455" i="4"/>
  <c r="O455" i="4"/>
  <c r="P455" i="4" s="1"/>
  <c r="M455" i="4"/>
  <c r="C455" i="4"/>
  <c r="S455" i="4" s="1"/>
  <c r="N455" i="4" s="1"/>
  <c r="R454" i="4"/>
  <c r="O454" i="4"/>
  <c r="P454" i="4" s="1"/>
  <c r="M454" i="4"/>
  <c r="C454" i="4"/>
  <c r="S454" i="4" s="1"/>
  <c r="R453" i="4"/>
  <c r="O453" i="4"/>
  <c r="P453" i="4" s="1"/>
  <c r="M453" i="4"/>
  <c r="C453" i="4"/>
  <c r="S453" i="4" s="1"/>
  <c r="N453" i="4" s="1"/>
  <c r="R452" i="4"/>
  <c r="O452" i="4"/>
  <c r="P452" i="4" s="1"/>
  <c r="M452" i="4"/>
  <c r="C452" i="4"/>
  <c r="S452" i="4" s="1"/>
  <c r="R451" i="4"/>
  <c r="O451" i="4"/>
  <c r="P451" i="4" s="1"/>
  <c r="M451" i="4"/>
  <c r="C451" i="4"/>
  <c r="S451" i="4" s="1"/>
  <c r="N451" i="4" s="1"/>
  <c r="R450" i="4"/>
  <c r="O450" i="4"/>
  <c r="P450" i="4" s="1"/>
  <c r="M450" i="4"/>
  <c r="C450" i="4"/>
  <c r="S450" i="4" s="1"/>
  <c r="N450" i="4" s="1"/>
  <c r="R449" i="4"/>
  <c r="O449" i="4"/>
  <c r="P449" i="4" s="1"/>
  <c r="M449" i="4"/>
  <c r="C449" i="4"/>
  <c r="S449" i="4" s="1"/>
  <c r="N449" i="4" s="1"/>
  <c r="R448" i="4"/>
  <c r="O448" i="4"/>
  <c r="P448" i="4" s="1"/>
  <c r="M448" i="4"/>
  <c r="C448" i="4"/>
  <c r="S448" i="4" s="1"/>
  <c r="R447" i="4"/>
  <c r="O447" i="4"/>
  <c r="P447" i="4" s="1"/>
  <c r="M447" i="4"/>
  <c r="C447" i="4"/>
  <c r="S447" i="4" s="1"/>
  <c r="N447" i="4" s="1"/>
  <c r="R446" i="4"/>
  <c r="O446" i="4"/>
  <c r="P446" i="4" s="1"/>
  <c r="M446" i="4"/>
  <c r="C446" i="4"/>
  <c r="S446" i="4" s="1"/>
  <c r="N446" i="4" s="1"/>
  <c r="R445" i="4"/>
  <c r="O445" i="4"/>
  <c r="P445" i="4" s="1"/>
  <c r="M445" i="4"/>
  <c r="C445" i="4"/>
  <c r="S445" i="4" s="1"/>
  <c r="N445" i="4" s="1"/>
  <c r="R444" i="4"/>
  <c r="O444" i="4"/>
  <c r="P444" i="4" s="1"/>
  <c r="M444" i="4"/>
  <c r="C444" i="4"/>
  <c r="S444" i="4" s="1"/>
  <c r="N444" i="4" s="1"/>
  <c r="R443" i="4"/>
  <c r="O443" i="4"/>
  <c r="P443" i="4" s="1"/>
  <c r="M443" i="4"/>
  <c r="C443" i="4"/>
  <c r="S443" i="4" s="1"/>
  <c r="N443" i="4" s="1"/>
  <c r="R442" i="4"/>
  <c r="O442" i="4"/>
  <c r="P442" i="4" s="1"/>
  <c r="M442" i="4"/>
  <c r="C442" i="4"/>
  <c r="S442" i="4" s="1"/>
  <c r="R441" i="4"/>
  <c r="O441" i="4"/>
  <c r="P441" i="4" s="1"/>
  <c r="M441" i="4"/>
  <c r="C441" i="4"/>
  <c r="S441" i="4" s="1"/>
  <c r="N441" i="4" s="1"/>
  <c r="R440" i="4"/>
  <c r="O440" i="4"/>
  <c r="P440" i="4" s="1"/>
  <c r="M440" i="4"/>
  <c r="C440" i="4"/>
  <c r="S440" i="4" s="1"/>
  <c r="R439" i="4"/>
  <c r="O439" i="4"/>
  <c r="P439" i="4" s="1"/>
  <c r="M439" i="4"/>
  <c r="C439" i="4"/>
  <c r="S439" i="4" s="1"/>
  <c r="N439" i="4" s="1"/>
  <c r="R438" i="4"/>
  <c r="O438" i="4"/>
  <c r="P438" i="4" s="1"/>
  <c r="M438" i="4"/>
  <c r="C438" i="4"/>
  <c r="S438" i="4" s="1"/>
  <c r="N438" i="4" s="1"/>
  <c r="R437" i="4"/>
  <c r="O437" i="4"/>
  <c r="P437" i="4" s="1"/>
  <c r="M437" i="4"/>
  <c r="C437" i="4"/>
  <c r="S437" i="4" s="1"/>
  <c r="R436" i="4"/>
  <c r="O436" i="4"/>
  <c r="P436" i="4" s="1"/>
  <c r="M436" i="4"/>
  <c r="C436" i="4"/>
  <c r="S436" i="4" s="1"/>
  <c r="R435" i="4"/>
  <c r="O435" i="4"/>
  <c r="P435" i="4" s="1"/>
  <c r="M435" i="4"/>
  <c r="C435" i="4"/>
  <c r="S435" i="4" s="1"/>
  <c r="N435" i="4" s="1"/>
  <c r="R434" i="4"/>
  <c r="O434" i="4"/>
  <c r="P434" i="4" s="1"/>
  <c r="M434" i="4"/>
  <c r="C434" i="4"/>
  <c r="S434" i="4" s="1"/>
  <c r="T434" i="4" s="1"/>
  <c r="R433" i="4"/>
  <c r="O433" i="4"/>
  <c r="P433" i="4" s="1"/>
  <c r="M433" i="4"/>
  <c r="C433" i="4"/>
  <c r="S433" i="4" s="1"/>
  <c r="N433" i="4" s="1"/>
  <c r="R432" i="4"/>
  <c r="O432" i="4"/>
  <c r="P432" i="4" s="1"/>
  <c r="M432" i="4"/>
  <c r="C432" i="4"/>
  <c r="S432" i="4" s="1"/>
  <c r="N432" i="4" s="1"/>
  <c r="R431" i="4"/>
  <c r="O431" i="4"/>
  <c r="P431" i="4" s="1"/>
  <c r="M431" i="4"/>
  <c r="C431" i="4"/>
  <c r="S431" i="4" s="1"/>
  <c r="N431" i="4" s="1"/>
  <c r="R430" i="4"/>
  <c r="O430" i="4"/>
  <c r="P430" i="4" s="1"/>
  <c r="M430" i="4"/>
  <c r="C430" i="4"/>
  <c r="S430" i="4" s="1"/>
  <c r="R429" i="4"/>
  <c r="O429" i="4"/>
  <c r="P429" i="4" s="1"/>
  <c r="M429" i="4"/>
  <c r="C429" i="4"/>
  <c r="S429" i="4" s="1"/>
  <c r="R428" i="4"/>
  <c r="O428" i="4"/>
  <c r="P428" i="4" s="1"/>
  <c r="M428" i="4"/>
  <c r="C428" i="4"/>
  <c r="S428" i="4" s="1"/>
  <c r="R427" i="4"/>
  <c r="O427" i="4"/>
  <c r="P427" i="4" s="1"/>
  <c r="M427" i="4"/>
  <c r="C427" i="4"/>
  <c r="S427" i="4" s="1"/>
  <c r="N427" i="4" s="1"/>
  <c r="R426" i="4"/>
  <c r="O426" i="4"/>
  <c r="P426" i="4" s="1"/>
  <c r="M426" i="4"/>
  <c r="C426" i="4"/>
  <c r="S426" i="4" s="1"/>
  <c r="N426" i="4" s="1"/>
  <c r="R425" i="4"/>
  <c r="O425" i="4"/>
  <c r="P425" i="4" s="1"/>
  <c r="M425" i="4"/>
  <c r="C425" i="4"/>
  <c r="S425" i="4" s="1"/>
  <c r="R424" i="4"/>
  <c r="O424" i="4"/>
  <c r="P424" i="4" s="1"/>
  <c r="M424" i="4"/>
  <c r="C424" i="4"/>
  <c r="S424" i="4" s="1"/>
  <c r="R423" i="4"/>
  <c r="O423" i="4"/>
  <c r="P423" i="4" s="1"/>
  <c r="M423" i="4"/>
  <c r="C423" i="4"/>
  <c r="S423" i="4" s="1"/>
  <c r="R422" i="4"/>
  <c r="O422" i="4"/>
  <c r="P422" i="4" s="1"/>
  <c r="M422" i="4"/>
  <c r="C422" i="4"/>
  <c r="S422" i="4" s="1"/>
  <c r="N422" i="4" s="1"/>
  <c r="R421" i="4"/>
  <c r="O421" i="4"/>
  <c r="P421" i="4" s="1"/>
  <c r="M421" i="4"/>
  <c r="C421" i="4"/>
  <c r="S421" i="4" s="1"/>
  <c r="N421" i="4" s="1"/>
  <c r="R420" i="4"/>
  <c r="O420" i="4"/>
  <c r="P420" i="4" s="1"/>
  <c r="M420" i="4"/>
  <c r="C420" i="4"/>
  <c r="S420" i="4" s="1"/>
  <c r="N420" i="4" s="1"/>
  <c r="R419" i="4"/>
  <c r="O419" i="4"/>
  <c r="P419" i="4" s="1"/>
  <c r="M419" i="4"/>
  <c r="C419" i="4"/>
  <c r="S419" i="4" s="1"/>
  <c r="N419" i="4" s="1"/>
  <c r="R418" i="4"/>
  <c r="O418" i="4"/>
  <c r="P418" i="4" s="1"/>
  <c r="M418" i="4"/>
  <c r="C418" i="4"/>
  <c r="S418" i="4" s="1"/>
  <c r="R417" i="4"/>
  <c r="O417" i="4"/>
  <c r="P417" i="4" s="1"/>
  <c r="M417" i="4"/>
  <c r="C417" i="4"/>
  <c r="S417" i="4" s="1"/>
  <c r="R416" i="4"/>
  <c r="O416" i="4"/>
  <c r="P416" i="4" s="1"/>
  <c r="M416" i="4"/>
  <c r="C416" i="4"/>
  <c r="S416" i="4" s="1"/>
  <c r="N416" i="4" s="1"/>
  <c r="R415" i="4"/>
  <c r="O415" i="4"/>
  <c r="P415" i="4" s="1"/>
  <c r="M415" i="4"/>
  <c r="C415" i="4"/>
  <c r="S415" i="4" s="1"/>
  <c r="N415" i="4" s="1"/>
  <c r="R414" i="4"/>
  <c r="O414" i="4"/>
  <c r="P414" i="4" s="1"/>
  <c r="M414" i="4"/>
  <c r="C414" i="4"/>
  <c r="S414" i="4" s="1"/>
  <c r="N414" i="4" s="1"/>
  <c r="R413" i="4"/>
  <c r="O413" i="4"/>
  <c r="P413" i="4" s="1"/>
  <c r="M413" i="4"/>
  <c r="C413" i="4"/>
  <c r="S413" i="4" s="1"/>
  <c r="R412" i="4"/>
  <c r="O412" i="4"/>
  <c r="P412" i="4" s="1"/>
  <c r="M412" i="4"/>
  <c r="C412" i="4"/>
  <c r="S412" i="4" s="1"/>
  <c r="N412" i="4" s="1"/>
  <c r="R411" i="4"/>
  <c r="O411" i="4"/>
  <c r="P411" i="4" s="1"/>
  <c r="M411" i="4"/>
  <c r="C411" i="4"/>
  <c r="S411" i="4" s="1"/>
  <c r="R410" i="4"/>
  <c r="O410" i="4"/>
  <c r="P410" i="4" s="1"/>
  <c r="M410" i="4"/>
  <c r="C410" i="4"/>
  <c r="S410" i="4" s="1"/>
  <c r="R409" i="4"/>
  <c r="O409" i="4"/>
  <c r="P409" i="4" s="1"/>
  <c r="M409" i="4"/>
  <c r="C409" i="4"/>
  <c r="S409" i="4" s="1"/>
  <c r="R408" i="4"/>
  <c r="O408" i="4"/>
  <c r="P408" i="4" s="1"/>
  <c r="M408" i="4"/>
  <c r="C408" i="4"/>
  <c r="S408" i="4" s="1"/>
  <c r="N408" i="4" s="1"/>
  <c r="R407" i="4"/>
  <c r="O407" i="4"/>
  <c r="P407" i="4" s="1"/>
  <c r="M407" i="4"/>
  <c r="C407" i="4"/>
  <c r="S407" i="4" s="1"/>
  <c r="R406" i="4"/>
  <c r="O406" i="4"/>
  <c r="P406" i="4" s="1"/>
  <c r="M406" i="4"/>
  <c r="C406" i="4"/>
  <c r="S406" i="4" s="1"/>
  <c r="N406" i="4" s="1"/>
  <c r="R405" i="4"/>
  <c r="O405" i="4"/>
  <c r="P405" i="4" s="1"/>
  <c r="M405" i="4"/>
  <c r="C405" i="4"/>
  <c r="S405" i="4" s="1"/>
  <c r="R404" i="4"/>
  <c r="O404" i="4"/>
  <c r="P404" i="4" s="1"/>
  <c r="M404" i="4"/>
  <c r="C404" i="4"/>
  <c r="S404" i="4" s="1"/>
  <c r="N404" i="4" s="1"/>
  <c r="R403" i="4"/>
  <c r="O403" i="4"/>
  <c r="P403" i="4" s="1"/>
  <c r="M403" i="4"/>
  <c r="C403" i="4"/>
  <c r="S403" i="4" s="1"/>
  <c r="N403" i="4" s="1"/>
  <c r="R402" i="4"/>
  <c r="O402" i="4"/>
  <c r="P402" i="4" s="1"/>
  <c r="M402" i="4"/>
  <c r="C402" i="4"/>
  <c r="S402" i="4" s="1"/>
  <c r="N402" i="4" s="1"/>
  <c r="R401" i="4"/>
  <c r="O401" i="4"/>
  <c r="P401" i="4" s="1"/>
  <c r="M401" i="4"/>
  <c r="C401" i="4"/>
  <c r="S401" i="4" s="1"/>
  <c r="N401" i="4" s="1"/>
  <c r="R400" i="4"/>
  <c r="O400" i="4"/>
  <c r="P400" i="4" s="1"/>
  <c r="M400" i="4"/>
  <c r="C400" i="4"/>
  <c r="S400" i="4" s="1"/>
  <c r="N400" i="4" s="1"/>
  <c r="R399" i="4"/>
  <c r="O399" i="4"/>
  <c r="P399" i="4" s="1"/>
  <c r="M399" i="4"/>
  <c r="C399" i="4"/>
  <c r="S399" i="4" s="1"/>
  <c r="R398" i="4"/>
  <c r="O398" i="4"/>
  <c r="P398" i="4" s="1"/>
  <c r="M398" i="4"/>
  <c r="C398" i="4"/>
  <c r="S398" i="4" s="1"/>
  <c r="N398" i="4" s="1"/>
  <c r="R397" i="4"/>
  <c r="O397" i="4"/>
  <c r="P397" i="4" s="1"/>
  <c r="M397" i="4"/>
  <c r="C397" i="4"/>
  <c r="S397" i="4" s="1"/>
  <c r="R396" i="4"/>
  <c r="O396" i="4"/>
  <c r="P396" i="4" s="1"/>
  <c r="M396" i="4"/>
  <c r="C396" i="4"/>
  <c r="S396" i="4" s="1"/>
  <c r="N396" i="4" s="1"/>
  <c r="R395" i="4"/>
  <c r="O395" i="4"/>
  <c r="P395" i="4" s="1"/>
  <c r="M395" i="4"/>
  <c r="C395" i="4"/>
  <c r="S395" i="4" s="1"/>
  <c r="N395" i="4" s="1"/>
  <c r="R394" i="4"/>
  <c r="O394" i="4"/>
  <c r="P394" i="4" s="1"/>
  <c r="M394" i="4"/>
  <c r="C394" i="4"/>
  <c r="S394" i="4" s="1"/>
  <c r="N394" i="4" s="1"/>
  <c r="R393" i="4"/>
  <c r="O393" i="4"/>
  <c r="P393" i="4" s="1"/>
  <c r="M393" i="4"/>
  <c r="C393" i="4"/>
  <c r="S393" i="4" s="1"/>
  <c r="R392" i="4"/>
  <c r="O392" i="4"/>
  <c r="P392" i="4" s="1"/>
  <c r="M392" i="4"/>
  <c r="C392" i="4"/>
  <c r="S392" i="4" s="1"/>
  <c r="N392" i="4" s="1"/>
  <c r="R391" i="4"/>
  <c r="O391" i="4"/>
  <c r="P391" i="4" s="1"/>
  <c r="M391" i="4"/>
  <c r="C391" i="4"/>
  <c r="S391" i="4" s="1"/>
  <c r="N391" i="4" s="1"/>
  <c r="R390" i="4"/>
  <c r="O390" i="4"/>
  <c r="P390" i="4" s="1"/>
  <c r="M390" i="4"/>
  <c r="C390" i="4"/>
  <c r="S390" i="4" s="1"/>
  <c r="R389" i="4"/>
  <c r="O389" i="4"/>
  <c r="P389" i="4" s="1"/>
  <c r="M389" i="4"/>
  <c r="C389" i="4"/>
  <c r="S389" i="4" s="1"/>
  <c r="T389" i="4" s="1"/>
  <c r="R388" i="4"/>
  <c r="O388" i="4"/>
  <c r="P388" i="4" s="1"/>
  <c r="M388" i="4"/>
  <c r="C388" i="4"/>
  <c r="S388" i="4" s="1"/>
  <c r="N388" i="4" s="1"/>
  <c r="R387" i="4"/>
  <c r="O387" i="4"/>
  <c r="P387" i="4" s="1"/>
  <c r="M387" i="4"/>
  <c r="C387" i="4"/>
  <c r="S387" i="4" s="1"/>
  <c r="R386" i="4"/>
  <c r="O386" i="4"/>
  <c r="P386" i="4" s="1"/>
  <c r="M386" i="4"/>
  <c r="C386" i="4"/>
  <c r="S386" i="4" s="1"/>
  <c r="N386" i="4" s="1"/>
  <c r="R385" i="4"/>
  <c r="O385" i="4"/>
  <c r="P385" i="4" s="1"/>
  <c r="M385" i="4"/>
  <c r="C385" i="4"/>
  <c r="S385" i="4" s="1"/>
  <c r="N385" i="4" s="1"/>
  <c r="R384" i="4"/>
  <c r="O384" i="4"/>
  <c r="P384" i="4" s="1"/>
  <c r="M384" i="4"/>
  <c r="C384" i="4"/>
  <c r="S384" i="4" s="1"/>
  <c r="N384" i="4" s="1"/>
  <c r="R383" i="4"/>
  <c r="O383" i="4"/>
  <c r="P383" i="4" s="1"/>
  <c r="M383" i="4"/>
  <c r="C383" i="4"/>
  <c r="S383" i="4" s="1"/>
  <c r="N383" i="4" s="1"/>
  <c r="R382" i="4"/>
  <c r="O382" i="4"/>
  <c r="P382" i="4" s="1"/>
  <c r="M382" i="4"/>
  <c r="C382" i="4"/>
  <c r="S382" i="4" s="1"/>
  <c r="N382" i="4" s="1"/>
  <c r="R381" i="4"/>
  <c r="O381" i="4"/>
  <c r="P381" i="4" s="1"/>
  <c r="M381" i="4"/>
  <c r="C381" i="4"/>
  <c r="S381" i="4" s="1"/>
  <c r="R380" i="4"/>
  <c r="O380" i="4"/>
  <c r="P380" i="4" s="1"/>
  <c r="M380" i="4"/>
  <c r="C380" i="4"/>
  <c r="S380" i="4" s="1"/>
  <c r="N380" i="4" s="1"/>
  <c r="R379" i="4"/>
  <c r="O379" i="4"/>
  <c r="P379" i="4" s="1"/>
  <c r="M379" i="4"/>
  <c r="C379" i="4"/>
  <c r="S379" i="4" s="1"/>
  <c r="R378" i="4"/>
  <c r="O378" i="4"/>
  <c r="P378" i="4" s="1"/>
  <c r="M378" i="4"/>
  <c r="C378" i="4"/>
  <c r="S378" i="4" s="1"/>
  <c r="N378" i="4" s="1"/>
  <c r="R377" i="4"/>
  <c r="O377" i="4"/>
  <c r="P377" i="4" s="1"/>
  <c r="M377" i="4"/>
  <c r="C377" i="4"/>
  <c r="S377" i="4" s="1"/>
  <c r="N377" i="4" s="1"/>
  <c r="R376" i="4"/>
  <c r="O376" i="4"/>
  <c r="P376" i="4" s="1"/>
  <c r="M376" i="4"/>
  <c r="C376" i="4"/>
  <c r="S376" i="4" s="1"/>
  <c r="N376" i="4" s="1"/>
  <c r="R375" i="4"/>
  <c r="O375" i="4"/>
  <c r="P375" i="4" s="1"/>
  <c r="M375" i="4"/>
  <c r="C375" i="4"/>
  <c r="S375" i="4" s="1"/>
  <c r="R374" i="4"/>
  <c r="O374" i="4"/>
  <c r="P374" i="4" s="1"/>
  <c r="M374" i="4"/>
  <c r="C374" i="4"/>
  <c r="S374" i="4" s="1"/>
  <c r="R373" i="4"/>
  <c r="O373" i="4"/>
  <c r="P373" i="4" s="1"/>
  <c r="M373" i="4"/>
  <c r="C373" i="4"/>
  <c r="S373" i="4" s="1"/>
  <c r="R372" i="4"/>
  <c r="O372" i="4"/>
  <c r="P372" i="4" s="1"/>
  <c r="M372" i="4"/>
  <c r="C372" i="4"/>
  <c r="S372" i="4" s="1"/>
  <c r="N372" i="4" s="1"/>
  <c r="R371" i="4"/>
  <c r="O371" i="4"/>
  <c r="P371" i="4" s="1"/>
  <c r="M371" i="4"/>
  <c r="C371" i="4"/>
  <c r="S371" i="4" s="1"/>
  <c r="N371" i="4" s="1"/>
  <c r="R370" i="4"/>
  <c r="O370" i="4"/>
  <c r="P370" i="4" s="1"/>
  <c r="M370" i="4"/>
  <c r="C370" i="4"/>
  <c r="S370" i="4" s="1"/>
  <c r="N370" i="4" s="1"/>
  <c r="R369" i="4"/>
  <c r="O369" i="4"/>
  <c r="P369" i="4" s="1"/>
  <c r="M369" i="4"/>
  <c r="C369" i="4"/>
  <c r="S369" i="4" s="1"/>
  <c r="R368" i="4"/>
  <c r="O368" i="4"/>
  <c r="P368" i="4" s="1"/>
  <c r="M368" i="4"/>
  <c r="C368" i="4"/>
  <c r="S368" i="4" s="1"/>
  <c r="N368" i="4" s="1"/>
  <c r="R367" i="4"/>
  <c r="O367" i="4"/>
  <c r="P367" i="4" s="1"/>
  <c r="M367" i="4"/>
  <c r="C367" i="4"/>
  <c r="S367" i="4" s="1"/>
  <c r="N367" i="4" s="1"/>
  <c r="R366" i="4"/>
  <c r="O366" i="4"/>
  <c r="P366" i="4" s="1"/>
  <c r="M366" i="4"/>
  <c r="C366" i="4"/>
  <c r="S366" i="4" s="1"/>
  <c r="R365" i="4"/>
  <c r="O365" i="4"/>
  <c r="P365" i="4" s="1"/>
  <c r="M365" i="4"/>
  <c r="C365" i="4"/>
  <c r="S365" i="4" s="1"/>
  <c r="R364" i="4"/>
  <c r="O364" i="4"/>
  <c r="P364" i="4" s="1"/>
  <c r="M364" i="4"/>
  <c r="C364" i="4"/>
  <c r="S364" i="4" s="1"/>
  <c r="N364" i="4" s="1"/>
  <c r="R363" i="4"/>
  <c r="O363" i="4"/>
  <c r="P363" i="4" s="1"/>
  <c r="M363" i="4"/>
  <c r="C363" i="4"/>
  <c r="S363" i="4" s="1"/>
  <c r="N363" i="4" s="1"/>
  <c r="R362" i="4"/>
  <c r="O362" i="4"/>
  <c r="P362" i="4" s="1"/>
  <c r="M362" i="4"/>
  <c r="C362" i="4"/>
  <c r="S362" i="4" s="1"/>
  <c r="N362" i="4" s="1"/>
  <c r="R361" i="4"/>
  <c r="O361" i="4"/>
  <c r="P361" i="4" s="1"/>
  <c r="M361" i="4"/>
  <c r="C361" i="4"/>
  <c r="S361" i="4" s="1"/>
  <c r="R360" i="4"/>
  <c r="O360" i="4"/>
  <c r="P360" i="4" s="1"/>
  <c r="M360" i="4"/>
  <c r="C360" i="4"/>
  <c r="S360" i="4" s="1"/>
  <c r="N360" i="4" s="1"/>
  <c r="R359" i="4"/>
  <c r="O359" i="4"/>
  <c r="P359" i="4" s="1"/>
  <c r="M359" i="4"/>
  <c r="C359" i="4"/>
  <c r="S359" i="4" s="1"/>
  <c r="N359" i="4" s="1"/>
  <c r="R358" i="4"/>
  <c r="O358" i="4"/>
  <c r="P358" i="4" s="1"/>
  <c r="M358" i="4"/>
  <c r="C358" i="4"/>
  <c r="S358" i="4" s="1"/>
  <c r="N358" i="4" s="1"/>
  <c r="R357" i="4"/>
  <c r="O357" i="4"/>
  <c r="P357" i="4" s="1"/>
  <c r="M357" i="4"/>
  <c r="C357" i="4"/>
  <c r="S357" i="4" s="1"/>
  <c r="N357" i="4" s="1"/>
  <c r="R356" i="4"/>
  <c r="O356" i="4"/>
  <c r="P356" i="4" s="1"/>
  <c r="M356" i="4"/>
  <c r="C356" i="4"/>
  <c r="S356" i="4" s="1"/>
  <c r="R355" i="4"/>
  <c r="O355" i="4"/>
  <c r="P355" i="4" s="1"/>
  <c r="M355" i="4"/>
  <c r="C355" i="4"/>
  <c r="S355" i="4" s="1"/>
  <c r="N355" i="4" s="1"/>
  <c r="R354" i="4"/>
  <c r="O354" i="4"/>
  <c r="P354" i="4" s="1"/>
  <c r="M354" i="4"/>
  <c r="C354" i="4"/>
  <c r="S354" i="4" s="1"/>
  <c r="R353" i="4"/>
  <c r="O353" i="4"/>
  <c r="P353" i="4" s="1"/>
  <c r="M353" i="4"/>
  <c r="C353" i="4"/>
  <c r="S353" i="4" s="1"/>
  <c r="N353" i="4" s="1"/>
  <c r="R352" i="4"/>
  <c r="O352" i="4"/>
  <c r="P352" i="4" s="1"/>
  <c r="M352" i="4"/>
  <c r="C352" i="4"/>
  <c r="S352" i="4" s="1"/>
  <c r="N352" i="4" s="1"/>
  <c r="R351" i="4"/>
  <c r="O351" i="4"/>
  <c r="P351" i="4" s="1"/>
  <c r="M351" i="4"/>
  <c r="C351" i="4"/>
  <c r="S351" i="4" s="1"/>
  <c r="R350" i="4"/>
  <c r="O350" i="4"/>
  <c r="P350" i="4" s="1"/>
  <c r="M350" i="4"/>
  <c r="C350" i="4"/>
  <c r="S350" i="4" s="1"/>
  <c r="R349" i="4"/>
  <c r="O349" i="4"/>
  <c r="P349" i="4" s="1"/>
  <c r="M349" i="4"/>
  <c r="C349" i="4"/>
  <c r="S349" i="4" s="1"/>
  <c r="R348" i="4"/>
  <c r="O348" i="4"/>
  <c r="P348" i="4" s="1"/>
  <c r="M348" i="4"/>
  <c r="C348" i="4"/>
  <c r="S348" i="4" s="1"/>
  <c r="N348" i="4" s="1"/>
  <c r="R347" i="4"/>
  <c r="O347" i="4"/>
  <c r="P347" i="4" s="1"/>
  <c r="M347" i="4"/>
  <c r="C347" i="4"/>
  <c r="S347" i="4" s="1"/>
  <c r="R346" i="4"/>
  <c r="O346" i="4"/>
  <c r="P346" i="4" s="1"/>
  <c r="M346" i="4"/>
  <c r="C346" i="4"/>
  <c r="S346" i="4" s="1"/>
  <c r="R345" i="4"/>
  <c r="O345" i="4"/>
  <c r="P345" i="4" s="1"/>
  <c r="M345" i="4"/>
  <c r="C345" i="4"/>
  <c r="S345" i="4" s="1"/>
  <c r="N345" i="4" s="1"/>
  <c r="R344" i="4"/>
  <c r="O344" i="4"/>
  <c r="P344" i="4" s="1"/>
  <c r="M344" i="4"/>
  <c r="C344" i="4"/>
  <c r="S344" i="4" s="1"/>
  <c r="N344" i="4" s="1"/>
  <c r="R343" i="4"/>
  <c r="O343" i="4"/>
  <c r="P343" i="4" s="1"/>
  <c r="M343" i="4"/>
  <c r="C343" i="4"/>
  <c r="S343" i="4" s="1"/>
  <c r="N343" i="4" s="1"/>
  <c r="R342" i="4"/>
  <c r="O342" i="4"/>
  <c r="P342" i="4" s="1"/>
  <c r="M342" i="4"/>
  <c r="C342" i="4"/>
  <c r="S342" i="4" s="1"/>
  <c r="R341" i="4"/>
  <c r="O341" i="4"/>
  <c r="P341" i="4" s="1"/>
  <c r="M341" i="4"/>
  <c r="C341" i="4"/>
  <c r="S341" i="4" s="1"/>
  <c r="N341" i="4" s="1"/>
  <c r="R340" i="4"/>
  <c r="O340" i="4"/>
  <c r="P340" i="4" s="1"/>
  <c r="M340" i="4"/>
  <c r="C340" i="4"/>
  <c r="S340" i="4" s="1"/>
  <c r="N340" i="4" s="1"/>
  <c r="R339" i="4"/>
  <c r="O339" i="4"/>
  <c r="P339" i="4" s="1"/>
  <c r="M339" i="4"/>
  <c r="C339" i="4"/>
  <c r="S339" i="4" s="1"/>
  <c r="N339" i="4" s="1"/>
  <c r="R338" i="4"/>
  <c r="O338" i="4"/>
  <c r="P338" i="4" s="1"/>
  <c r="M338" i="4"/>
  <c r="C338" i="4"/>
  <c r="S338" i="4" s="1"/>
  <c r="N338" i="4" s="1"/>
  <c r="R337" i="4"/>
  <c r="O337" i="4"/>
  <c r="P337" i="4" s="1"/>
  <c r="M337" i="4"/>
  <c r="C337" i="4"/>
  <c r="S337" i="4" s="1"/>
  <c r="R336" i="4"/>
  <c r="O336" i="4"/>
  <c r="P336" i="4" s="1"/>
  <c r="M336" i="4"/>
  <c r="C336" i="4"/>
  <c r="S336" i="4" s="1"/>
  <c r="N336" i="4" s="1"/>
  <c r="R335" i="4"/>
  <c r="O335" i="4"/>
  <c r="P335" i="4" s="1"/>
  <c r="M335" i="4"/>
  <c r="C335" i="4"/>
  <c r="S335" i="4" s="1"/>
  <c r="R334" i="4"/>
  <c r="O334" i="4"/>
  <c r="P334" i="4" s="1"/>
  <c r="M334" i="4"/>
  <c r="C334" i="4"/>
  <c r="S334" i="4" s="1"/>
  <c r="N334" i="4" s="1"/>
  <c r="R333" i="4"/>
  <c r="O333" i="4"/>
  <c r="P333" i="4" s="1"/>
  <c r="M333" i="4"/>
  <c r="C333" i="4"/>
  <c r="S333" i="4" s="1"/>
  <c r="N333" i="4" s="1"/>
  <c r="R332" i="4"/>
  <c r="O332" i="4"/>
  <c r="P332" i="4" s="1"/>
  <c r="M332" i="4"/>
  <c r="C332" i="4"/>
  <c r="S332" i="4" s="1"/>
  <c r="R331" i="4"/>
  <c r="O331" i="4"/>
  <c r="P331" i="4" s="1"/>
  <c r="M331" i="4"/>
  <c r="C331" i="4"/>
  <c r="S331" i="4" s="1"/>
  <c r="R330" i="4"/>
  <c r="O330" i="4"/>
  <c r="P330" i="4" s="1"/>
  <c r="M330" i="4"/>
  <c r="C330" i="4"/>
  <c r="S330" i="4" s="1"/>
  <c r="N330" i="4" s="1"/>
  <c r="R329" i="4"/>
  <c r="O329" i="4"/>
  <c r="P329" i="4" s="1"/>
  <c r="M329" i="4"/>
  <c r="C329" i="4"/>
  <c r="S329" i="4" s="1"/>
  <c r="N329" i="4" s="1"/>
  <c r="R328" i="4"/>
  <c r="O328" i="4"/>
  <c r="P328" i="4" s="1"/>
  <c r="M328" i="4"/>
  <c r="C328" i="4"/>
  <c r="S328" i="4" s="1"/>
  <c r="N328" i="4" s="1"/>
  <c r="R327" i="4"/>
  <c r="O327" i="4"/>
  <c r="P327" i="4" s="1"/>
  <c r="M327" i="4"/>
  <c r="C327" i="4"/>
  <c r="S327" i="4" s="1"/>
  <c r="N327" i="4" s="1"/>
  <c r="R326" i="4"/>
  <c r="O326" i="4"/>
  <c r="P326" i="4" s="1"/>
  <c r="M326" i="4"/>
  <c r="C326" i="4"/>
  <c r="S326" i="4" s="1"/>
  <c r="R325" i="4"/>
  <c r="O325" i="4"/>
  <c r="P325" i="4" s="1"/>
  <c r="M325" i="4"/>
  <c r="C325" i="4"/>
  <c r="S325" i="4" s="1"/>
  <c r="N325" i="4" s="1"/>
  <c r="R324" i="4"/>
  <c r="O324" i="4"/>
  <c r="P324" i="4" s="1"/>
  <c r="M324" i="4"/>
  <c r="C324" i="4"/>
  <c r="S324" i="4" s="1"/>
  <c r="R323" i="4"/>
  <c r="O323" i="4"/>
  <c r="P323" i="4" s="1"/>
  <c r="M323" i="4"/>
  <c r="C323" i="4"/>
  <c r="S323" i="4" s="1"/>
  <c r="O322" i="4"/>
  <c r="P322" i="4" s="1"/>
  <c r="M322" i="4"/>
  <c r="S322" i="4"/>
  <c r="N322" i="4" s="1"/>
  <c r="R322" i="4" s="1"/>
  <c r="S321" i="4"/>
  <c r="N321" i="4" s="1"/>
  <c r="R321" i="4" s="1"/>
  <c r="O321" i="4"/>
  <c r="P321" i="4" s="1"/>
  <c r="M321" i="4"/>
  <c r="O320" i="4"/>
  <c r="P320" i="4" s="1"/>
  <c r="M320" i="4"/>
  <c r="S320" i="4"/>
  <c r="N320" i="4" s="1"/>
  <c r="R320" i="4" s="1"/>
  <c r="S319" i="4"/>
  <c r="O319" i="4"/>
  <c r="P319" i="4" s="1"/>
  <c r="M319" i="4"/>
  <c r="O318" i="4"/>
  <c r="P318" i="4" s="1"/>
  <c r="M318" i="4"/>
  <c r="S318" i="4"/>
  <c r="O317" i="4"/>
  <c r="P317" i="4" s="1"/>
  <c r="M317" i="4"/>
  <c r="S317" i="4"/>
  <c r="N317" i="4" s="1"/>
  <c r="R317" i="4" s="1"/>
  <c r="O316" i="4"/>
  <c r="P316" i="4" s="1"/>
  <c r="M316" i="4"/>
  <c r="S316" i="4"/>
  <c r="N316" i="4" s="1"/>
  <c r="R316" i="4" s="1"/>
  <c r="S315" i="4"/>
  <c r="N315" i="4" s="1"/>
  <c r="R315" i="4"/>
  <c r="O315" i="4"/>
  <c r="P315" i="4" s="1"/>
  <c r="M315" i="4"/>
  <c r="O314" i="4"/>
  <c r="P314" i="4" s="1"/>
  <c r="M314" i="4"/>
  <c r="S314" i="4"/>
  <c r="N314" i="4" s="1"/>
  <c r="R314" i="4" s="1"/>
  <c r="S313" i="4"/>
  <c r="N313" i="4" s="1"/>
  <c r="R313" i="4"/>
  <c r="O313" i="4"/>
  <c r="P313" i="4" s="1"/>
  <c r="M313" i="4"/>
  <c r="O312" i="4"/>
  <c r="P312" i="4" s="1"/>
  <c r="M312" i="4"/>
  <c r="S312" i="4"/>
  <c r="N312" i="4" s="1"/>
  <c r="R312" i="4" s="1"/>
  <c r="R311" i="4"/>
  <c r="O311" i="4"/>
  <c r="P311" i="4" s="1"/>
  <c r="M311" i="4"/>
  <c r="S311" i="4"/>
  <c r="N311" i="4" s="1"/>
  <c r="R310" i="4"/>
  <c r="O310" i="4"/>
  <c r="P310" i="4" s="1"/>
  <c r="M310" i="4"/>
  <c r="S310" i="4"/>
  <c r="N310" i="4" s="1"/>
  <c r="S309" i="4"/>
  <c r="N309" i="4" s="1"/>
  <c r="R309" i="4"/>
  <c r="O309" i="4"/>
  <c r="P309" i="4" s="1"/>
  <c r="M309" i="4"/>
  <c r="O308" i="4"/>
  <c r="P308" i="4" s="1"/>
  <c r="M308" i="4"/>
  <c r="S308" i="4"/>
  <c r="S307" i="4"/>
  <c r="O307" i="4"/>
  <c r="P307" i="4" s="1"/>
  <c r="M307" i="4"/>
  <c r="O306" i="4"/>
  <c r="P306" i="4" s="1"/>
  <c r="M306" i="4"/>
  <c r="S306" i="4"/>
  <c r="N306" i="4" s="1"/>
  <c r="R306" i="4" s="1"/>
  <c r="R305" i="4"/>
  <c r="O305" i="4"/>
  <c r="P305" i="4" s="1"/>
  <c r="M305" i="4"/>
  <c r="S305" i="4"/>
  <c r="N305" i="4" s="1"/>
  <c r="O304" i="4"/>
  <c r="P304" i="4" s="1"/>
  <c r="M304" i="4"/>
  <c r="S304" i="4"/>
  <c r="N304" i="4" s="1"/>
  <c r="R304" i="4" s="1"/>
  <c r="S303" i="4"/>
  <c r="N303" i="4" s="1"/>
  <c r="R303" i="4"/>
  <c r="O303" i="4"/>
  <c r="P303" i="4" s="1"/>
  <c r="M303" i="4"/>
  <c r="R302" i="4"/>
  <c r="O302" i="4"/>
  <c r="P302" i="4" s="1"/>
  <c r="M302" i="4"/>
  <c r="S302" i="4"/>
  <c r="N302" i="4" s="1"/>
  <c r="O301" i="4"/>
  <c r="P301" i="4" s="1"/>
  <c r="M301" i="4"/>
  <c r="S301" i="4"/>
  <c r="R300" i="4"/>
  <c r="O300" i="4"/>
  <c r="P300" i="4" s="1"/>
  <c r="M300" i="4"/>
  <c r="S300" i="4"/>
  <c r="N300" i="4" s="1"/>
  <c r="O299" i="4"/>
  <c r="P299" i="4" s="1"/>
  <c r="M299" i="4"/>
  <c r="S299" i="4"/>
  <c r="N299" i="4" s="1"/>
  <c r="R299" i="4" s="1"/>
  <c r="R298" i="4"/>
  <c r="O298" i="4"/>
  <c r="P298" i="4" s="1"/>
  <c r="M298" i="4"/>
  <c r="S298" i="4"/>
  <c r="N298" i="4" s="1"/>
  <c r="S297" i="4"/>
  <c r="N297" i="4" s="1"/>
  <c r="R297" i="4" s="1"/>
  <c r="O297" i="4"/>
  <c r="P297" i="4" s="1"/>
  <c r="M297" i="4"/>
  <c r="R296" i="4"/>
  <c r="O296" i="4"/>
  <c r="P296" i="4" s="1"/>
  <c r="M296" i="4"/>
  <c r="S296" i="4"/>
  <c r="N296" i="4" s="1"/>
  <c r="R295" i="4"/>
  <c r="O295" i="4"/>
  <c r="P295" i="4" s="1"/>
  <c r="M295" i="4"/>
  <c r="S295" i="4"/>
  <c r="N295" i="4" s="1"/>
  <c r="O294" i="4"/>
  <c r="P294" i="4" s="1"/>
  <c r="M294" i="4"/>
  <c r="S294" i="4"/>
  <c r="T294" i="4" s="1"/>
  <c r="S293" i="4"/>
  <c r="N293" i="4" s="1"/>
  <c r="R293" i="4" s="1"/>
  <c r="O293" i="4"/>
  <c r="P293" i="4" s="1"/>
  <c r="M293" i="4"/>
  <c r="R292" i="4"/>
  <c r="O292" i="4"/>
  <c r="P292" i="4" s="1"/>
  <c r="M292" i="4"/>
  <c r="S292" i="4"/>
  <c r="N292" i="4" s="1"/>
  <c r="S291" i="4"/>
  <c r="N291" i="4" s="1"/>
  <c r="R291" i="4" s="1"/>
  <c r="O291" i="4"/>
  <c r="P291" i="4" s="1"/>
  <c r="M291" i="4"/>
  <c r="O290" i="4"/>
  <c r="P290" i="4" s="1"/>
  <c r="M290" i="4"/>
  <c r="S290" i="4"/>
  <c r="N290" i="4" s="1"/>
  <c r="R290" i="4" s="1"/>
  <c r="R289" i="4"/>
  <c r="O289" i="4"/>
  <c r="P289" i="4" s="1"/>
  <c r="M289" i="4"/>
  <c r="S289" i="4"/>
  <c r="N289" i="4" s="1"/>
  <c r="O288" i="4"/>
  <c r="P288" i="4" s="1"/>
  <c r="M288" i="4"/>
  <c r="S288" i="4"/>
  <c r="N288" i="4" s="1"/>
  <c r="R288" i="4" s="1"/>
  <c r="S287" i="4"/>
  <c r="T287" i="4" s="1"/>
  <c r="O287" i="4"/>
  <c r="P287" i="4" s="1"/>
  <c r="M287" i="4"/>
  <c r="O286" i="4"/>
  <c r="P286" i="4" s="1"/>
  <c r="M286" i="4"/>
  <c r="S286" i="4"/>
  <c r="N286" i="4" s="1"/>
  <c r="R286" i="4" s="1"/>
  <c r="S285" i="4"/>
  <c r="N285" i="4" s="1"/>
  <c r="R285" i="4"/>
  <c r="O285" i="4"/>
  <c r="P285" i="4" s="1"/>
  <c r="M285" i="4"/>
  <c r="R284" i="4"/>
  <c r="O284" i="4"/>
  <c r="P284" i="4" s="1"/>
  <c r="M284" i="4"/>
  <c r="S284" i="4"/>
  <c r="N284" i="4" s="1"/>
  <c r="O283" i="4"/>
  <c r="P283" i="4" s="1"/>
  <c r="M283" i="4"/>
  <c r="S283" i="4"/>
  <c r="N283" i="4" s="1"/>
  <c r="R283" i="4" s="1"/>
  <c r="R282" i="4"/>
  <c r="O282" i="4"/>
  <c r="P282" i="4" s="1"/>
  <c r="M282" i="4"/>
  <c r="S282" i="4"/>
  <c r="N282" i="4" s="1"/>
  <c r="S281" i="4"/>
  <c r="N281" i="4" s="1"/>
  <c r="R281" i="4" s="1"/>
  <c r="O281" i="4"/>
  <c r="P281" i="4" s="1"/>
  <c r="M281" i="4"/>
  <c r="O280" i="4"/>
  <c r="P280" i="4" s="1"/>
  <c r="M280" i="4"/>
  <c r="S280" i="4"/>
  <c r="N280" i="4" s="1"/>
  <c r="R280" i="4" s="1"/>
  <c r="S279" i="4"/>
  <c r="N279" i="4" s="1"/>
  <c r="R279" i="4" s="1"/>
  <c r="O279" i="4"/>
  <c r="P279" i="4" s="1"/>
  <c r="M279" i="4"/>
  <c r="O278" i="4"/>
  <c r="P278" i="4" s="1"/>
  <c r="M278" i="4"/>
  <c r="S278" i="4"/>
  <c r="R277" i="4"/>
  <c r="O277" i="4"/>
  <c r="P277" i="4" s="1"/>
  <c r="M277" i="4"/>
  <c r="S277" i="4"/>
  <c r="N277" i="4" s="1"/>
  <c r="R276" i="4"/>
  <c r="O276" i="4"/>
  <c r="P276" i="4" s="1"/>
  <c r="M276" i="4"/>
  <c r="S276" i="4"/>
  <c r="T276" i="4" s="1"/>
  <c r="S275" i="4"/>
  <c r="N275" i="4" s="1"/>
  <c r="R275" i="4" s="1"/>
  <c r="O275" i="4"/>
  <c r="P275" i="4" s="1"/>
  <c r="M275" i="4"/>
  <c r="S274" i="4"/>
  <c r="N274" i="4" s="1"/>
  <c r="R274" i="4"/>
  <c r="O274" i="4"/>
  <c r="P274" i="4" s="1"/>
  <c r="M274" i="4"/>
  <c r="S273" i="4"/>
  <c r="N273" i="4" s="1"/>
  <c r="R273" i="4" s="1"/>
  <c r="O273" i="4"/>
  <c r="P273" i="4" s="1"/>
  <c r="M273" i="4"/>
  <c r="O272" i="4"/>
  <c r="P272" i="4" s="1"/>
  <c r="M272" i="4"/>
  <c r="S272" i="4"/>
  <c r="N272" i="4" s="1"/>
  <c r="R272" i="4" s="1"/>
  <c r="S271" i="4"/>
  <c r="O271" i="4"/>
  <c r="P271" i="4" s="1"/>
  <c r="M271" i="4"/>
  <c r="O270" i="4"/>
  <c r="P270" i="4" s="1"/>
  <c r="M270" i="4"/>
  <c r="S270" i="4"/>
  <c r="S269" i="4"/>
  <c r="O269" i="4"/>
  <c r="P269" i="4" s="1"/>
  <c r="M269" i="4"/>
  <c r="O268" i="4"/>
  <c r="P268" i="4" s="1"/>
  <c r="M268" i="4"/>
  <c r="S268" i="4"/>
  <c r="N268" i="4" s="1"/>
  <c r="R268" i="4" s="1"/>
  <c r="S267" i="4"/>
  <c r="N267" i="4" s="1"/>
  <c r="R267" i="4"/>
  <c r="O267" i="4"/>
  <c r="P267" i="4" s="1"/>
  <c r="M267" i="4"/>
  <c r="R266" i="4"/>
  <c r="O266" i="4"/>
  <c r="P266" i="4" s="1"/>
  <c r="M266" i="4"/>
  <c r="S266" i="4"/>
  <c r="N266" i="4" s="1"/>
  <c r="O265" i="4"/>
  <c r="P265" i="4" s="1"/>
  <c r="M265" i="4"/>
  <c r="S265" i="4"/>
  <c r="R264" i="4"/>
  <c r="O264" i="4"/>
  <c r="P264" i="4" s="1"/>
  <c r="M264" i="4"/>
  <c r="S264" i="4"/>
  <c r="N264" i="4" s="1"/>
  <c r="S263" i="4"/>
  <c r="N263" i="4" s="1"/>
  <c r="R263" i="4"/>
  <c r="O263" i="4"/>
  <c r="P263" i="4" s="1"/>
  <c r="M263" i="4"/>
  <c r="S262" i="4"/>
  <c r="N262" i="4" s="1"/>
  <c r="R262" i="4" s="1"/>
  <c r="O262" i="4"/>
  <c r="P262" i="4" s="1"/>
  <c r="M262" i="4"/>
  <c r="S261" i="4"/>
  <c r="N261" i="4" s="1"/>
  <c r="R261" i="4"/>
  <c r="O261" i="4"/>
  <c r="P261" i="4" s="1"/>
  <c r="M261" i="4"/>
  <c r="O260" i="4"/>
  <c r="P260" i="4" s="1"/>
  <c r="M260" i="4"/>
  <c r="S260" i="4"/>
  <c r="T260" i="4" s="1"/>
  <c r="S259" i="4"/>
  <c r="O259" i="4"/>
  <c r="P259" i="4" s="1"/>
  <c r="M259" i="4"/>
  <c r="R258" i="4"/>
  <c r="O258" i="4"/>
  <c r="P258" i="4" s="1"/>
  <c r="M258" i="4"/>
  <c r="S258" i="4"/>
  <c r="N258" i="4" s="1"/>
  <c r="R257" i="4"/>
  <c r="O257" i="4"/>
  <c r="P257" i="4" s="1"/>
  <c r="M257" i="4"/>
  <c r="S257" i="4"/>
  <c r="N257" i="4" s="1"/>
  <c r="R256" i="4"/>
  <c r="O256" i="4"/>
  <c r="P256" i="4" s="1"/>
  <c r="M256" i="4"/>
  <c r="S256" i="4"/>
  <c r="N256" i="4" s="1"/>
  <c r="S255" i="4"/>
  <c r="N255" i="4" s="1"/>
  <c r="R255" i="4"/>
  <c r="O255" i="4"/>
  <c r="P255" i="4" s="1"/>
  <c r="M255" i="4"/>
  <c r="O254" i="4"/>
  <c r="P254" i="4" s="1"/>
  <c r="M254" i="4"/>
  <c r="S254" i="4"/>
  <c r="R253" i="4"/>
  <c r="O253" i="4"/>
  <c r="P253" i="4" s="1"/>
  <c r="M253" i="4"/>
  <c r="S253" i="4"/>
  <c r="N253" i="4" s="1"/>
  <c r="O252" i="4"/>
  <c r="P252" i="4" s="1"/>
  <c r="M252" i="4"/>
  <c r="S252" i="4"/>
  <c r="R251" i="4"/>
  <c r="O251" i="4"/>
  <c r="P251" i="4" s="1"/>
  <c r="M251" i="4"/>
  <c r="S251" i="4"/>
  <c r="N251" i="4" s="1"/>
  <c r="S250" i="4"/>
  <c r="N250" i="4" s="1"/>
  <c r="R250" i="4"/>
  <c r="O250" i="4"/>
  <c r="P250" i="4" s="1"/>
  <c r="M250" i="4"/>
  <c r="S249" i="4"/>
  <c r="N249" i="4" s="1"/>
  <c r="R249" i="4" s="1"/>
  <c r="O249" i="4"/>
  <c r="P249" i="4" s="1"/>
  <c r="M249" i="4"/>
  <c r="O248" i="4"/>
  <c r="P248" i="4" s="1"/>
  <c r="M248" i="4"/>
  <c r="S248" i="4"/>
  <c r="T248" i="4" s="1"/>
  <c r="S247" i="4"/>
  <c r="N247" i="4" s="1"/>
  <c r="R247" i="4"/>
  <c r="O247" i="4"/>
  <c r="P247" i="4" s="1"/>
  <c r="M247" i="4"/>
  <c r="O246" i="4"/>
  <c r="P246" i="4" s="1"/>
  <c r="M246" i="4"/>
  <c r="S246" i="4"/>
  <c r="O245" i="4"/>
  <c r="P245" i="4" s="1"/>
  <c r="M245" i="4"/>
  <c r="S245" i="4"/>
  <c r="N245" i="4" s="1"/>
  <c r="R245" i="4" s="1"/>
  <c r="S244" i="4"/>
  <c r="N244" i="4" s="1"/>
  <c r="R244" i="4"/>
  <c r="O244" i="4"/>
  <c r="P244" i="4" s="1"/>
  <c r="M244" i="4"/>
  <c r="S243" i="4"/>
  <c r="N243" i="4" s="1"/>
  <c r="R243" i="4" s="1"/>
  <c r="O243" i="4"/>
  <c r="P243" i="4" s="1"/>
  <c r="M243" i="4"/>
  <c r="O242" i="4"/>
  <c r="P242" i="4" s="1"/>
  <c r="M242" i="4"/>
  <c r="C242" i="4"/>
  <c r="O241" i="4"/>
  <c r="P241" i="4" s="1"/>
  <c r="M241" i="4"/>
  <c r="C241" i="4"/>
  <c r="O240" i="4"/>
  <c r="P240" i="4" s="1"/>
  <c r="M240" i="4"/>
  <c r="C240" i="4"/>
  <c r="O239" i="4"/>
  <c r="P239" i="4" s="1"/>
  <c r="M239" i="4"/>
  <c r="C239" i="4"/>
  <c r="O238" i="4"/>
  <c r="P238" i="4" s="1"/>
  <c r="M238" i="4"/>
  <c r="C238" i="4"/>
  <c r="O237" i="4"/>
  <c r="P237" i="4" s="1"/>
  <c r="M237" i="4"/>
  <c r="C237" i="4"/>
  <c r="O236" i="4"/>
  <c r="P236" i="4" s="1"/>
  <c r="M236" i="4"/>
  <c r="C236" i="4"/>
  <c r="O235" i="4"/>
  <c r="P235" i="4" s="1"/>
  <c r="M235" i="4"/>
  <c r="C235" i="4"/>
  <c r="O234" i="4"/>
  <c r="P234" i="4" s="1"/>
  <c r="M234" i="4"/>
  <c r="C234" i="4"/>
  <c r="O233" i="4"/>
  <c r="P233" i="4" s="1"/>
  <c r="M233" i="4"/>
  <c r="C233" i="4"/>
  <c r="O232" i="4"/>
  <c r="P232" i="4" s="1"/>
  <c r="M232" i="4"/>
  <c r="C232" i="4"/>
  <c r="O231" i="4"/>
  <c r="P231" i="4" s="1"/>
  <c r="M231" i="4"/>
  <c r="C231" i="4"/>
  <c r="O230" i="4"/>
  <c r="P230" i="4" s="1"/>
  <c r="M230" i="4"/>
  <c r="C230" i="4"/>
  <c r="O229" i="4"/>
  <c r="P229" i="4" s="1"/>
  <c r="M229" i="4"/>
  <c r="C229" i="4"/>
  <c r="O228" i="4"/>
  <c r="P228" i="4" s="1"/>
  <c r="M228" i="4"/>
  <c r="C228" i="4"/>
  <c r="O227" i="4"/>
  <c r="P227" i="4" s="1"/>
  <c r="M227" i="4"/>
  <c r="C227" i="4"/>
  <c r="O226" i="4"/>
  <c r="P226" i="4" s="1"/>
  <c r="M226" i="4"/>
  <c r="C226" i="4"/>
  <c r="O225" i="4"/>
  <c r="P225" i="4" s="1"/>
  <c r="M225" i="4"/>
  <c r="C225" i="4"/>
  <c r="O224" i="4"/>
  <c r="P224" i="4" s="1"/>
  <c r="M224" i="4"/>
  <c r="C224" i="4"/>
  <c r="O223" i="4"/>
  <c r="P223" i="4" s="1"/>
  <c r="M223" i="4"/>
  <c r="C223" i="4"/>
  <c r="O222" i="4"/>
  <c r="P222" i="4" s="1"/>
  <c r="M222" i="4"/>
  <c r="C222" i="4"/>
  <c r="O221" i="4"/>
  <c r="P221" i="4" s="1"/>
  <c r="M221" i="4"/>
  <c r="C221" i="4"/>
  <c r="O220" i="4"/>
  <c r="P220" i="4" s="1"/>
  <c r="M220" i="4"/>
  <c r="C220" i="4"/>
  <c r="O219" i="4"/>
  <c r="P219" i="4" s="1"/>
  <c r="M219" i="4"/>
  <c r="C219" i="4"/>
  <c r="O218" i="4"/>
  <c r="P218" i="4" s="1"/>
  <c r="M218" i="4"/>
  <c r="C218" i="4"/>
  <c r="O217" i="4"/>
  <c r="P217" i="4" s="1"/>
  <c r="M217" i="4"/>
  <c r="C217" i="4"/>
  <c r="O216" i="4"/>
  <c r="P216" i="4" s="1"/>
  <c r="M216" i="4"/>
  <c r="C216" i="4"/>
  <c r="O215" i="4"/>
  <c r="P215" i="4" s="1"/>
  <c r="M215" i="4"/>
  <c r="C215" i="4"/>
  <c r="O214" i="4"/>
  <c r="P214" i="4" s="1"/>
  <c r="M214" i="4"/>
  <c r="C214" i="4"/>
  <c r="O213" i="4"/>
  <c r="P213" i="4" s="1"/>
  <c r="M213" i="4"/>
  <c r="C213" i="4"/>
  <c r="O212" i="4"/>
  <c r="P212" i="4" s="1"/>
  <c r="M212" i="4"/>
  <c r="C212" i="4"/>
  <c r="O211" i="4"/>
  <c r="P211" i="4" s="1"/>
  <c r="M211" i="4"/>
  <c r="C211" i="4"/>
  <c r="O210" i="4"/>
  <c r="P210" i="4" s="1"/>
  <c r="M210" i="4"/>
  <c r="C210" i="4"/>
  <c r="O209" i="4"/>
  <c r="P209" i="4" s="1"/>
  <c r="M209" i="4"/>
  <c r="C209" i="4"/>
  <c r="O208" i="4"/>
  <c r="P208" i="4" s="1"/>
  <c r="M208" i="4"/>
  <c r="C208" i="4"/>
  <c r="O207" i="4"/>
  <c r="P207" i="4" s="1"/>
  <c r="M207" i="4"/>
  <c r="C207" i="4"/>
  <c r="O206" i="4"/>
  <c r="P206" i="4" s="1"/>
  <c r="M206" i="4"/>
  <c r="C206" i="4"/>
  <c r="O205" i="4"/>
  <c r="P205" i="4" s="1"/>
  <c r="M205" i="4"/>
  <c r="C205" i="4"/>
  <c r="O204" i="4"/>
  <c r="P204" i="4" s="1"/>
  <c r="M204" i="4"/>
  <c r="C204" i="4"/>
  <c r="O203" i="4"/>
  <c r="P203" i="4" s="1"/>
  <c r="M203" i="4"/>
  <c r="C203" i="4"/>
  <c r="O202" i="4"/>
  <c r="P202" i="4" s="1"/>
  <c r="M202" i="4"/>
  <c r="C202" i="4"/>
  <c r="O201" i="4"/>
  <c r="P201" i="4" s="1"/>
  <c r="M201" i="4"/>
  <c r="C201" i="4"/>
  <c r="S201" i="4" s="1"/>
  <c r="N201" i="4" s="1"/>
  <c r="O200" i="4"/>
  <c r="P200" i="4" s="1"/>
  <c r="M200" i="4"/>
  <c r="C200" i="4"/>
  <c r="O199" i="4"/>
  <c r="P199" i="4" s="1"/>
  <c r="M199" i="4"/>
  <c r="C199" i="4"/>
  <c r="O198" i="4"/>
  <c r="P198" i="4" s="1"/>
  <c r="M198" i="4"/>
  <c r="C198" i="4"/>
  <c r="O197" i="4"/>
  <c r="P197" i="4" s="1"/>
  <c r="M197" i="4"/>
  <c r="C197" i="4"/>
  <c r="O196" i="4"/>
  <c r="P196" i="4" s="1"/>
  <c r="M196" i="4"/>
  <c r="C196" i="4"/>
  <c r="O195" i="4"/>
  <c r="P195" i="4" s="1"/>
  <c r="M195" i="4"/>
  <c r="C195" i="4"/>
  <c r="O194" i="4"/>
  <c r="P194" i="4" s="1"/>
  <c r="M194" i="4"/>
  <c r="C194" i="4"/>
  <c r="O193" i="4"/>
  <c r="P193" i="4" s="1"/>
  <c r="M193" i="4"/>
  <c r="C193" i="4"/>
  <c r="O192" i="4"/>
  <c r="P192" i="4" s="1"/>
  <c r="M192" i="4"/>
  <c r="C192" i="4"/>
  <c r="O191" i="4"/>
  <c r="P191" i="4" s="1"/>
  <c r="M191" i="4"/>
  <c r="C191" i="4"/>
  <c r="O190" i="4"/>
  <c r="P190" i="4" s="1"/>
  <c r="M190" i="4"/>
  <c r="C190" i="4"/>
  <c r="O189" i="4"/>
  <c r="P189" i="4" s="1"/>
  <c r="M189" i="4"/>
  <c r="C189" i="4"/>
  <c r="O188" i="4"/>
  <c r="P188" i="4" s="1"/>
  <c r="M188" i="4"/>
  <c r="C188" i="4"/>
  <c r="O187" i="4"/>
  <c r="P187" i="4" s="1"/>
  <c r="M187" i="4"/>
  <c r="C187" i="4"/>
  <c r="O186" i="4"/>
  <c r="P186" i="4" s="1"/>
  <c r="M186" i="4"/>
  <c r="C186" i="4"/>
  <c r="O185" i="4"/>
  <c r="P185" i="4" s="1"/>
  <c r="M185" i="4"/>
  <c r="C185" i="4"/>
  <c r="O184" i="4"/>
  <c r="P184" i="4" s="1"/>
  <c r="M184" i="4"/>
  <c r="C184" i="4"/>
  <c r="O183" i="4"/>
  <c r="P183" i="4" s="1"/>
  <c r="M183" i="4"/>
  <c r="C183" i="4"/>
  <c r="O182" i="4"/>
  <c r="P182" i="4" s="1"/>
  <c r="M182" i="4"/>
  <c r="C182" i="4"/>
  <c r="O181" i="4"/>
  <c r="P181" i="4" s="1"/>
  <c r="M181" i="4"/>
  <c r="C181" i="4"/>
  <c r="O180" i="4"/>
  <c r="P180" i="4" s="1"/>
  <c r="M180" i="4"/>
  <c r="C180" i="4"/>
  <c r="O179" i="4"/>
  <c r="P179" i="4" s="1"/>
  <c r="M179" i="4"/>
  <c r="C179" i="4"/>
  <c r="O178" i="4"/>
  <c r="P178" i="4" s="1"/>
  <c r="M178" i="4"/>
  <c r="C178" i="4"/>
  <c r="O177" i="4"/>
  <c r="P177" i="4" s="1"/>
  <c r="M177" i="4"/>
  <c r="C177" i="4"/>
  <c r="O176" i="4"/>
  <c r="P176" i="4" s="1"/>
  <c r="M176" i="4"/>
  <c r="C176" i="4"/>
  <c r="O175" i="4"/>
  <c r="P175" i="4" s="1"/>
  <c r="M175" i="4"/>
  <c r="C175" i="4"/>
  <c r="O174" i="4"/>
  <c r="P174" i="4" s="1"/>
  <c r="M174" i="4"/>
  <c r="C174" i="4"/>
  <c r="O173" i="4"/>
  <c r="P173" i="4" s="1"/>
  <c r="M173" i="4"/>
  <c r="C173" i="4"/>
  <c r="O172" i="4"/>
  <c r="P172" i="4" s="1"/>
  <c r="M172" i="4"/>
  <c r="C172" i="4"/>
  <c r="O171" i="4"/>
  <c r="P171" i="4" s="1"/>
  <c r="M171" i="4"/>
  <c r="C171" i="4"/>
  <c r="O170" i="4"/>
  <c r="P170" i="4" s="1"/>
  <c r="M170" i="4"/>
  <c r="C170" i="4"/>
  <c r="O169" i="4"/>
  <c r="P169" i="4" s="1"/>
  <c r="M169" i="4"/>
  <c r="C169" i="4"/>
  <c r="O168" i="4"/>
  <c r="P168" i="4" s="1"/>
  <c r="M168" i="4"/>
  <c r="C168" i="4"/>
  <c r="O167" i="4"/>
  <c r="P167" i="4" s="1"/>
  <c r="M167" i="4"/>
  <c r="C167" i="4"/>
  <c r="O166" i="4"/>
  <c r="P166" i="4" s="1"/>
  <c r="M166" i="4"/>
  <c r="C166" i="4"/>
  <c r="O165" i="4"/>
  <c r="P165" i="4" s="1"/>
  <c r="M165" i="4"/>
  <c r="C165" i="4"/>
  <c r="O164" i="4"/>
  <c r="P164" i="4" s="1"/>
  <c r="M164" i="4"/>
  <c r="C164" i="4"/>
  <c r="O163" i="4"/>
  <c r="P163" i="4" s="1"/>
  <c r="M163" i="4"/>
  <c r="C163" i="4"/>
  <c r="O162" i="4"/>
  <c r="P162" i="4" s="1"/>
  <c r="M162" i="4"/>
  <c r="C162" i="4"/>
  <c r="O161" i="4"/>
  <c r="P161" i="4" s="1"/>
  <c r="M161" i="4"/>
  <c r="C161" i="4"/>
  <c r="O160" i="4"/>
  <c r="P160" i="4" s="1"/>
  <c r="M160" i="4"/>
  <c r="C160" i="4"/>
  <c r="O159" i="4"/>
  <c r="P159" i="4" s="1"/>
  <c r="M159" i="4"/>
  <c r="C159" i="4"/>
  <c r="O158" i="4"/>
  <c r="P158" i="4" s="1"/>
  <c r="M158" i="4"/>
  <c r="C158" i="4"/>
  <c r="O157" i="4"/>
  <c r="P157" i="4" s="1"/>
  <c r="M157" i="4"/>
  <c r="C157" i="4"/>
  <c r="O156" i="4"/>
  <c r="P156" i="4" s="1"/>
  <c r="M156" i="4"/>
  <c r="C156" i="4"/>
  <c r="O155" i="4"/>
  <c r="P155" i="4" s="1"/>
  <c r="M155" i="4"/>
  <c r="C155" i="4"/>
  <c r="O154" i="4"/>
  <c r="P154" i="4" s="1"/>
  <c r="M154" i="4"/>
  <c r="C154" i="4"/>
  <c r="O153" i="4"/>
  <c r="P153" i="4" s="1"/>
  <c r="M153" i="4"/>
  <c r="C153" i="4"/>
  <c r="O152" i="4"/>
  <c r="P152" i="4" s="1"/>
  <c r="M152" i="4"/>
  <c r="C152" i="4"/>
  <c r="O151" i="4"/>
  <c r="P151" i="4" s="1"/>
  <c r="M151" i="4"/>
  <c r="C151" i="4"/>
  <c r="O150" i="4"/>
  <c r="P150" i="4" s="1"/>
  <c r="M150" i="4"/>
  <c r="C150" i="4"/>
  <c r="O149" i="4"/>
  <c r="P149" i="4" s="1"/>
  <c r="M149" i="4"/>
  <c r="C149" i="4"/>
  <c r="O148" i="4"/>
  <c r="P148" i="4" s="1"/>
  <c r="M148" i="4"/>
  <c r="C148" i="4"/>
  <c r="O147" i="4"/>
  <c r="P147" i="4" s="1"/>
  <c r="M147" i="4"/>
  <c r="C147" i="4"/>
  <c r="O146" i="4"/>
  <c r="P146" i="4" s="1"/>
  <c r="M146" i="4"/>
  <c r="C146" i="4"/>
  <c r="O145" i="4"/>
  <c r="P145" i="4" s="1"/>
  <c r="M145" i="4"/>
  <c r="C145" i="4"/>
  <c r="O144" i="4"/>
  <c r="P144" i="4" s="1"/>
  <c r="M144" i="4"/>
  <c r="C144" i="4"/>
  <c r="O143" i="4"/>
  <c r="P143" i="4" s="1"/>
  <c r="M143" i="4"/>
  <c r="C143" i="4"/>
  <c r="O142" i="4"/>
  <c r="P142" i="4" s="1"/>
  <c r="M142" i="4"/>
  <c r="C142" i="4"/>
  <c r="O141" i="4"/>
  <c r="P141" i="4" s="1"/>
  <c r="M141" i="4"/>
  <c r="C141" i="4"/>
  <c r="O140" i="4"/>
  <c r="P140" i="4" s="1"/>
  <c r="M140" i="4"/>
  <c r="C140" i="4"/>
  <c r="O139" i="4"/>
  <c r="P139" i="4" s="1"/>
  <c r="M139" i="4"/>
  <c r="C139" i="4"/>
  <c r="O138" i="4"/>
  <c r="P138" i="4" s="1"/>
  <c r="M138" i="4"/>
  <c r="C138" i="4"/>
  <c r="O137" i="4"/>
  <c r="P137" i="4" s="1"/>
  <c r="M137" i="4"/>
  <c r="C137" i="4"/>
  <c r="O136" i="4"/>
  <c r="P136" i="4" s="1"/>
  <c r="M136" i="4"/>
  <c r="C136" i="4"/>
  <c r="O135" i="4"/>
  <c r="P135" i="4" s="1"/>
  <c r="M135" i="4"/>
  <c r="C135" i="4"/>
  <c r="O134" i="4"/>
  <c r="P134" i="4" s="1"/>
  <c r="M134" i="4"/>
  <c r="C134" i="4"/>
  <c r="O133" i="4"/>
  <c r="P133" i="4" s="1"/>
  <c r="M133" i="4"/>
  <c r="C133" i="4"/>
  <c r="O132" i="4"/>
  <c r="P132" i="4" s="1"/>
  <c r="M132" i="4"/>
  <c r="C132" i="4"/>
  <c r="O131" i="4"/>
  <c r="P131" i="4" s="1"/>
  <c r="M131" i="4"/>
  <c r="C131" i="4"/>
  <c r="O130" i="4"/>
  <c r="P130" i="4" s="1"/>
  <c r="M130" i="4"/>
  <c r="C130" i="4"/>
  <c r="O129" i="4"/>
  <c r="P129" i="4" s="1"/>
  <c r="M129" i="4"/>
  <c r="C129" i="4"/>
  <c r="O128" i="4"/>
  <c r="P128" i="4" s="1"/>
  <c r="M128" i="4"/>
  <c r="C128" i="4"/>
  <c r="O127" i="4"/>
  <c r="P127" i="4" s="1"/>
  <c r="M127" i="4"/>
  <c r="C127" i="4"/>
  <c r="O126" i="4"/>
  <c r="P126" i="4" s="1"/>
  <c r="M126" i="4"/>
  <c r="C126" i="4"/>
  <c r="O125" i="4"/>
  <c r="P125" i="4" s="1"/>
  <c r="M125" i="4"/>
  <c r="C125" i="4"/>
  <c r="O124" i="4"/>
  <c r="P124" i="4" s="1"/>
  <c r="M124" i="4"/>
  <c r="C124" i="4"/>
  <c r="O123" i="4"/>
  <c r="P123" i="4" s="1"/>
  <c r="M123" i="4"/>
  <c r="C123" i="4"/>
  <c r="O122" i="4"/>
  <c r="P122" i="4" s="1"/>
  <c r="M122" i="4"/>
  <c r="C122" i="4"/>
  <c r="O121" i="4"/>
  <c r="P121" i="4" s="1"/>
  <c r="M121" i="4"/>
  <c r="C121" i="4"/>
  <c r="O120" i="4"/>
  <c r="P120" i="4" s="1"/>
  <c r="M120" i="4"/>
  <c r="C120" i="4"/>
  <c r="O119" i="4"/>
  <c r="P119" i="4" s="1"/>
  <c r="M119" i="4"/>
  <c r="C119" i="4"/>
  <c r="O118" i="4"/>
  <c r="P118" i="4" s="1"/>
  <c r="M118" i="4"/>
  <c r="C118" i="4"/>
  <c r="O117" i="4"/>
  <c r="P117" i="4" s="1"/>
  <c r="M117" i="4"/>
  <c r="C117" i="4"/>
  <c r="O116" i="4"/>
  <c r="P116" i="4" s="1"/>
  <c r="M116" i="4"/>
  <c r="C116" i="4"/>
  <c r="O115" i="4"/>
  <c r="P115" i="4" s="1"/>
  <c r="M115" i="4"/>
  <c r="C115" i="4"/>
  <c r="O114" i="4"/>
  <c r="P114" i="4" s="1"/>
  <c r="M114" i="4"/>
  <c r="C114" i="4"/>
  <c r="O113" i="4"/>
  <c r="P113" i="4" s="1"/>
  <c r="M113" i="4"/>
  <c r="C113" i="4"/>
  <c r="O112" i="4"/>
  <c r="P112" i="4" s="1"/>
  <c r="M112" i="4"/>
  <c r="C112" i="4"/>
  <c r="O111" i="4"/>
  <c r="P111" i="4" s="1"/>
  <c r="M111" i="4"/>
  <c r="C111" i="4"/>
  <c r="O110" i="4"/>
  <c r="P110" i="4" s="1"/>
  <c r="M110" i="4"/>
  <c r="C110" i="4"/>
  <c r="O109" i="4"/>
  <c r="P109" i="4" s="1"/>
  <c r="M109" i="4"/>
  <c r="C109" i="4"/>
  <c r="O108" i="4"/>
  <c r="P108" i="4" s="1"/>
  <c r="M108" i="4"/>
  <c r="C108" i="4"/>
  <c r="O107" i="4"/>
  <c r="P107" i="4" s="1"/>
  <c r="M107" i="4"/>
  <c r="C107" i="4"/>
  <c r="O106" i="4"/>
  <c r="P106" i="4" s="1"/>
  <c r="M106" i="4"/>
  <c r="C106" i="4"/>
  <c r="O105" i="4"/>
  <c r="P105" i="4" s="1"/>
  <c r="M105" i="4"/>
  <c r="C105" i="4"/>
  <c r="O104" i="4"/>
  <c r="P104" i="4" s="1"/>
  <c r="M104" i="4"/>
  <c r="C104" i="4"/>
  <c r="O103" i="4"/>
  <c r="P103" i="4" s="1"/>
  <c r="M103" i="4"/>
  <c r="C103" i="4"/>
  <c r="O102" i="4"/>
  <c r="P102" i="4" s="1"/>
  <c r="M102" i="4"/>
  <c r="C102" i="4"/>
  <c r="O101" i="4"/>
  <c r="P101" i="4" s="1"/>
  <c r="M101" i="4"/>
  <c r="C101" i="4"/>
  <c r="O100" i="4"/>
  <c r="P100" i="4" s="1"/>
  <c r="M100" i="4"/>
  <c r="C100" i="4"/>
  <c r="O99" i="4"/>
  <c r="P99" i="4" s="1"/>
  <c r="M99" i="4"/>
  <c r="C99" i="4"/>
  <c r="O98" i="4"/>
  <c r="P98" i="4" s="1"/>
  <c r="M98" i="4"/>
  <c r="C98" i="4"/>
  <c r="O97" i="4"/>
  <c r="P97" i="4" s="1"/>
  <c r="M97" i="4"/>
  <c r="C97" i="4"/>
  <c r="O96" i="4"/>
  <c r="P96" i="4" s="1"/>
  <c r="M96" i="4"/>
  <c r="C96" i="4"/>
  <c r="O95" i="4"/>
  <c r="P95" i="4" s="1"/>
  <c r="M95" i="4"/>
  <c r="C95" i="4"/>
  <c r="O94" i="4"/>
  <c r="P94" i="4" s="1"/>
  <c r="M94" i="4"/>
  <c r="C94" i="4"/>
  <c r="O93" i="4"/>
  <c r="P93" i="4" s="1"/>
  <c r="M93" i="4"/>
  <c r="C93" i="4"/>
  <c r="O92" i="4"/>
  <c r="P92" i="4" s="1"/>
  <c r="M92" i="4"/>
  <c r="C92" i="4"/>
  <c r="O91" i="4"/>
  <c r="P91" i="4" s="1"/>
  <c r="M91" i="4"/>
  <c r="C91" i="4"/>
  <c r="O90" i="4"/>
  <c r="P90" i="4" s="1"/>
  <c r="M90" i="4"/>
  <c r="C90" i="4"/>
  <c r="O89" i="4"/>
  <c r="P89" i="4" s="1"/>
  <c r="M89" i="4"/>
  <c r="C89" i="4"/>
  <c r="O88" i="4"/>
  <c r="P88" i="4" s="1"/>
  <c r="M88" i="4"/>
  <c r="C88" i="4"/>
  <c r="O87" i="4"/>
  <c r="P87" i="4" s="1"/>
  <c r="M87" i="4"/>
  <c r="C87" i="4"/>
  <c r="O86" i="4"/>
  <c r="P86" i="4" s="1"/>
  <c r="M86" i="4"/>
  <c r="C86" i="4"/>
  <c r="O85" i="4"/>
  <c r="P85" i="4" s="1"/>
  <c r="M85" i="4"/>
  <c r="C85" i="4"/>
  <c r="O84" i="4"/>
  <c r="P84" i="4" s="1"/>
  <c r="M84" i="4"/>
  <c r="O83" i="4"/>
  <c r="P83" i="4" s="1"/>
  <c r="M83" i="4"/>
  <c r="O82" i="4"/>
  <c r="P82" i="4" s="1"/>
  <c r="M82" i="4"/>
  <c r="O81" i="4"/>
  <c r="P81" i="4" s="1"/>
  <c r="M81" i="4"/>
  <c r="O80" i="4"/>
  <c r="P80" i="4" s="1"/>
  <c r="M80" i="4"/>
  <c r="O79" i="4"/>
  <c r="P79" i="4" s="1"/>
  <c r="M79" i="4"/>
  <c r="O78" i="4"/>
  <c r="P78" i="4" s="1"/>
  <c r="M78" i="4"/>
  <c r="O77" i="4"/>
  <c r="P77" i="4" s="1"/>
  <c r="M77" i="4"/>
  <c r="O76" i="4"/>
  <c r="P76" i="4" s="1"/>
  <c r="M76" i="4"/>
  <c r="O75" i="4"/>
  <c r="P75" i="4" s="1"/>
  <c r="M75" i="4"/>
  <c r="O74" i="4"/>
  <c r="P74" i="4" s="1"/>
  <c r="M74" i="4"/>
  <c r="O73" i="4"/>
  <c r="P73" i="4" s="1"/>
  <c r="M73" i="4"/>
  <c r="O72" i="4"/>
  <c r="P72" i="4" s="1"/>
  <c r="M72" i="4"/>
  <c r="O71" i="4"/>
  <c r="P71" i="4" s="1"/>
  <c r="M71" i="4"/>
  <c r="O70" i="4"/>
  <c r="P70" i="4" s="1"/>
  <c r="M70" i="4"/>
  <c r="O69" i="4"/>
  <c r="P69" i="4" s="1"/>
  <c r="M69" i="4"/>
  <c r="O68" i="4"/>
  <c r="P68" i="4" s="1"/>
  <c r="M68" i="4"/>
  <c r="O67" i="4"/>
  <c r="P67" i="4" s="1"/>
  <c r="M67" i="4"/>
  <c r="O66" i="4"/>
  <c r="P66" i="4" s="1"/>
  <c r="M66" i="4"/>
  <c r="O65" i="4"/>
  <c r="P65" i="4" s="1"/>
  <c r="M65" i="4"/>
  <c r="O64" i="4"/>
  <c r="P64" i="4" s="1"/>
  <c r="M64" i="4"/>
  <c r="O63" i="4"/>
  <c r="P63" i="4" s="1"/>
  <c r="M63" i="4"/>
  <c r="O62" i="4"/>
  <c r="P62" i="4" s="1"/>
  <c r="M62" i="4"/>
  <c r="O61" i="4"/>
  <c r="P61" i="4" s="1"/>
  <c r="M61" i="4"/>
  <c r="O60" i="4"/>
  <c r="P60" i="4" s="1"/>
  <c r="M60" i="4"/>
  <c r="O59" i="4"/>
  <c r="P59" i="4" s="1"/>
  <c r="M59" i="4"/>
  <c r="O58" i="4"/>
  <c r="P58" i="4" s="1"/>
  <c r="M58" i="4"/>
  <c r="O57" i="4"/>
  <c r="P57" i="4" s="1"/>
  <c r="M57" i="4"/>
  <c r="O56" i="4"/>
  <c r="P56" i="4" s="1"/>
  <c r="M56" i="4"/>
  <c r="O55" i="4"/>
  <c r="P55" i="4" s="1"/>
  <c r="M55" i="4"/>
  <c r="C55" i="4"/>
  <c r="O54" i="4"/>
  <c r="P54" i="4" s="1"/>
  <c r="M54" i="4"/>
  <c r="C54" i="4"/>
  <c r="O53" i="4"/>
  <c r="P53" i="4" s="1"/>
  <c r="M53" i="4"/>
  <c r="C53" i="4"/>
  <c r="O52" i="4"/>
  <c r="P52" i="4" s="1"/>
  <c r="M52" i="4"/>
  <c r="C52" i="4"/>
  <c r="O51" i="4"/>
  <c r="P51" i="4" s="1"/>
  <c r="M51" i="4"/>
  <c r="C51" i="4"/>
  <c r="O50" i="4"/>
  <c r="P50" i="4" s="1"/>
  <c r="M50" i="4"/>
  <c r="O49" i="4"/>
  <c r="P49" i="4" s="1"/>
  <c r="M49" i="4"/>
  <c r="O48" i="4"/>
  <c r="P48" i="4" s="1"/>
  <c r="M48" i="4"/>
  <c r="O47" i="4"/>
  <c r="P47" i="4" s="1"/>
  <c r="M47" i="4"/>
  <c r="O46" i="4"/>
  <c r="P46" i="4" s="1"/>
  <c r="M46" i="4"/>
  <c r="O45" i="4"/>
  <c r="P45" i="4" s="1"/>
  <c r="M45" i="4"/>
  <c r="O44" i="4"/>
  <c r="P44" i="4" s="1"/>
  <c r="M44" i="4"/>
  <c r="O43" i="4"/>
  <c r="P43" i="4" s="1"/>
  <c r="M43" i="4"/>
  <c r="O42" i="4"/>
  <c r="P42" i="4" s="1"/>
  <c r="M42" i="4"/>
  <c r="O41" i="4"/>
  <c r="P41" i="4" s="1"/>
  <c r="M41" i="4"/>
  <c r="O40" i="4"/>
  <c r="P40" i="4" s="1"/>
  <c r="M40" i="4"/>
  <c r="O39" i="4"/>
  <c r="P39" i="4" s="1"/>
  <c r="M39" i="4"/>
  <c r="O38" i="4"/>
  <c r="P38" i="4" s="1"/>
  <c r="M38" i="4"/>
  <c r="O37" i="4"/>
  <c r="P37" i="4" s="1"/>
  <c r="M37" i="4"/>
  <c r="O36" i="4"/>
  <c r="P36" i="4" s="1"/>
  <c r="M36" i="4"/>
  <c r="O35" i="4"/>
  <c r="P35" i="4" s="1"/>
  <c r="M35" i="4"/>
  <c r="O34" i="4"/>
  <c r="P34" i="4" s="1"/>
  <c r="M34" i="4"/>
  <c r="O33" i="4"/>
  <c r="P33" i="4" s="1"/>
  <c r="M33" i="4"/>
  <c r="O32" i="4"/>
  <c r="P32" i="4" s="1"/>
  <c r="M32" i="4"/>
  <c r="O31" i="4"/>
  <c r="P31" i="4" s="1"/>
  <c r="M31" i="4"/>
  <c r="O30" i="4"/>
  <c r="P30" i="4" s="1"/>
  <c r="M30" i="4"/>
  <c r="O29" i="4"/>
  <c r="P29" i="4" s="1"/>
  <c r="M29" i="4"/>
  <c r="O28" i="4"/>
  <c r="P28" i="4" s="1"/>
  <c r="M28" i="4"/>
  <c r="O27" i="4"/>
  <c r="P27" i="4" s="1"/>
  <c r="M27" i="4"/>
  <c r="O26" i="4"/>
  <c r="P26" i="4" s="1"/>
  <c r="M26" i="4"/>
  <c r="O25" i="4"/>
  <c r="P25" i="4" s="1"/>
  <c r="M25" i="4"/>
  <c r="O24" i="4"/>
  <c r="P24" i="4" s="1"/>
  <c r="M24" i="4"/>
  <c r="O23" i="4"/>
  <c r="P23" i="4" s="1"/>
  <c r="M23" i="4"/>
  <c r="O22" i="4"/>
  <c r="P22" i="4" s="1"/>
  <c r="M22" i="4"/>
  <c r="O21" i="4"/>
  <c r="P21" i="4" s="1"/>
  <c r="M21" i="4"/>
  <c r="O20" i="4"/>
  <c r="P20" i="4" s="1"/>
  <c r="M20" i="4"/>
  <c r="O19" i="4"/>
  <c r="P19" i="4" s="1"/>
  <c r="M19" i="4"/>
  <c r="O17" i="4"/>
  <c r="P17" i="4" s="1"/>
  <c r="M17" i="4"/>
  <c r="O16" i="4"/>
  <c r="P16" i="4" s="1"/>
  <c r="M16" i="4"/>
  <c r="O15" i="4"/>
  <c r="P15" i="4" s="1"/>
  <c r="M15" i="4"/>
  <c r="O14" i="4"/>
  <c r="P14" i="4" s="1"/>
  <c r="M14" i="4"/>
  <c r="O13" i="4"/>
  <c r="P13" i="4" s="1"/>
  <c r="M13" i="4"/>
  <c r="O12" i="4"/>
  <c r="P12" i="4" s="1"/>
  <c r="M12" i="4"/>
  <c r="O11" i="4"/>
  <c r="P11" i="4" s="1"/>
  <c r="M11" i="4"/>
  <c r="O10" i="4"/>
  <c r="P10" i="4" s="1"/>
  <c r="M10" i="4"/>
  <c r="C10" i="4"/>
  <c r="O9" i="4"/>
  <c r="P9" i="4" s="1"/>
  <c r="M9" i="4"/>
  <c r="C9" i="4"/>
  <c r="O8" i="4"/>
  <c r="P8" i="4" s="1"/>
  <c r="M8" i="4"/>
  <c r="C8" i="4"/>
  <c r="O7" i="4"/>
  <c r="P7" i="4" s="1"/>
  <c r="M7" i="4"/>
  <c r="C7" i="4"/>
  <c r="O6" i="4"/>
  <c r="P6" i="4" s="1"/>
  <c r="M6" i="4"/>
  <c r="C6" i="4"/>
  <c r="O5" i="4"/>
  <c r="P5" i="4" s="1"/>
  <c r="M5" i="4"/>
  <c r="C5" i="4"/>
  <c r="O4" i="4"/>
  <c r="P4" i="4" s="1"/>
  <c r="M4" i="4"/>
  <c r="C4" i="4"/>
  <c r="O3" i="4"/>
  <c r="P3" i="4" s="1"/>
  <c r="M3" i="4"/>
  <c r="C3" i="4"/>
  <c r="O2" i="4"/>
  <c r="P2" i="4" s="1"/>
  <c r="M2" i="4"/>
  <c r="C2" i="4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9" i="2"/>
  <c r="B8" i="2"/>
  <c r="B7" i="2"/>
  <c r="B6" i="2"/>
  <c r="B5" i="2"/>
  <c r="B4" i="2"/>
  <c r="B3" i="2"/>
  <c r="S1492" i="4" l="1"/>
  <c r="S1489" i="4"/>
  <c r="S1490" i="4"/>
  <c r="S1491" i="4"/>
  <c r="S18" i="4"/>
  <c r="S24" i="4"/>
  <c r="N24" i="4" s="1"/>
  <c r="R24" i="4" s="1"/>
  <c r="Q1335" i="4"/>
  <c r="Q1209" i="4"/>
  <c r="Q1239" i="4"/>
  <c r="Q387" i="4"/>
  <c r="Q1180" i="4"/>
  <c r="Q773" i="4"/>
  <c r="Q889" i="4"/>
  <c r="Q670" i="4"/>
  <c r="Q654" i="4"/>
  <c r="Q1168" i="4"/>
  <c r="Q1464" i="4"/>
  <c r="Q658" i="4"/>
  <c r="Q1442" i="4"/>
  <c r="Q324" i="4"/>
  <c r="Q747" i="4"/>
  <c r="Q436" i="4"/>
  <c r="Q676" i="4"/>
  <c r="Q624" i="4"/>
  <c r="Q672" i="4"/>
  <c r="Q797" i="4"/>
  <c r="Q940" i="4"/>
  <c r="Q648" i="4"/>
  <c r="Q928" i="4"/>
  <c r="S231" i="4"/>
  <c r="N231" i="4" s="1"/>
  <c r="R231" i="4" s="1"/>
  <c r="S237" i="4"/>
  <c r="N237" i="4" s="1"/>
  <c r="Q318" i="4"/>
  <c r="Q1106" i="4"/>
  <c r="Q1113" i="4"/>
  <c r="Q1199" i="4"/>
  <c r="S60" i="4"/>
  <c r="N60" i="4" s="1"/>
  <c r="R60" i="4" s="1"/>
  <c r="S5" i="4"/>
  <c r="N5" i="4" s="1"/>
  <c r="R5" i="4" s="1"/>
  <c r="Q1427" i="4"/>
  <c r="S87" i="4"/>
  <c r="N87" i="4" s="1"/>
  <c r="R87" i="4" s="1"/>
  <c r="S20" i="4"/>
  <c r="N20" i="4" s="1"/>
  <c r="S14" i="4"/>
  <c r="N14" i="4" s="1"/>
  <c r="R14" i="4" s="1"/>
  <c r="S53" i="4"/>
  <c r="N53" i="4" s="1"/>
  <c r="R53" i="4" s="1"/>
  <c r="S168" i="4"/>
  <c r="Q168" i="4" s="1"/>
  <c r="S47" i="4"/>
  <c r="T47" i="4" s="1"/>
  <c r="S88" i="4"/>
  <c r="N88" i="4" s="1"/>
  <c r="T989" i="4"/>
  <c r="U989" i="4" s="1"/>
  <c r="S81" i="4"/>
  <c r="N81" i="4" s="1"/>
  <c r="R81" i="4" s="1"/>
  <c r="S17" i="4"/>
  <c r="N17" i="4" s="1"/>
  <c r="R17" i="4" s="1"/>
  <c r="S48" i="4"/>
  <c r="N48" i="4" s="1"/>
  <c r="R48" i="4" s="1"/>
  <c r="S41" i="4"/>
  <c r="N41" i="4" s="1"/>
  <c r="R41" i="4" s="1"/>
  <c r="S232" i="4"/>
  <c r="N232" i="4" s="1"/>
  <c r="S74" i="4"/>
  <c r="N74" i="4" s="1"/>
  <c r="R74" i="4" s="1"/>
  <c r="S75" i="4"/>
  <c r="N75" i="4" s="1"/>
  <c r="R75" i="4" s="1"/>
  <c r="S218" i="4"/>
  <c r="T218" i="4" s="1"/>
  <c r="S31" i="4"/>
  <c r="N31" i="4" s="1"/>
  <c r="R31" i="4" s="1"/>
  <c r="S72" i="4"/>
  <c r="T72" i="4" s="1"/>
  <c r="S200" i="4"/>
  <c r="T200" i="4" s="1"/>
  <c r="Q321" i="4"/>
  <c r="Q695" i="4"/>
  <c r="Q913" i="4"/>
  <c r="Q810" i="4"/>
  <c r="Q822" i="4"/>
  <c r="Q603" i="4"/>
  <c r="Q1077" i="4"/>
  <c r="Q1311" i="4"/>
  <c r="Q581" i="4"/>
  <c r="Q1318" i="4"/>
  <c r="S95" i="4"/>
  <c r="Q95" i="4" s="1"/>
  <c r="S117" i="4"/>
  <c r="Q117" i="4" s="1"/>
  <c r="S139" i="4"/>
  <c r="N139" i="4" s="1"/>
  <c r="R139" i="4" s="1"/>
  <c r="S150" i="4"/>
  <c r="N150" i="4" s="1"/>
  <c r="S172" i="4"/>
  <c r="N172" i="4" s="1"/>
  <c r="R172" i="4" s="1"/>
  <c r="S194" i="4"/>
  <c r="N194" i="4" s="1"/>
  <c r="R194" i="4" s="1"/>
  <c r="S222" i="4"/>
  <c r="N222" i="4" s="1"/>
  <c r="R222" i="4" s="1"/>
  <c r="S238" i="4"/>
  <c r="N238" i="4" s="1"/>
  <c r="R238" i="4" s="1"/>
  <c r="S99" i="4"/>
  <c r="N99" i="4" s="1"/>
  <c r="R99" i="4" s="1"/>
  <c r="S140" i="4"/>
  <c r="N140" i="4" s="1"/>
  <c r="R140" i="4" s="1"/>
  <c r="S9" i="4"/>
  <c r="N9" i="4" s="1"/>
  <c r="R9" i="4" s="1"/>
  <c r="S29" i="4"/>
  <c r="N29" i="4" s="1"/>
  <c r="R29" i="4" s="1"/>
  <c r="S35" i="4"/>
  <c r="N35" i="4" s="1"/>
  <c r="S45" i="4"/>
  <c r="N45" i="4" s="1"/>
  <c r="R45" i="4" s="1"/>
  <c r="S51" i="4"/>
  <c r="N51" i="4" s="1"/>
  <c r="S54" i="4"/>
  <c r="N54" i="4" s="1"/>
  <c r="R54" i="4" s="1"/>
  <c r="S56" i="4"/>
  <c r="T56" i="4" s="1"/>
  <c r="S69" i="4"/>
  <c r="N69" i="4" s="1"/>
  <c r="R69" i="4" s="1"/>
  <c r="S84" i="4"/>
  <c r="Q84" i="4" s="1"/>
  <c r="S91" i="4"/>
  <c r="N91" i="4" s="1"/>
  <c r="R91" i="4" s="1"/>
  <c r="S103" i="4"/>
  <c r="T103" i="4" s="1"/>
  <c r="S107" i="4"/>
  <c r="T107" i="4" s="1"/>
  <c r="S131" i="4"/>
  <c r="T131" i="4" s="1"/>
  <c r="S133" i="4"/>
  <c r="N133" i="4" s="1"/>
  <c r="R133" i="4" s="1"/>
  <c r="S158" i="4"/>
  <c r="N158" i="4" s="1"/>
  <c r="R158" i="4" s="1"/>
  <c r="S191" i="4"/>
  <c r="Q191" i="4" s="1"/>
  <c r="S205" i="4"/>
  <c r="N205" i="4" s="1"/>
  <c r="R205" i="4" s="1"/>
  <c r="S211" i="4"/>
  <c r="N211" i="4" s="1"/>
  <c r="R211" i="4" s="1"/>
  <c r="S235" i="4"/>
  <c r="N235" i="4" s="1"/>
  <c r="S6" i="4"/>
  <c r="Q6" i="4" s="1"/>
  <c r="S21" i="4"/>
  <c r="N21" i="4" s="1"/>
  <c r="R21" i="4" s="1"/>
  <c r="S26" i="4"/>
  <c r="N26" i="4" s="1"/>
  <c r="R26" i="4" s="1"/>
  <c r="S30" i="4"/>
  <c r="T30" i="4" s="1"/>
  <c r="S70" i="4"/>
  <c r="N70" i="4" s="1"/>
  <c r="R70" i="4" s="1"/>
  <c r="S85" i="4"/>
  <c r="N85" i="4" s="1"/>
  <c r="R85" i="4" s="1"/>
  <c r="S92" i="4"/>
  <c r="N92" i="4" s="1"/>
  <c r="S96" i="4"/>
  <c r="N96" i="4" s="1"/>
  <c r="S127" i="4"/>
  <c r="N127" i="4" s="1"/>
  <c r="R127" i="4" s="1"/>
  <c r="S134" i="4"/>
  <c r="N134" i="4" s="1"/>
  <c r="R134" i="4" s="1"/>
  <c r="S173" i="4"/>
  <c r="T173" i="4" s="1"/>
  <c r="S195" i="4"/>
  <c r="N195" i="4" s="1"/>
  <c r="R195" i="4" s="1"/>
  <c r="S198" i="4"/>
  <c r="T198" i="4" s="1"/>
  <c r="S209" i="4"/>
  <c r="Q209" i="4" s="1"/>
  <c r="S212" i="4"/>
  <c r="Q212" i="4" s="1"/>
  <c r="S219" i="4"/>
  <c r="T219" i="4" s="1"/>
  <c r="S236" i="4"/>
  <c r="T236" i="4" s="1"/>
  <c r="S157" i="4"/>
  <c r="N157" i="4" s="1"/>
  <c r="R157" i="4" s="1"/>
  <c r="S225" i="4"/>
  <c r="Q225" i="4" s="1"/>
  <c r="S15" i="4"/>
  <c r="N15" i="4" s="1"/>
  <c r="R15" i="4" s="1"/>
  <c r="S27" i="4"/>
  <c r="N27" i="4" s="1"/>
  <c r="R27" i="4" s="1"/>
  <c r="S49" i="4"/>
  <c r="N49" i="4" s="1"/>
  <c r="R49" i="4" s="1"/>
  <c r="S61" i="4"/>
  <c r="T61" i="4" s="1"/>
  <c r="S76" i="4"/>
  <c r="N76" i="4" s="1"/>
  <c r="R76" i="4" s="1"/>
  <c r="S82" i="4"/>
  <c r="N82" i="4" s="1"/>
  <c r="R82" i="4" s="1"/>
  <c r="S89" i="4"/>
  <c r="T89" i="4" s="1"/>
  <c r="S100" i="4"/>
  <c r="T100" i="4" s="1"/>
  <c r="S111" i="4"/>
  <c r="T111" i="4" s="1"/>
  <c r="S125" i="4"/>
  <c r="T125" i="4" s="1"/>
  <c r="S128" i="4"/>
  <c r="N128" i="4" s="1"/>
  <c r="R128" i="4" s="1"/>
  <c r="S141" i="4"/>
  <c r="T141" i="4" s="1"/>
  <c r="S144" i="4"/>
  <c r="Q144" i="4" s="1"/>
  <c r="S148" i="4"/>
  <c r="T148" i="4" s="1"/>
  <c r="S155" i="4"/>
  <c r="T155" i="4" s="1"/>
  <c r="S166" i="4"/>
  <c r="Q166" i="4" s="1"/>
  <c r="S176" i="4"/>
  <c r="T176" i="4" s="1"/>
  <c r="S184" i="4"/>
  <c r="N184" i="4" s="1"/>
  <c r="S202" i="4"/>
  <c r="N202" i="4" s="1"/>
  <c r="R202" i="4" s="1"/>
  <c r="S215" i="4"/>
  <c r="Q215" i="4" s="1"/>
  <c r="S223" i="4"/>
  <c r="N223" i="4" s="1"/>
  <c r="S239" i="4"/>
  <c r="N239" i="4" s="1"/>
  <c r="R239" i="4" s="1"/>
  <c r="S187" i="4"/>
  <c r="N187" i="4" s="1"/>
  <c r="S3" i="4"/>
  <c r="N3" i="4" s="1"/>
  <c r="R3" i="4" s="1"/>
  <c r="S10" i="4"/>
  <c r="N10" i="4" s="1"/>
  <c r="R10" i="4" s="1"/>
  <c r="S36" i="4"/>
  <c r="N36" i="4" s="1"/>
  <c r="R36" i="4" s="1"/>
  <c r="S38" i="4"/>
  <c r="N38" i="4" s="1"/>
  <c r="R38" i="4" s="1"/>
  <c r="S55" i="4"/>
  <c r="N55" i="4" s="1"/>
  <c r="R55" i="4" s="1"/>
  <c r="S64" i="4"/>
  <c r="N64" i="4" s="1"/>
  <c r="R64" i="4" s="1"/>
  <c r="S79" i="4"/>
  <c r="T79" i="4" s="1"/>
  <c r="S104" i="4"/>
  <c r="N104" i="4" s="1"/>
  <c r="R104" i="4" s="1"/>
  <c r="S159" i="4"/>
  <c r="Q159" i="4" s="1"/>
  <c r="S162" i="4"/>
  <c r="T162" i="4" s="1"/>
  <c r="S169" i="4"/>
  <c r="N169" i="4" s="1"/>
  <c r="R169" i="4" s="1"/>
  <c r="S177" i="4"/>
  <c r="N177" i="4" s="1"/>
  <c r="R177" i="4" s="1"/>
  <c r="S180" i="4"/>
  <c r="Q180" i="4" s="1"/>
  <c r="S188" i="4"/>
  <c r="N188" i="4" s="1"/>
  <c r="R188" i="4" s="1"/>
  <c r="S192" i="4"/>
  <c r="N192" i="4" s="1"/>
  <c r="S206" i="4"/>
  <c r="N206" i="4" s="1"/>
  <c r="R206" i="4" s="1"/>
  <c r="S216" i="4"/>
  <c r="N216" i="4" s="1"/>
  <c r="S226" i="4"/>
  <c r="N226" i="4" s="1"/>
  <c r="R226" i="4" s="1"/>
  <c r="S229" i="4"/>
  <c r="T229" i="4" s="1"/>
  <c r="S233" i="4"/>
  <c r="T233" i="4" s="1"/>
  <c r="S102" i="4"/>
  <c r="Q102" i="4" s="1"/>
  <c r="S124" i="4"/>
  <c r="N124" i="4" s="1"/>
  <c r="S22" i="4"/>
  <c r="N22" i="4" s="1"/>
  <c r="R22" i="4" s="1"/>
  <c r="S32" i="4"/>
  <c r="N32" i="4" s="1"/>
  <c r="R32" i="4" s="1"/>
  <c r="S46" i="4"/>
  <c r="Q46" i="4" s="1"/>
  <c r="S52" i="4"/>
  <c r="N52" i="4" s="1"/>
  <c r="R52" i="4" s="1"/>
  <c r="S57" i="4"/>
  <c r="Q57" i="4" s="1"/>
  <c r="S65" i="4"/>
  <c r="N65" i="4" s="1"/>
  <c r="R65" i="4" s="1"/>
  <c r="S67" i="4"/>
  <c r="T67" i="4" s="1"/>
  <c r="S71" i="4"/>
  <c r="N71" i="4" s="1"/>
  <c r="R71" i="4" s="1"/>
  <c r="S86" i="4"/>
  <c r="N86" i="4" s="1"/>
  <c r="S93" i="4"/>
  <c r="N93" i="4" s="1"/>
  <c r="R93" i="4" s="1"/>
  <c r="S118" i="4"/>
  <c r="T118" i="4" s="1"/>
  <c r="S121" i="4"/>
  <c r="N121" i="4" s="1"/>
  <c r="R121" i="4" s="1"/>
  <c r="S132" i="4"/>
  <c r="N132" i="4" s="1"/>
  <c r="R132" i="4" s="1"/>
  <c r="S135" i="4"/>
  <c r="N135" i="4" s="1"/>
  <c r="R135" i="4" s="1"/>
  <c r="S151" i="4"/>
  <c r="N151" i="4" s="1"/>
  <c r="R151" i="4" s="1"/>
  <c r="S170" i="4"/>
  <c r="N170" i="4" s="1"/>
  <c r="R170" i="4" s="1"/>
  <c r="S181" i="4"/>
  <c r="N181" i="4" s="1"/>
  <c r="R181" i="4" s="1"/>
  <c r="S196" i="4"/>
  <c r="N196" i="4" s="1"/>
  <c r="R196" i="4" s="1"/>
  <c r="S213" i="4"/>
  <c r="N213" i="4" s="1"/>
  <c r="S220" i="4"/>
  <c r="N220" i="4" s="1"/>
  <c r="S227" i="4"/>
  <c r="N227" i="4" s="1"/>
  <c r="S230" i="4"/>
  <c r="N230" i="4" s="1"/>
  <c r="R230" i="4" s="1"/>
  <c r="S110" i="4"/>
  <c r="N110" i="4" s="1"/>
  <c r="R110" i="4" s="1"/>
  <c r="S120" i="4"/>
  <c r="Q120" i="4" s="1"/>
  <c r="S147" i="4"/>
  <c r="T147" i="4" s="1"/>
  <c r="S183" i="4"/>
  <c r="N183" i="4" s="1"/>
  <c r="R183" i="4" s="1"/>
  <c r="S16" i="4"/>
  <c r="N16" i="4" s="1"/>
  <c r="R16" i="4" s="1"/>
  <c r="S33" i="4"/>
  <c r="N33" i="4" s="1"/>
  <c r="R33" i="4" s="1"/>
  <c r="S42" i="4"/>
  <c r="Q42" i="4" s="1"/>
  <c r="S58" i="4"/>
  <c r="N58" i="4" s="1"/>
  <c r="R58" i="4" s="1"/>
  <c r="S62" i="4"/>
  <c r="N62" i="4" s="1"/>
  <c r="R62" i="4" s="1"/>
  <c r="S101" i="4"/>
  <c r="Q101" i="4" s="1"/>
  <c r="S112" i="4"/>
  <c r="N112" i="4" s="1"/>
  <c r="R112" i="4" s="1"/>
  <c r="S119" i="4"/>
  <c r="Q119" i="4" s="1"/>
  <c r="S122" i="4"/>
  <c r="N122" i="4" s="1"/>
  <c r="S129" i="4"/>
  <c r="T129" i="4" s="1"/>
  <c r="S142" i="4"/>
  <c r="Q142" i="4" s="1"/>
  <c r="S152" i="4"/>
  <c r="N152" i="4" s="1"/>
  <c r="R152" i="4" s="1"/>
  <c r="S156" i="4"/>
  <c r="N156" i="4" s="1"/>
  <c r="R156" i="4" s="1"/>
  <c r="S167" i="4"/>
  <c r="T167" i="4" s="1"/>
  <c r="S185" i="4"/>
  <c r="T185" i="4" s="1"/>
  <c r="S203" i="4"/>
  <c r="Q203" i="4" s="1"/>
  <c r="S224" i="4"/>
  <c r="N224" i="4" s="1"/>
  <c r="S240" i="4"/>
  <c r="N240" i="4" s="1"/>
  <c r="R240" i="4" s="1"/>
  <c r="Q689" i="4"/>
  <c r="S165" i="4"/>
  <c r="T165" i="4" s="1"/>
  <c r="S11" i="4"/>
  <c r="N11" i="4" s="1"/>
  <c r="S25" i="4"/>
  <c r="N25" i="4" s="1"/>
  <c r="R25" i="4" s="1"/>
  <c r="S28" i="4"/>
  <c r="N28" i="4" s="1"/>
  <c r="R28" i="4" s="1"/>
  <c r="S43" i="4"/>
  <c r="N43" i="4" s="1"/>
  <c r="R43" i="4" s="1"/>
  <c r="S73" i="4"/>
  <c r="T73" i="4" s="1"/>
  <c r="S83" i="4"/>
  <c r="Q83" i="4" s="1"/>
  <c r="S105" i="4"/>
  <c r="Q105" i="4" s="1"/>
  <c r="S108" i="4"/>
  <c r="T108" i="4" s="1"/>
  <c r="S115" i="4"/>
  <c r="N115" i="4" s="1"/>
  <c r="R115" i="4" s="1"/>
  <c r="S138" i="4"/>
  <c r="N138" i="4" s="1"/>
  <c r="R138" i="4" s="1"/>
  <c r="S149" i="4"/>
  <c r="Q149" i="4" s="1"/>
  <c r="S160" i="4"/>
  <c r="T160" i="4" s="1"/>
  <c r="S178" i="4"/>
  <c r="N178" i="4" s="1"/>
  <c r="R178" i="4" s="1"/>
  <c r="S189" i="4"/>
  <c r="N189" i="4" s="1"/>
  <c r="R189" i="4" s="1"/>
  <c r="S193" i="4"/>
  <c r="N193" i="4" s="1"/>
  <c r="R193" i="4" s="1"/>
  <c r="S199" i="4"/>
  <c r="T199" i="4" s="1"/>
  <c r="S207" i="4"/>
  <c r="N207" i="4" s="1"/>
  <c r="R207" i="4" s="1"/>
  <c r="S234" i="4"/>
  <c r="N234" i="4" s="1"/>
  <c r="R234" i="4" s="1"/>
  <c r="S4" i="4"/>
  <c r="N4" i="4" s="1"/>
  <c r="R4" i="4" s="1"/>
  <c r="S12" i="4"/>
  <c r="N12" i="4" s="1"/>
  <c r="R12" i="4" s="1"/>
  <c r="S23" i="4"/>
  <c r="N23" i="4" s="1"/>
  <c r="R23" i="4" s="1"/>
  <c r="S39" i="4"/>
  <c r="Q39" i="4" s="1"/>
  <c r="S80" i="4"/>
  <c r="Q80" i="4" s="1"/>
  <c r="S94" i="4"/>
  <c r="T94" i="4" s="1"/>
  <c r="S109" i="4"/>
  <c r="N109" i="4" s="1"/>
  <c r="R109" i="4" s="1"/>
  <c r="S145" i="4"/>
  <c r="N145" i="4" s="1"/>
  <c r="R145" i="4" s="1"/>
  <c r="S163" i="4"/>
  <c r="N163" i="4" s="1"/>
  <c r="R163" i="4" s="1"/>
  <c r="S174" i="4"/>
  <c r="T174" i="4" s="1"/>
  <c r="S217" i="4"/>
  <c r="N217" i="4" s="1"/>
  <c r="R217" i="4" s="1"/>
  <c r="S228" i="4"/>
  <c r="N228" i="4" s="1"/>
  <c r="R228" i="4" s="1"/>
  <c r="Q495" i="4"/>
  <c r="S2" i="4"/>
  <c r="N2" i="4" s="1"/>
  <c r="R2" i="4" s="1"/>
  <c r="S8" i="4"/>
  <c r="N8" i="4" s="1"/>
  <c r="R8" i="4" s="1"/>
  <c r="S13" i="4"/>
  <c r="N13" i="4" s="1"/>
  <c r="S34" i="4"/>
  <c r="N34" i="4" s="1"/>
  <c r="S40" i="4"/>
  <c r="N40" i="4" s="1"/>
  <c r="R40" i="4" s="1"/>
  <c r="S50" i="4"/>
  <c r="N50" i="4" s="1"/>
  <c r="R50" i="4" s="1"/>
  <c r="S59" i="4"/>
  <c r="N59" i="4" s="1"/>
  <c r="S63" i="4"/>
  <c r="N63" i="4" s="1"/>
  <c r="S68" i="4"/>
  <c r="N68" i="4" s="1"/>
  <c r="R68" i="4" s="1"/>
  <c r="S77" i="4"/>
  <c r="Q77" i="4" s="1"/>
  <c r="S90" i="4"/>
  <c r="Q90" i="4" s="1"/>
  <c r="S98" i="4"/>
  <c r="N98" i="4" s="1"/>
  <c r="S113" i="4"/>
  <c r="T113" i="4" s="1"/>
  <c r="S123" i="4"/>
  <c r="Q123" i="4" s="1"/>
  <c r="S126" i="4"/>
  <c r="Q126" i="4" s="1"/>
  <c r="S130" i="4"/>
  <c r="N130" i="4" s="1"/>
  <c r="S143" i="4"/>
  <c r="T143" i="4" s="1"/>
  <c r="S146" i="4"/>
  <c r="N146" i="4" s="1"/>
  <c r="R146" i="4" s="1"/>
  <c r="S153" i="4"/>
  <c r="T153" i="4" s="1"/>
  <c r="S164" i="4"/>
  <c r="N164" i="4" s="1"/>
  <c r="R164" i="4" s="1"/>
  <c r="S175" i="4"/>
  <c r="N175" i="4" s="1"/>
  <c r="R175" i="4" s="1"/>
  <c r="S182" i="4"/>
  <c r="N182" i="4" s="1"/>
  <c r="R182" i="4" s="1"/>
  <c r="S186" i="4"/>
  <c r="N186" i="4" s="1"/>
  <c r="R186" i="4" s="1"/>
  <c r="S210" i="4"/>
  <c r="T210" i="4" s="1"/>
  <c r="S241" i="4"/>
  <c r="N241" i="4" s="1"/>
  <c r="R241" i="4" s="1"/>
  <c r="S114" i="4"/>
  <c r="N114" i="4" s="1"/>
  <c r="S137" i="4"/>
  <c r="T137" i="4" s="1"/>
  <c r="S154" i="4"/>
  <c r="N154" i="4" s="1"/>
  <c r="S242" i="4"/>
  <c r="N242" i="4" s="1"/>
  <c r="R242" i="4" s="1"/>
  <c r="S7" i="4"/>
  <c r="N7" i="4" s="1"/>
  <c r="R7" i="4" s="1"/>
  <c r="S19" i="4"/>
  <c r="N19" i="4" s="1"/>
  <c r="R19" i="4" s="1"/>
  <c r="S66" i="4"/>
  <c r="N66" i="4" s="1"/>
  <c r="R66" i="4" s="1"/>
  <c r="S97" i="4"/>
  <c r="T97" i="4" s="1"/>
  <c r="S116" i="4"/>
  <c r="N116" i="4" s="1"/>
  <c r="R116" i="4" s="1"/>
  <c r="S136" i="4"/>
  <c r="Q136" i="4" s="1"/>
  <c r="S171" i="4"/>
  <c r="Q171" i="4" s="1"/>
  <c r="S197" i="4"/>
  <c r="T197" i="4" s="1"/>
  <c r="S214" i="4"/>
  <c r="N214" i="4" s="1"/>
  <c r="S221" i="4"/>
  <c r="N221" i="4" s="1"/>
  <c r="R221" i="4" s="1"/>
  <c r="S37" i="4"/>
  <c r="N37" i="4" s="1"/>
  <c r="R37" i="4" s="1"/>
  <c r="S44" i="4"/>
  <c r="N44" i="4" s="1"/>
  <c r="S78" i="4"/>
  <c r="N78" i="4" s="1"/>
  <c r="S106" i="4"/>
  <c r="N106" i="4" s="1"/>
  <c r="R106" i="4" s="1"/>
  <c r="S161" i="4"/>
  <c r="T161" i="4" s="1"/>
  <c r="S179" i="4"/>
  <c r="T179" i="4" s="1"/>
  <c r="S190" i="4"/>
  <c r="N190" i="4" s="1"/>
  <c r="R190" i="4" s="1"/>
  <c r="S204" i="4"/>
  <c r="N204" i="4" s="1"/>
  <c r="S208" i="4"/>
  <c r="N208" i="4" s="1"/>
  <c r="R208" i="4" s="1"/>
  <c r="Q576" i="4"/>
  <c r="Q250" i="4"/>
  <c r="Q255" i="4"/>
  <c r="Q1010" i="4"/>
  <c r="Q1159" i="4"/>
  <c r="Q327" i="4"/>
  <c r="Q527" i="4"/>
  <c r="Q1410" i="4"/>
  <c r="T380" i="4"/>
  <c r="U380" i="4" s="1"/>
  <c r="Q678" i="4"/>
  <c r="Q763" i="4"/>
  <c r="T678" i="4"/>
  <c r="U678" i="4" s="1"/>
  <c r="Q1102" i="4"/>
  <c r="Q456" i="4"/>
  <c r="Q582" i="4"/>
  <c r="Q1452" i="4"/>
  <c r="Q1058" i="4"/>
  <c r="T400" i="4"/>
  <c r="U400" i="4" s="1"/>
  <c r="Q1041" i="4"/>
  <c r="Q1046" i="4"/>
  <c r="Q1053" i="4"/>
  <c r="Q563" i="4"/>
  <c r="Q1142" i="4"/>
  <c r="Q1191" i="4"/>
  <c r="T1346" i="4"/>
  <c r="U1346" i="4" s="1"/>
  <c r="Q420" i="4"/>
  <c r="Q858" i="4"/>
  <c r="Q870" i="4"/>
  <c r="Q1085" i="4"/>
  <c r="Q1260" i="4"/>
  <c r="Q515" i="4"/>
  <c r="Q1263" i="4"/>
  <c r="Q1088" i="4"/>
  <c r="Q1300" i="4"/>
  <c r="Q271" i="4"/>
  <c r="Q371" i="4"/>
  <c r="Q376" i="4"/>
  <c r="Q400" i="4"/>
  <c r="Q599" i="4"/>
  <c r="T617" i="4"/>
  <c r="U617" i="4" s="1"/>
  <c r="Q1081" i="4"/>
  <c r="T497" i="4"/>
  <c r="U497" i="4" s="1"/>
  <c r="T628" i="4"/>
  <c r="U628" i="4" s="1"/>
  <c r="Q389" i="4"/>
  <c r="Q1337" i="4"/>
  <c r="Q1349" i="4"/>
  <c r="T1096" i="4"/>
  <c r="U1096" i="4" s="1"/>
  <c r="T1215" i="4"/>
  <c r="U1215" i="4" s="1"/>
  <c r="Q638" i="4"/>
  <c r="Q674" i="4"/>
  <c r="Q926" i="4"/>
  <c r="Q936" i="4"/>
  <c r="T961" i="4"/>
  <c r="U961" i="4" s="1"/>
  <c r="Q1150" i="4"/>
  <c r="Q793" i="4"/>
  <c r="Q1220" i="4"/>
  <c r="Q437" i="4"/>
  <c r="Q934" i="4"/>
  <c r="T1102" i="4"/>
  <c r="U1102" i="4" s="1"/>
  <c r="Q1273" i="4"/>
  <c r="Q1278" i="4"/>
  <c r="T1349" i="4"/>
  <c r="U1349" i="4" s="1"/>
  <c r="Q671" i="4"/>
  <c r="T284" i="4"/>
  <c r="Q413" i="4"/>
  <c r="Q565" i="4"/>
  <c r="Q892" i="4"/>
  <c r="Q979" i="4"/>
  <c r="Q991" i="4"/>
  <c r="T1000" i="4"/>
  <c r="U1000" i="4" s="1"/>
  <c r="T1007" i="4"/>
  <c r="U1007" i="4" s="1"/>
  <c r="Q268" i="4"/>
  <c r="Q497" i="4"/>
  <c r="Q618" i="4"/>
  <c r="T837" i="4"/>
  <c r="U837" i="4" s="1"/>
  <c r="Q900" i="4"/>
  <c r="T1070" i="4"/>
  <c r="U1070" i="4" s="1"/>
  <c r="Q1096" i="4"/>
  <c r="Q1293" i="4"/>
  <c r="Q1416" i="4"/>
  <c r="T935" i="4"/>
  <c r="U935" i="4" s="1"/>
  <c r="Q383" i="4"/>
  <c r="Q561" i="4"/>
  <c r="Q598" i="4"/>
  <c r="Q1082" i="4"/>
  <c r="Q1129" i="4"/>
  <c r="Q1231" i="4"/>
  <c r="Q1288" i="4"/>
  <c r="Q1343" i="4"/>
  <c r="T551" i="4"/>
  <c r="U551" i="4" s="1"/>
  <c r="Q693" i="4"/>
  <c r="Q716" i="4"/>
  <c r="Q731" i="4"/>
  <c r="T807" i="4"/>
  <c r="U807" i="4" s="1"/>
  <c r="Q955" i="4"/>
  <c r="Q1178" i="4"/>
  <c r="Q1255" i="4"/>
  <c r="Q838" i="4"/>
  <c r="Q428" i="4"/>
  <c r="T503" i="4"/>
  <c r="U503" i="4" s="1"/>
  <c r="Q632" i="4"/>
  <c r="Q639" i="4"/>
  <c r="Q775" i="4"/>
  <c r="Q829" i="4"/>
  <c r="T843" i="4"/>
  <c r="U843" i="4" s="1"/>
  <c r="Q867" i="4"/>
  <c r="Q960" i="4"/>
  <c r="Q1354" i="4"/>
  <c r="T362" i="4"/>
  <c r="U362" i="4" s="1"/>
  <c r="Q513" i="4"/>
  <c r="Q614" i="4"/>
  <c r="Q705" i="4"/>
  <c r="T1113" i="4"/>
  <c r="U1113" i="4" s="1"/>
  <c r="T1197" i="4"/>
  <c r="U1197" i="4" s="1"/>
  <c r="Q1202" i="4"/>
  <c r="Q1331" i="4"/>
  <c r="T298" i="4"/>
  <c r="Q395" i="4"/>
  <c r="T515" i="4"/>
  <c r="U515" i="4" s="1"/>
  <c r="Q663" i="4"/>
  <c r="Q860" i="4"/>
  <c r="T1077" i="4"/>
  <c r="U1077" i="4" s="1"/>
  <c r="Q1086" i="4"/>
  <c r="Q1207" i="4"/>
  <c r="Q583" i="4"/>
  <c r="Q843" i="4"/>
  <c r="T491" i="4"/>
  <c r="U491" i="4" s="1"/>
  <c r="T291" i="4"/>
  <c r="U291" i="4" s="1"/>
  <c r="T296" i="4"/>
  <c r="Q478" i="4"/>
  <c r="Q656" i="4"/>
  <c r="T714" i="4"/>
  <c r="U714" i="4" s="1"/>
  <c r="Q832" i="4"/>
  <c r="Q1073" i="4"/>
  <c r="T1202" i="4"/>
  <c r="U1202" i="4" s="1"/>
  <c r="Q1212" i="4"/>
  <c r="T1290" i="4"/>
  <c r="U1290" i="4" s="1"/>
  <c r="T1331" i="4"/>
  <c r="U1331" i="4" s="1"/>
  <c r="Q805" i="4"/>
  <c r="Q252" i="4"/>
  <c r="T255" i="4"/>
  <c r="Q290" i="4"/>
  <c r="Q354" i="4"/>
  <c r="Q468" i="4"/>
  <c r="T485" i="4"/>
  <c r="U485" i="4" s="1"/>
  <c r="Q633" i="4"/>
  <c r="Q687" i="4"/>
  <c r="Q961" i="4"/>
  <c r="Q1162" i="4"/>
  <c r="Q288" i="4"/>
  <c r="Q382" i="4"/>
  <c r="T395" i="4"/>
  <c r="U395" i="4" s="1"/>
  <c r="Q466" i="4"/>
  <c r="Q543" i="4"/>
  <c r="Q615" i="4"/>
  <c r="Q1035" i="4"/>
  <c r="Q1196" i="4"/>
  <c r="Q1210" i="4"/>
  <c r="Q1394" i="4"/>
  <c r="T1418" i="4"/>
  <c r="U1418" i="4" s="1"/>
  <c r="T249" i="4"/>
  <c r="Q662" i="4"/>
  <c r="Q249" i="4"/>
  <c r="Q284" i="4"/>
  <c r="T290" i="4"/>
  <c r="U290" i="4" s="1"/>
  <c r="Q297" i="4"/>
  <c r="Q410" i="4"/>
  <c r="Q449" i="4"/>
  <c r="Q622" i="4"/>
  <c r="T813" i="4"/>
  <c r="U813" i="4" s="1"/>
  <c r="T889" i="4"/>
  <c r="T1018" i="4"/>
  <c r="U1018" i="4" s="1"/>
  <c r="Q1057" i="4"/>
  <c r="T1406" i="4"/>
  <c r="U1406" i="4" s="1"/>
  <c r="T800" i="4"/>
  <c r="U800" i="4" s="1"/>
  <c r="T288" i="4"/>
  <c r="U288" i="4" s="1"/>
  <c r="Q398" i="4"/>
  <c r="Q415" i="4"/>
  <c r="Q422" i="4"/>
  <c r="Q444" i="4"/>
  <c r="T461" i="4"/>
  <c r="U461" i="4" s="1"/>
  <c r="T509" i="4"/>
  <c r="U509" i="4" s="1"/>
  <c r="Q570" i="4"/>
  <c r="Q720" i="4"/>
  <c r="Q802" i="4"/>
  <c r="Q840" i="4"/>
  <c r="Q1069" i="4"/>
  <c r="Q1103" i="4"/>
  <c r="Q1153" i="4"/>
  <c r="Q1213" i="4"/>
  <c r="Q1257" i="4"/>
  <c r="Q1306" i="4"/>
  <c r="Q1346" i="4"/>
  <c r="T1394" i="4"/>
  <c r="U1394" i="4" s="1"/>
  <c r="Q857" i="4"/>
  <c r="Q902" i="4"/>
  <c r="Q1007" i="4"/>
  <c r="Q1060" i="4"/>
  <c r="Q1065" i="4"/>
  <c r="T1082" i="4"/>
  <c r="U1082" i="4" s="1"/>
  <c r="Q1201" i="4"/>
  <c r="Q1365" i="4"/>
  <c r="T533" i="4"/>
  <c r="U533" i="4" s="1"/>
  <c r="T758" i="4"/>
  <c r="U758" i="4" s="1"/>
  <c r="T1239" i="4"/>
  <c r="Q600" i="4"/>
  <c r="Q924" i="4"/>
  <c r="Q999" i="4"/>
  <c r="T1062" i="4"/>
  <c r="U1062" i="4" s="1"/>
  <c r="Q1095" i="4"/>
  <c r="Q1104" i="4"/>
  <c r="T1138" i="4"/>
  <c r="U1138" i="4" s="1"/>
  <c r="Q1165" i="4"/>
  <c r="Q1172" i="4"/>
  <c r="Q1184" i="4"/>
  <c r="Q1233" i="4"/>
  <c r="Q1235" i="4"/>
  <c r="Q1247" i="4"/>
  <c r="Q1249" i="4"/>
  <c r="Q1333" i="4"/>
  <c r="Q1342" i="4"/>
  <c r="Q1382" i="4"/>
  <c r="Q1478" i="4"/>
  <c r="Q529" i="4"/>
  <c r="T545" i="4"/>
  <c r="U545" i="4" s="1"/>
  <c r="T467" i="4"/>
  <c r="U467" i="4" s="1"/>
  <c r="T479" i="4"/>
  <c r="U479" i="4" s="1"/>
  <c r="Q525" i="4"/>
  <c r="Q719" i="4"/>
  <c r="Q799" i="4"/>
  <c r="Q851" i="4"/>
  <c r="Q922" i="4"/>
  <c r="Q941" i="4"/>
  <c r="Q1039" i="4"/>
  <c r="Q1134" i="4"/>
  <c r="T1259" i="4"/>
  <c r="U1259" i="4" s="1"/>
  <c r="Q1267" i="4"/>
  <c r="Q1272" i="4"/>
  <c r="Q1340" i="4"/>
  <c r="Q1466" i="4"/>
  <c r="Q248" i="4"/>
  <c r="Q304" i="4"/>
  <c r="T275" i="4"/>
  <c r="Q442" i="4"/>
  <c r="Q555" i="4"/>
  <c r="Q959" i="4"/>
  <c r="Q983" i="4"/>
  <c r="T1382" i="4"/>
  <c r="U1382" i="4" s="1"/>
  <c r="Q291" i="4"/>
  <c r="T297" i="4"/>
  <c r="U297" i="4" s="1"/>
  <c r="T304" i="4"/>
  <c r="Q316" i="4"/>
  <c r="T320" i="4"/>
  <c r="U320" i="4" s="1"/>
  <c r="Q386" i="4"/>
  <c r="T406" i="4"/>
  <c r="U406" i="4" s="1"/>
  <c r="T427" i="4"/>
  <c r="U427" i="4" s="1"/>
  <c r="Q430" i="4"/>
  <c r="Q491" i="4"/>
  <c r="Q493" i="4"/>
  <c r="Q509" i="4"/>
  <c r="Q511" i="4"/>
  <c r="T527" i="4"/>
  <c r="U527" i="4" s="1"/>
  <c r="T569" i="4"/>
  <c r="U569" i="4" s="1"/>
  <c r="Q609" i="4"/>
  <c r="Q692" i="4"/>
  <c r="Q699" i="4"/>
  <c r="T703" i="4"/>
  <c r="U703" i="4" s="1"/>
  <c r="T752" i="4"/>
  <c r="U752" i="4" s="1"/>
  <c r="Q757" i="4"/>
  <c r="Q770" i="4"/>
  <c r="T801" i="4"/>
  <c r="U801" i="4" s="1"/>
  <c r="Q863" i="4"/>
  <c r="T912" i="4"/>
  <c r="U912" i="4" s="1"/>
  <c r="T922" i="4"/>
  <c r="U922" i="4" s="1"/>
  <c r="T990" i="4"/>
  <c r="U990" i="4" s="1"/>
  <c r="T1001" i="4"/>
  <c r="U1001" i="4" s="1"/>
  <c r="Q1006" i="4"/>
  <c r="Q1074" i="4"/>
  <c r="T1095" i="4"/>
  <c r="U1095" i="4" s="1"/>
  <c r="Q1116" i="4"/>
  <c r="Q1139" i="4"/>
  <c r="Q1151" i="4"/>
  <c r="Q1156" i="4"/>
  <c r="Q1194" i="4"/>
  <c r="Q1215" i="4"/>
  <c r="Q1222" i="4"/>
  <c r="T1233" i="4"/>
  <c r="U1233" i="4" s="1"/>
  <c r="Q1238" i="4"/>
  <c r="Q1245" i="4"/>
  <c r="T1247" i="4"/>
  <c r="U1247" i="4" s="1"/>
  <c r="Q1252" i="4"/>
  <c r="Q1282" i="4"/>
  <c r="Q1327" i="4"/>
  <c r="Q1454" i="4"/>
  <c r="T1466" i="4"/>
  <c r="U1466" i="4" s="1"/>
  <c r="Q1476" i="4"/>
  <c r="T261" i="4"/>
  <c r="Q356" i="4"/>
  <c r="T383" i="4"/>
  <c r="U383" i="4" s="1"/>
  <c r="Q470" i="4"/>
  <c r="Q596" i="4"/>
  <c r="Q1080" i="4"/>
  <c r="T1363" i="4"/>
  <c r="U1363" i="4" s="1"/>
  <c r="Q267" i="4"/>
  <c r="Q278" i="4"/>
  <c r="Q287" i="4"/>
  <c r="T420" i="4"/>
  <c r="U420" i="4" s="1"/>
  <c r="T449" i="4"/>
  <c r="U449" i="4" s="1"/>
  <c r="T482" i="4"/>
  <c r="U482" i="4" s="1"/>
  <c r="Q489" i="4"/>
  <c r="Q507" i="4"/>
  <c r="Q594" i="4"/>
  <c r="Q626" i="4"/>
  <c r="T639" i="4"/>
  <c r="U639" i="4" s="1"/>
  <c r="Q739" i="4"/>
  <c r="Q755" i="4"/>
  <c r="Q854" i="4"/>
  <c r="Q894" i="4"/>
  <c r="Q901" i="4"/>
  <c r="Q1089" i="4"/>
  <c r="Q1091" i="4"/>
  <c r="Q1118" i="4"/>
  <c r="Q1137" i="4"/>
  <c r="Q1481" i="4"/>
  <c r="Q406" i="4"/>
  <c r="T329" i="4"/>
  <c r="U329" i="4" s="1"/>
  <c r="T371" i="4"/>
  <c r="U371" i="4" s="1"/>
  <c r="Q381" i="4"/>
  <c r="Q399" i="4"/>
  <c r="Q454" i="4"/>
  <c r="Q579" i="4"/>
  <c r="Q285" i="4"/>
  <c r="Q435" i="4"/>
  <c r="T463" i="4"/>
  <c r="U463" i="4" s="1"/>
  <c r="T475" i="4"/>
  <c r="U475" i="4" s="1"/>
  <c r="Q537" i="4"/>
  <c r="Q551" i="4"/>
  <c r="T589" i="4"/>
  <c r="U589" i="4" s="1"/>
  <c r="Q635" i="4"/>
  <c r="Q737" i="4"/>
  <c r="Q823" i="4"/>
  <c r="Q962" i="4"/>
  <c r="Q993" i="4"/>
  <c r="Q1056" i="4"/>
  <c r="T1065" i="4"/>
  <c r="U1065" i="4" s="1"/>
  <c r="T1074" i="4"/>
  <c r="U1074" i="4" s="1"/>
  <c r="Q1112" i="4"/>
  <c r="T1132" i="4"/>
  <c r="U1132" i="4" s="1"/>
  <c r="Q1161" i="4"/>
  <c r="Q1321" i="4"/>
  <c r="T1327" i="4"/>
  <c r="U1327" i="4" s="1"/>
  <c r="Q1395" i="4"/>
  <c r="Q1285" i="4"/>
  <c r="Q1332" i="4"/>
  <c r="Q1350" i="4"/>
  <c r="Q1383" i="4"/>
  <c r="Q1393" i="4"/>
  <c r="Q1405" i="4"/>
  <c r="T1412" i="4"/>
  <c r="U1412" i="4" s="1"/>
  <c r="Q1479" i="4"/>
  <c r="T267" i="4"/>
  <c r="Q345" i="4"/>
  <c r="Q419" i="4"/>
  <c r="Q445" i="4"/>
  <c r="Q471" i="4"/>
  <c r="Q485" i="4"/>
  <c r="Q503" i="4"/>
  <c r="Q607" i="4"/>
  <c r="T690" i="4"/>
  <c r="U690" i="4" s="1"/>
  <c r="Q718" i="4"/>
  <c r="T737" i="4"/>
  <c r="U737" i="4" s="1"/>
  <c r="Q751" i="4"/>
  <c r="Q766" i="4"/>
  <c r="T788" i="4"/>
  <c r="U788" i="4" s="1"/>
  <c r="T894" i="4"/>
  <c r="U894" i="4" s="1"/>
  <c r="T1030" i="4"/>
  <c r="U1030" i="4" s="1"/>
  <c r="Q1040" i="4"/>
  <c r="T1089" i="4"/>
  <c r="U1089" i="4" s="1"/>
  <c r="Q1128" i="4"/>
  <c r="Q1197" i="4"/>
  <c r="T1227" i="4"/>
  <c r="U1227" i="4" s="1"/>
  <c r="Q1317" i="4"/>
  <c r="Q1341" i="4"/>
  <c r="T1442" i="4"/>
  <c r="U1442" i="4" s="1"/>
  <c r="Q458" i="4"/>
  <c r="T285" i="4"/>
  <c r="U285" i="4" s="1"/>
  <c r="Q340" i="4"/>
  <c r="Q355" i="4"/>
  <c r="Q357" i="4"/>
  <c r="Q375" i="4"/>
  <c r="Q426" i="4"/>
  <c r="Q431" i="4"/>
  <c r="Q443" i="4"/>
  <c r="Q450" i="4"/>
  <c r="Q455" i="4"/>
  <c r="Q483" i="4"/>
  <c r="Q501" i="4"/>
  <c r="Q519" i="4"/>
  <c r="Q533" i="4"/>
  <c r="Q740" i="4"/>
  <c r="Q764" i="4"/>
  <c r="Q814" i="4"/>
  <c r="Q850" i="4"/>
  <c r="Q864" i="4"/>
  <c r="Q897" i="4"/>
  <c r="Q972" i="4"/>
  <c r="T1059" i="4"/>
  <c r="U1059" i="4" s="1"/>
  <c r="Q1133" i="4"/>
  <c r="Q1147" i="4"/>
  <c r="Q1176" i="4"/>
  <c r="Q1188" i="4"/>
  <c r="Q1253" i="4"/>
  <c r="Q1271" i="4"/>
  <c r="Q1307" i="4"/>
  <c r="Q1381" i="4"/>
  <c r="T1417" i="4"/>
  <c r="U1417" i="4" s="1"/>
  <c r="Q1430" i="4"/>
  <c r="Q1467" i="4"/>
  <c r="Q315" i="4"/>
  <c r="Q380" i="4"/>
  <c r="Q417" i="4"/>
  <c r="T457" i="4"/>
  <c r="U457" i="4" s="1"/>
  <c r="Q545" i="4"/>
  <c r="Q547" i="4"/>
  <c r="T563" i="4"/>
  <c r="U563" i="4" s="1"/>
  <c r="Q613" i="4"/>
  <c r="T679" i="4"/>
  <c r="U679" i="4" s="1"/>
  <c r="T733" i="4"/>
  <c r="U733" i="4" s="1"/>
  <c r="T777" i="4"/>
  <c r="U777" i="4" s="1"/>
  <c r="Q965" i="4"/>
  <c r="T1054" i="4"/>
  <c r="U1054" i="4" s="1"/>
  <c r="T1083" i="4"/>
  <c r="U1083" i="4" s="1"/>
  <c r="Q1138" i="4"/>
  <c r="Q1157" i="4"/>
  <c r="Q1181" i="4"/>
  <c r="Q1221" i="4"/>
  <c r="Q1241" i="4"/>
  <c r="Q1251" i="4"/>
  <c r="Q1281" i="4"/>
  <c r="Q1322" i="4"/>
  <c r="T1332" i="4"/>
  <c r="U1332" i="4" s="1"/>
  <c r="Q1339" i="4"/>
  <c r="T1350" i="4"/>
  <c r="U1350" i="4" s="1"/>
  <c r="Q1455" i="4"/>
  <c r="Q1460" i="4"/>
  <c r="Q243" i="4"/>
  <c r="Q262" i="4"/>
  <c r="Q273" i="4"/>
  <c r="Q279" i="4"/>
  <c r="Q294" i="4"/>
  <c r="N294" i="4"/>
  <c r="T306" i="4"/>
  <c r="Q310" i="4"/>
  <c r="T312" i="4"/>
  <c r="U312" i="4" s="1"/>
  <c r="T252" i="4"/>
  <c r="N252" i="4"/>
  <c r="R252" i="4" s="1"/>
  <c r="Q254" i="4"/>
  <c r="T265" i="4"/>
  <c r="N265" i="4"/>
  <c r="R265" i="4" s="1"/>
  <c r="T331" i="4"/>
  <c r="N331" i="4"/>
  <c r="T342" i="4"/>
  <c r="N342" i="4"/>
  <c r="N347" i="4"/>
  <c r="T347" i="4"/>
  <c r="T350" i="4"/>
  <c r="N350" i="4"/>
  <c r="T373" i="4"/>
  <c r="N373" i="4"/>
  <c r="T246" i="4"/>
  <c r="N246" i="4"/>
  <c r="R246" i="4" s="1"/>
  <c r="N269" i="4"/>
  <c r="R269" i="4" s="1"/>
  <c r="Q296" i="4"/>
  <c r="T310" i="4"/>
  <c r="U310" i="4" s="1"/>
  <c r="N324" i="4"/>
  <c r="T326" i="4"/>
  <c r="N326" i="4"/>
  <c r="T332" i="4"/>
  <c r="N332" i="4"/>
  <c r="N365" i="4"/>
  <c r="T365" i="4"/>
  <c r="N374" i="4"/>
  <c r="T374" i="4"/>
  <c r="T243" i="4"/>
  <c r="N248" i="4"/>
  <c r="Q256" i="4"/>
  <c r="T269" i="4"/>
  <c r="T271" i="4"/>
  <c r="N271" i="4"/>
  <c r="R271" i="4" s="1"/>
  <c r="T273" i="4"/>
  <c r="T279" i="4"/>
  <c r="Q298" i="4"/>
  <c r="T301" i="4"/>
  <c r="N301" i="4"/>
  <c r="R301" i="4" s="1"/>
  <c r="N318" i="4"/>
  <c r="R318" i="4" s="1"/>
  <c r="T319" i="4"/>
  <c r="N319" i="4"/>
  <c r="R319" i="4" s="1"/>
  <c r="T327" i="4"/>
  <c r="U327" i="4" s="1"/>
  <c r="Q338" i="4"/>
  <c r="T346" i="4"/>
  <c r="N346" i="4"/>
  <c r="Q350" i="4"/>
  <c r="N354" i="4"/>
  <c r="T354" i="4"/>
  <c r="T270" i="4"/>
  <c r="N270" i="4"/>
  <c r="R270" i="4" s="1"/>
  <c r="N278" i="4"/>
  <c r="R278" i="4" s="1"/>
  <c r="Q303" i="4"/>
  <c r="T321" i="4"/>
  <c r="U321" i="4" s="1"/>
  <c r="T335" i="4"/>
  <c r="N335" i="4"/>
  <c r="Q341" i="4"/>
  <c r="Q361" i="4"/>
  <c r="N409" i="4"/>
  <c r="T409" i="4"/>
  <c r="Q259" i="4"/>
  <c r="Q261" i="4"/>
  <c r="Q276" i="4"/>
  <c r="N276" i="4"/>
  <c r="U276" i="4" s="1"/>
  <c r="Q282" i="4"/>
  <c r="Q307" i="4"/>
  <c r="Q309" i="4"/>
  <c r="T315" i="4"/>
  <c r="U315" i="4" s="1"/>
  <c r="Q326" i="4"/>
  <c r="Q332" i="4"/>
  <c r="T338" i="4"/>
  <c r="U338" i="4" s="1"/>
  <c r="T351" i="4"/>
  <c r="N351" i="4"/>
  <c r="Q348" i="4"/>
  <c r="T361" i="4"/>
  <c r="N361" i="4"/>
  <c r="N425" i="4"/>
  <c r="T425" i="4"/>
  <c r="Q425" i="4"/>
  <c r="Q246" i="4"/>
  <c r="T259" i="4"/>
  <c r="N259" i="4"/>
  <c r="R259" i="4" s="1"/>
  <c r="Q270" i="4"/>
  <c r="Q272" i="4"/>
  <c r="T303" i="4"/>
  <c r="T307" i="4"/>
  <c r="N307" i="4"/>
  <c r="R307" i="4" s="1"/>
  <c r="Q346" i="4"/>
  <c r="T369" i="4"/>
  <c r="N369" i="4"/>
  <c r="T397" i="4"/>
  <c r="N397" i="4"/>
  <c r="N260" i="4"/>
  <c r="Q266" i="4"/>
  <c r="Q274" i="4"/>
  <c r="T278" i="4"/>
  <c r="T308" i="4"/>
  <c r="N308" i="4"/>
  <c r="R308" i="4" s="1"/>
  <c r="T309" i="4"/>
  <c r="U309" i="4" s="1"/>
  <c r="Q320" i="4"/>
  <c r="Q322" i="4"/>
  <c r="T324" i="4"/>
  <c r="T348" i="4"/>
  <c r="U348" i="4" s="1"/>
  <c r="Q364" i="4"/>
  <c r="N366" i="4"/>
  <c r="T366" i="4"/>
  <c r="T424" i="4"/>
  <c r="N424" i="4"/>
  <c r="T272" i="4"/>
  <c r="U272" i="4" s="1"/>
  <c r="T318" i="4"/>
  <c r="Q335" i="4"/>
  <c r="Q337" i="4"/>
  <c r="Q344" i="4"/>
  <c r="N349" i="4"/>
  <c r="T349" i="4"/>
  <c r="T356" i="4"/>
  <c r="N356" i="4"/>
  <c r="Q306" i="4"/>
  <c r="Q312" i="4"/>
  <c r="T323" i="4"/>
  <c r="N323" i="4"/>
  <c r="Q369" i="4"/>
  <c r="T254" i="4"/>
  <c r="N254" i="4"/>
  <c r="R254" i="4" s="1"/>
  <c r="Q264" i="4"/>
  <c r="N287" i="4"/>
  <c r="Q331" i="4"/>
  <c r="T337" i="4"/>
  <c r="N337" i="4"/>
  <c r="Q342" i="4"/>
  <c r="Q347" i="4"/>
  <c r="Q373" i="4"/>
  <c r="Q393" i="4"/>
  <c r="T412" i="4"/>
  <c r="U412" i="4" s="1"/>
  <c r="N434" i="4"/>
  <c r="U434" i="4" s="1"/>
  <c r="T451" i="4"/>
  <c r="U451" i="4" s="1"/>
  <c r="T454" i="4"/>
  <c r="N454" i="4"/>
  <c r="N458" i="4"/>
  <c r="U458" i="4" s="1"/>
  <c r="Q473" i="4"/>
  <c r="Q475" i="4"/>
  <c r="T478" i="4"/>
  <c r="N478" i="4"/>
  <c r="T496" i="4"/>
  <c r="N496" i="4"/>
  <c r="T514" i="4"/>
  <c r="N514" i="4"/>
  <c r="T532" i="4"/>
  <c r="N532" i="4"/>
  <c r="T550" i="4"/>
  <c r="N550" i="4"/>
  <c r="T568" i="4"/>
  <c r="N568" i="4"/>
  <c r="T586" i="4"/>
  <c r="N586" i="4"/>
  <c r="T597" i="4"/>
  <c r="N597" i="4"/>
  <c r="Q621" i="4"/>
  <c r="Q634" i="4"/>
  <c r="Q645" i="4"/>
  <c r="Q664" i="4"/>
  <c r="Q669" i="4"/>
  <c r="T683" i="4"/>
  <c r="U683" i="4" s="1"/>
  <c r="T721" i="4"/>
  <c r="N721" i="4"/>
  <c r="T744" i="4"/>
  <c r="N744" i="4"/>
  <c r="Q752" i="4"/>
  <c r="T760" i="4"/>
  <c r="U760" i="4" s="1"/>
  <c r="T767" i="4"/>
  <c r="N767" i="4"/>
  <c r="T850" i="4"/>
  <c r="N850" i="4"/>
  <c r="T857" i="4"/>
  <c r="N857" i="4"/>
  <c r="N907" i="4"/>
  <c r="U907" i="4" s="1"/>
  <c r="T967" i="4"/>
  <c r="U967" i="4" s="1"/>
  <c r="T972" i="4"/>
  <c r="N972" i="4"/>
  <c r="T1081" i="4"/>
  <c r="N1081" i="4"/>
  <c r="N1086" i="4"/>
  <c r="U1086" i="4" s="1"/>
  <c r="T1087" i="4"/>
  <c r="U1087" i="4" s="1"/>
  <c r="Q1099" i="4"/>
  <c r="T1111" i="4"/>
  <c r="U1111" i="4" s="1"/>
  <c r="Q1122" i="4"/>
  <c r="Q1135" i="4"/>
  <c r="T1140" i="4"/>
  <c r="N1140" i="4"/>
  <c r="Q1155" i="4"/>
  <c r="T1157" i="4"/>
  <c r="N1157" i="4"/>
  <c r="Q1169" i="4"/>
  <c r="T1180" i="4"/>
  <c r="Q1183" i="4"/>
  <c r="N1188" i="4"/>
  <c r="U1188" i="4" s="1"/>
  <c r="Q1218" i="4"/>
  <c r="T1231" i="4"/>
  <c r="N1231" i="4"/>
  <c r="Q1259" i="4"/>
  <c r="N1263" i="4"/>
  <c r="T1285" i="4"/>
  <c r="N1285" i="4"/>
  <c r="T1291" i="4"/>
  <c r="N1291" i="4"/>
  <c r="T1311" i="4"/>
  <c r="N1311" i="4"/>
  <c r="Q1316" i="4"/>
  <c r="Q1320" i="4"/>
  <c r="T1322" i="4"/>
  <c r="N1322" i="4"/>
  <c r="T1337" i="4"/>
  <c r="U1337" i="4" s="1"/>
  <c r="T1339" i="4"/>
  <c r="U1339" i="4" s="1"/>
  <c r="T1343" i="4"/>
  <c r="U1343" i="4" s="1"/>
  <c r="T1347" i="4"/>
  <c r="N1347" i="4"/>
  <c r="T1387" i="4"/>
  <c r="U1387" i="4" s="1"/>
  <c r="Q1434" i="4"/>
  <c r="Q1446" i="4"/>
  <c r="Q1451" i="4"/>
  <c r="Q363" i="4"/>
  <c r="N389" i="4"/>
  <c r="U389" i="4" s="1"/>
  <c r="Q397" i="4"/>
  <c r="T417" i="4"/>
  <c r="N417" i="4"/>
  <c r="Q423" i="4"/>
  <c r="T430" i="4"/>
  <c r="N430" i="4"/>
  <c r="Q438" i="4"/>
  <c r="T625" i="4"/>
  <c r="N625" i="4"/>
  <c r="N629" i="4"/>
  <c r="U629" i="4" s="1"/>
  <c r="T632" i="4"/>
  <c r="N632" i="4"/>
  <c r="T640" i="4"/>
  <c r="N640" i="4"/>
  <c r="T662" i="4"/>
  <c r="N662" i="4"/>
  <c r="T672" i="4"/>
  <c r="N672" i="4"/>
  <c r="T674" i="4"/>
  <c r="N674" i="4"/>
  <c r="T693" i="4"/>
  <c r="N693" i="4"/>
  <c r="Q701" i="4"/>
  <c r="Q703" i="4"/>
  <c r="N707" i="4"/>
  <c r="T710" i="4"/>
  <c r="N710" i="4"/>
  <c r="Q728" i="4"/>
  <c r="Q735" i="4"/>
  <c r="T755" i="4"/>
  <c r="N755" i="4"/>
  <c r="T764" i="4"/>
  <c r="U764" i="4" s="1"/>
  <c r="T797" i="4"/>
  <c r="N797" i="4"/>
  <c r="T798" i="4"/>
  <c r="N798" i="4"/>
  <c r="Q812" i="4"/>
  <c r="T816" i="4"/>
  <c r="N816" i="4"/>
  <c r="T825" i="4"/>
  <c r="U825" i="4" s="1"/>
  <c r="Q828" i="4"/>
  <c r="Q859" i="4"/>
  <c r="Q868" i="4"/>
  <c r="T882" i="4"/>
  <c r="U882" i="4" s="1"/>
  <c r="T985" i="4"/>
  <c r="U985" i="4" s="1"/>
  <c r="Q1003" i="4"/>
  <c r="Q1028" i="4"/>
  <c r="T1033" i="4"/>
  <c r="N1033" i="4"/>
  <c r="N1058" i="4"/>
  <c r="N1116" i="4"/>
  <c r="U1116" i="4" s="1"/>
  <c r="Q1146" i="4"/>
  <c r="Q1192" i="4"/>
  <c r="Q1203" i="4"/>
  <c r="T1207" i="4"/>
  <c r="N1207" i="4"/>
  <c r="Q1214" i="4"/>
  <c r="T1230" i="4"/>
  <c r="N1230" i="4"/>
  <c r="Q1240" i="4"/>
  <c r="Q1261" i="4"/>
  <c r="T1263" i="4"/>
  <c r="Q1287" i="4"/>
  <c r="Q1289" i="4"/>
  <c r="Q1295" i="4"/>
  <c r="T1304" i="4"/>
  <c r="N1304" i="4"/>
  <c r="Q1309" i="4"/>
  <c r="N1324" i="4"/>
  <c r="T1326" i="4"/>
  <c r="N1326" i="4"/>
  <c r="N1340" i="4"/>
  <c r="T1345" i="4"/>
  <c r="U1345" i="4" s="1"/>
  <c r="Q1352" i="4"/>
  <c r="Q1361" i="4"/>
  <c r="T1377" i="4"/>
  <c r="N1377" i="4"/>
  <c r="T1379" i="4"/>
  <c r="N1379" i="4"/>
  <c r="T1388" i="4"/>
  <c r="N1388" i="4"/>
  <c r="Q1390" i="4"/>
  <c r="Q1392" i="4"/>
  <c r="Q1408" i="4"/>
  <c r="Q1422" i="4"/>
  <c r="Q404" i="4"/>
  <c r="T411" i="4"/>
  <c r="N411" i="4"/>
  <c r="T448" i="4"/>
  <c r="N448" i="4"/>
  <c r="T452" i="4"/>
  <c r="N452" i="4"/>
  <c r="T583" i="4"/>
  <c r="U583" i="4" s="1"/>
  <c r="Q604" i="4"/>
  <c r="Q612" i="4"/>
  <c r="Q617" i="4"/>
  <c r="T621" i="4"/>
  <c r="U621" i="4" s="1"/>
  <c r="T624" i="4"/>
  <c r="N624" i="4"/>
  <c r="N626" i="4"/>
  <c r="U626" i="4" s="1"/>
  <c r="T634" i="4"/>
  <c r="N634" i="4"/>
  <c r="N648" i="4"/>
  <c r="N654" i="4"/>
  <c r="T656" i="4"/>
  <c r="N656" i="4"/>
  <c r="Q660" i="4"/>
  <c r="N660" i="4"/>
  <c r="U660" i="4" s="1"/>
  <c r="T664" i="4"/>
  <c r="N664" i="4"/>
  <c r="T680" i="4"/>
  <c r="N680" i="4"/>
  <c r="T707" i="4"/>
  <c r="N719" i="4"/>
  <c r="U719" i="4" s="1"/>
  <c r="T726" i="4"/>
  <c r="N726" i="4"/>
  <c r="T731" i="4"/>
  <c r="N731" i="4"/>
  <c r="Q733" i="4"/>
  <c r="T783" i="4"/>
  <c r="U783" i="4" s="1"/>
  <c r="T876" i="4"/>
  <c r="U876" i="4" s="1"/>
  <c r="N879" i="4"/>
  <c r="T891" i="4"/>
  <c r="N891" i="4"/>
  <c r="N901" i="4"/>
  <c r="U901" i="4" s="1"/>
  <c r="T915" i="4"/>
  <c r="N915" i="4"/>
  <c r="T936" i="4"/>
  <c r="N936" i="4"/>
  <c r="T957" i="4"/>
  <c r="N957" i="4"/>
  <c r="N977" i="4"/>
  <c r="T1058" i="4"/>
  <c r="T1080" i="4"/>
  <c r="N1080" i="4"/>
  <c r="T1104" i="4"/>
  <c r="N1104" i="4"/>
  <c r="Q1110" i="4"/>
  <c r="N1122" i="4"/>
  <c r="U1122" i="4" s="1"/>
  <c r="Q1124" i="4"/>
  <c r="T1128" i="4"/>
  <c r="U1128" i="4" s="1"/>
  <c r="T1135" i="4"/>
  <c r="N1135" i="4"/>
  <c r="T1163" i="4"/>
  <c r="N1163" i="4"/>
  <c r="T1169" i="4"/>
  <c r="N1169" i="4"/>
  <c r="T1183" i="4"/>
  <c r="N1183" i="4"/>
  <c r="T1206" i="4"/>
  <c r="N1206" i="4"/>
  <c r="T1243" i="4"/>
  <c r="N1243" i="4"/>
  <c r="T1316" i="4"/>
  <c r="N1316" i="4"/>
  <c r="T1321" i="4"/>
  <c r="N1321" i="4"/>
  <c r="T1324" i="4"/>
  <c r="Q1359" i="4"/>
  <c r="T1365" i="4"/>
  <c r="N1365" i="4"/>
  <c r="Q1399" i="4"/>
  <c r="Q1406" i="4"/>
  <c r="T1481" i="4"/>
  <c r="N1481" i="4"/>
  <c r="Q467" i="4"/>
  <c r="Q469" i="4"/>
  <c r="T473" i="4"/>
  <c r="U473" i="4" s="1"/>
  <c r="T476" i="4"/>
  <c r="N476" i="4"/>
  <c r="T581" i="4"/>
  <c r="U581" i="4" s="1"/>
  <c r="Q588" i="4"/>
  <c r="T602" i="4"/>
  <c r="N602" i="4"/>
  <c r="T630" i="4"/>
  <c r="N630" i="4"/>
  <c r="T687" i="4"/>
  <c r="N687" i="4"/>
  <c r="N701" i="4"/>
  <c r="T717" i="4"/>
  <c r="N717" i="4"/>
  <c r="T736" i="4"/>
  <c r="N736" i="4"/>
  <c r="T751" i="4"/>
  <c r="N751" i="4"/>
  <c r="T828" i="4"/>
  <c r="N828" i="4"/>
  <c r="Q866" i="4"/>
  <c r="T870" i="4"/>
  <c r="U870" i="4" s="1"/>
  <c r="T875" i="4"/>
  <c r="N875" i="4"/>
  <c r="Q887" i="4"/>
  <c r="Q895" i="4"/>
  <c r="Q906" i="4"/>
  <c r="T925" i="4"/>
  <c r="N925" i="4"/>
  <c r="T966" i="4"/>
  <c r="N966" i="4"/>
  <c r="T1015" i="4"/>
  <c r="N1015" i="4"/>
  <c r="T1045" i="4"/>
  <c r="N1045" i="4"/>
  <c r="N1092" i="4"/>
  <c r="T1146" i="4"/>
  <c r="N1146" i="4"/>
  <c r="T1203" i="4"/>
  <c r="N1203" i="4"/>
  <c r="T1225" i="4"/>
  <c r="N1225" i="4"/>
  <c r="Q1232" i="4"/>
  <c r="T1279" i="4"/>
  <c r="N1279" i="4"/>
  <c r="T1287" i="4"/>
  <c r="N1287" i="4"/>
  <c r="N1375" i="4"/>
  <c r="T1457" i="4"/>
  <c r="N1457" i="4"/>
  <c r="Q1488" i="4"/>
  <c r="T404" i="4"/>
  <c r="U404" i="4" s="1"/>
  <c r="T428" i="4"/>
  <c r="N428" i="4"/>
  <c r="T490" i="4"/>
  <c r="N490" i="4"/>
  <c r="T508" i="4"/>
  <c r="N508" i="4"/>
  <c r="T526" i="4"/>
  <c r="N526" i="4"/>
  <c r="T544" i="4"/>
  <c r="N544" i="4"/>
  <c r="T562" i="4"/>
  <c r="N562" i="4"/>
  <c r="T580" i="4"/>
  <c r="N580" i="4"/>
  <c r="T604" i="4"/>
  <c r="U604" i="4" s="1"/>
  <c r="T612" i="4"/>
  <c r="N612" i="4"/>
  <c r="Q628" i="4"/>
  <c r="Q641" i="4"/>
  <c r="Q682" i="4"/>
  <c r="T701" i="4"/>
  <c r="T704" i="4"/>
  <c r="N704" i="4"/>
  <c r="T722" i="4"/>
  <c r="N722" i="4"/>
  <c r="T771" i="4"/>
  <c r="U771" i="4" s="1"/>
  <c r="Q780" i="4"/>
  <c r="Q788" i="4"/>
  <c r="Q826" i="4"/>
  <c r="Q849" i="4"/>
  <c r="T859" i="4"/>
  <c r="U859" i="4" s="1"/>
  <c r="Q879" i="4"/>
  <c r="Q885" i="4"/>
  <c r="T897" i="4"/>
  <c r="U897" i="4" s="1"/>
  <c r="T984" i="4"/>
  <c r="N984" i="4"/>
  <c r="T1006" i="4"/>
  <c r="N1006" i="4"/>
  <c r="Q1033" i="4"/>
  <c r="Q1042" i="4"/>
  <c r="Q1076" i="4"/>
  <c r="T1110" i="4"/>
  <c r="U1110" i="4" s="1"/>
  <c r="N1165" i="4"/>
  <c r="U1165" i="4" s="1"/>
  <c r="Q1208" i="4"/>
  <c r="T1212" i="4"/>
  <c r="U1212" i="4" s="1"/>
  <c r="T1217" i="4"/>
  <c r="N1217" i="4"/>
  <c r="T1245" i="4"/>
  <c r="N1245" i="4"/>
  <c r="T1255" i="4"/>
  <c r="N1255" i="4"/>
  <c r="T1267" i="4"/>
  <c r="N1267" i="4"/>
  <c r="Q1269" i="4"/>
  <c r="T1289" i="4"/>
  <c r="U1289" i="4" s="1"/>
  <c r="Q1291" i="4"/>
  <c r="T1293" i="4"/>
  <c r="N1293" i="4"/>
  <c r="Q1305" i="4"/>
  <c r="T1333" i="4"/>
  <c r="N1333" i="4"/>
  <c r="T1359" i="4"/>
  <c r="N1359" i="4"/>
  <c r="T1391" i="4"/>
  <c r="N1391" i="4"/>
  <c r="T1392" i="4"/>
  <c r="U1392" i="4" s="1"/>
  <c r="T1409" i="4"/>
  <c r="N1409" i="4"/>
  <c r="T1421" i="4"/>
  <c r="N1421" i="4"/>
  <c r="T1433" i="4"/>
  <c r="N1433" i="4"/>
  <c r="Q366" i="4"/>
  <c r="T381" i="4"/>
  <c r="N381" i="4"/>
  <c r="T405" i="4"/>
  <c r="N405" i="4"/>
  <c r="Q409" i="4"/>
  <c r="T442" i="4"/>
  <c r="N442" i="4"/>
  <c r="Q465" i="4"/>
  <c r="T469" i="4"/>
  <c r="U469" i="4" s="1"/>
  <c r="Q521" i="4"/>
  <c r="Q539" i="4"/>
  <c r="Q557" i="4"/>
  <c r="Q575" i="4"/>
  <c r="Q593" i="4"/>
  <c r="Q602" i="4"/>
  <c r="T620" i="4"/>
  <c r="N620" i="4"/>
  <c r="T633" i="4"/>
  <c r="N633" i="4"/>
  <c r="T644" i="4"/>
  <c r="N644" i="4"/>
  <c r="Q646" i="4"/>
  <c r="Q652" i="4"/>
  <c r="T663" i="4"/>
  <c r="N663" i="4"/>
  <c r="Q665" i="4"/>
  <c r="T676" i="4"/>
  <c r="N676" i="4"/>
  <c r="N695" i="4"/>
  <c r="Q706" i="4"/>
  <c r="T711" i="4"/>
  <c r="N711" i="4"/>
  <c r="N745" i="4"/>
  <c r="T749" i="4"/>
  <c r="N749" i="4"/>
  <c r="Q778" i="4"/>
  <c r="Q782" i="4"/>
  <c r="Q808" i="4"/>
  <c r="T810" i="4"/>
  <c r="N810" i="4"/>
  <c r="T840" i="4"/>
  <c r="N840" i="4"/>
  <c r="N867" i="4"/>
  <c r="T887" i="4"/>
  <c r="N887" i="4"/>
  <c r="N895" i="4"/>
  <c r="Q948" i="4"/>
  <c r="T951" i="4"/>
  <c r="N951" i="4"/>
  <c r="T960" i="4"/>
  <c r="N960" i="4"/>
  <c r="Q966" i="4"/>
  <c r="Q968" i="4"/>
  <c r="Q977" i="4"/>
  <c r="T979" i="4"/>
  <c r="U979" i="4" s="1"/>
  <c r="Q1008" i="4"/>
  <c r="T1012" i="4"/>
  <c r="U1012" i="4" s="1"/>
  <c r="Q1052" i="4"/>
  <c r="T1057" i="4"/>
  <c r="N1057" i="4"/>
  <c r="T1069" i="4"/>
  <c r="N1069" i="4"/>
  <c r="Q1078" i="4"/>
  <c r="N1088" i="4"/>
  <c r="T1109" i="4"/>
  <c r="N1109" i="4"/>
  <c r="N1112" i="4"/>
  <c r="T1125" i="4"/>
  <c r="N1125" i="4"/>
  <c r="Q1127" i="4"/>
  <c r="T1145" i="4"/>
  <c r="N1145" i="4"/>
  <c r="T1151" i="4"/>
  <c r="N1151" i="4"/>
  <c r="Q1177" i="4"/>
  <c r="T1181" i="4"/>
  <c r="N1181" i="4"/>
  <c r="Q1195" i="4"/>
  <c r="T1199" i="4"/>
  <c r="N1199" i="4"/>
  <c r="T1201" i="4"/>
  <c r="N1201" i="4"/>
  <c r="Q1206" i="4"/>
  <c r="N1221" i="4"/>
  <c r="Q1243" i="4"/>
  <c r="T1257" i="4"/>
  <c r="N1257" i="4"/>
  <c r="Q1262" i="4"/>
  <c r="T1272" i="4"/>
  <c r="N1272" i="4"/>
  <c r="Q1274" i="4"/>
  <c r="N1281" i="4"/>
  <c r="Q1312" i="4"/>
  <c r="Q1323" i="4"/>
  <c r="T1336" i="4"/>
  <c r="U1336" i="4" s="1"/>
  <c r="T1340" i="4"/>
  <c r="T1342" i="4"/>
  <c r="N1342" i="4"/>
  <c r="T1373" i="4"/>
  <c r="N1373" i="4"/>
  <c r="Q1377" i="4"/>
  <c r="Q1379" i="4"/>
  <c r="T1384" i="4"/>
  <c r="N1384" i="4"/>
  <c r="Q1386" i="4"/>
  <c r="T1389" i="4"/>
  <c r="N1389" i="4"/>
  <c r="Q1404" i="4"/>
  <c r="Q1411" i="4"/>
  <c r="Q1440" i="4"/>
  <c r="Q374" i="4"/>
  <c r="T376" i="4"/>
  <c r="U376" i="4" s="1"/>
  <c r="T379" i="4"/>
  <c r="N379" i="4"/>
  <c r="Q390" i="4"/>
  <c r="Q407" i="4"/>
  <c r="Q411" i="4"/>
  <c r="T415" i="4"/>
  <c r="U415" i="4" s="1"/>
  <c r="T418" i="4"/>
  <c r="N418" i="4"/>
  <c r="Q424" i="4"/>
  <c r="T432" i="4"/>
  <c r="U432" i="4" s="1"/>
  <c r="T443" i="4"/>
  <c r="U443" i="4" s="1"/>
  <c r="Q573" i="4"/>
  <c r="N608" i="4"/>
  <c r="N651" i="4"/>
  <c r="U651" i="4" s="1"/>
  <c r="T668" i="4"/>
  <c r="N668" i="4"/>
  <c r="T681" i="4"/>
  <c r="N681" i="4"/>
  <c r="T682" i="4"/>
  <c r="N682" i="4"/>
  <c r="T695" i="4"/>
  <c r="T742" i="4"/>
  <c r="N742" i="4"/>
  <c r="T762" i="4"/>
  <c r="N762" i="4"/>
  <c r="T780" i="4"/>
  <c r="N780" i="4"/>
  <c r="T786" i="4"/>
  <c r="N786" i="4"/>
  <c r="T819" i="4"/>
  <c r="U819" i="4" s="1"/>
  <c r="T849" i="4"/>
  <c r="U849" i="4" s="1"/>
  <c r="T864" i="4"/>
  <c r="U864" i="4" s="1"/>
  <c r="Q869" i="4"/>
  <c r="T879" i="4"/>
  <c r="Q883" i="4"/>
  <c r="T885" i="4"/>
  <c r="U885" i="4" s="1"/>
  <c r="T892" i="4"/>
  <c r="N892" i="4"/>
  <c r="T895" i="4"/>
  <c r="T906" i="4"/>
  <c r="U906" i="4" s="1"/>
  <c r="Q918" i="4"/>
  <c r="T934" i="4"/>
  <c r="U934" i="4" s="1"/>
  <c r="T937" i="4"/>
  <c r="N937" i="4"/>
  <c r="T943" i="4"/>
  <c r="U943" i="4" s="1"/>
  <c r="Q953" i="4"/>
  <c r="T955" i="4"/>
  <c r="U955" i="4" s="1"/>
  <c r="N971" i="4"/>
  <c r="U971" i="4" s="1"/>
  <c r="Q984" i="4"/>
  <c r="T1010" i="4"/>
  <c r="N1010" i="4"/>
  <c r="Q1022" i="4"/>
  <c r="T1027" i="4"/>
  <c r="N1027" i="4"/>
  <c r="Q1038" i="4"/>
  <c r="T1068" i="4"/>
  <c r="N1068" i="4"/>
  <c r="T1085" i="4"/>
  <c r="N1085" i="4"/>
  <c r="T1088" i="4"/>
  <c r="Q1092" i="4"/>
  <c r="Q1098" i="4"/>
  <c r="T1106" i="4"/>
  <c r="U1106" i="4" s="1"/>
  <c r="T1112" i="4"/>
  <c r="Q1136" i="4"/>
  <c r="N1156" i="4"/>
  <c r="U1156" i="4" s="1"/>
  <c r="T1182" i="4"/>
  <c r="N1182" i="4"/>
  <c r="T1200" i="4"/>
  <c r="N1200" i="4"/>
  <c r="T1211" i="4"/>
  <c r="N1211" i="4"/>
  <c r="Q1219" i="4"/>
  <c r="T1221" i="4"/>
  <c r="Q1228" i="4"/>
  <c r="T1234" i="4"/>
  <c r="U1234" i="4" s="1"/>
  <c r="T1253" i="4"/>
  <c r="N1253" i="4"/>
  <c r="T1269" i="4"/>
  <c r="N1269" i="4"/>
  <c r="Q1279" i="4"/>
  <c r="T1281" i="4"/>
  <c r="T1283" i="4"/>
  <c r="N1283" i="4"/>
  <c r="T1305" i="4"/>
  <c r="N1305" i="4"/>
  <c r="Q1325" i="4"/>
  <c r="T1344" i="4"/>
  <c r="U1344" i="4" s="1"/>
  <c r="Q1400" i="4"/>
  <c r="Q1428" i="4"/>
  <c r="Q1457" i="4"/>
  <c r="T1487" i="4"/>
  <c r="N1487" i="4"/>
  <c r="Q405" i="4"/>
  <c r="T413" i="4"/>
  <c r="N413" i="4"/>
  <c r="Q446" i="4"/>
  <c r="Q461" i="4"/>
  <c r="Q463" i="4"/>
  <c r="T466" i="4"/>
  <c r="N466" i="4"/>
  <c r="T470" i="4"/>
  <c r="N470" i="4"/>
  <c r="Q474" i="4"/>
  <c r="Q479" i="4"/>
  <c r="T627" i="4"/>
  <c r="N627" i="4"/>
  <c r="Q642" i="4"/>
  <c r="N642" i="4"/>
  <c r="T646" i="4"/>
  <c r="N646" i="4"/>
  <c r="T652" i="4"/>
  <c r="N652" i="4"/>
  <c r="T658" i="4"/>
  <c r="N658" i="4"/>
  <c r="T706" i="4"/>
  <c r="N706" i="4"/>
  <c r="T743" i="4"/>
  <c r="N743" i="4"/>
  <c r="T785" i="4"/>
  <c r="N785" i="4"/>
  <c r="Q873" i="4"/>
  <c r="N889" i="4"/>
  <c r="N913" i="4"/>
  <c r="Q973" i="4"/>
  <c r="T977" i="4"/>
  <c r="N1009" i="4"/>
  <c r="U1009" i="4" s="1"/>
  <c r="T1100" i="4"/>
  <c r="U1100" i="4" s="1"/>
  <c r="T1115" i="4"/>
  <c r="N1115" i="4"/>
  <c r="T1127" i="4"/>
  <c r="N1127" i="4"/>
  <c r="N1164" i="4"/>
  <c r="N1177" i="4"/>
  <c r="T1195" i="4"/>
  <c r="N1195" i="4"/>
  <c r="T1351" i="4"/>
  <c r="N1351" i="4"/>
  <c r="N1369" i="4"/>
  <c r="T1375" i="4"/>
  <c r="N1378" i="4"/>
  <c r="U1378" i="4" s="1"/>
  <c r="T1402" i="4"/>
  <c r="N1402" i="4"/>
  <c r="Q1409" i="4"/>
  <c r="Q1433" i="4"/>
  <c r="T1463" i="4"/>
  <c r="N1463" i="4"/>
  <c r="T1475" i="4"/>
  <c r="N1475" i="4"/>
  <c r="Q1484" i="4"/>
  <c r="Q362" i="4"/>
  <c r="N390" i="4"/>
  <c r="T393" i="4"/>
  <c r="N393" i="4"/>
  <c r="N407" i="4"/>
  <c r="T429" i="4"/>
  <c r="N429" i="4"/>
  <c r="T440" i="4"/>
  <c r="N440" i="4"/>
  <c r="T484" i="4"/>
  <c r="N484" i="4"/>
  <c r="T502" i="4"/>
  <c r="N502" i="4"/>
  <c r="T520" i="4"/>
  <c r="N520" i="4"/>
  <c r="T521" i="4"/>
  <c r="U521" i="4" s="1"/>
  <c r="T538" i="4"/>
  <c r="N538" i="4"/>
  <c r="T539" i="4"/>
  <c r="U539" i="4" s="1"/>
  <c r="T556" i="4"/>
  <c r="N556" i="4"/>
  <c r="T557" i="4"/>
  <c r="U557" i="4" s="1"/>
  <c r="T574" i="4"/>
  <c r="N574" i="4"/>
  <c r="T575" i="4"/>
  <c r="U575" i="4" s="1"/>
  <c r="Q587" i="4"/>
  <c r="T592" i="4"/>
  <c r="N592" i="4"/>
  <c r="T593" i="4"/>
  <c r="U593" i="4" s="1"/>
  <c r="T596" i="4"/>
  <c r="N596" i="4"/>
  <c r="Q608" i="4"/>
  <c r="Q620" i="4"/>
  <c r="T638" i="4"/>
  <c r="N638" i="4"/>
  <c r="Q644" i="4"/>
  <c r="T648" i="4"/>
  <c r="T654" i="4"/>
  <c r="T666" i="4"/>
  <c r="N666" i="4"/>
  <c r="T670" i="4"/>
  <c r="N670" i="4"/>
  <c r="Q675" i="4"/>
  <c r="N689" i="4"/>
  <c r="U689" i="4" s="1"/>
  <c r="T705" i="4"/>
  <c r="N705" i="4"/>
  <c r="Q713" i="4"/>
  <c r="Q722" i="4"/>
  <c r="Q727" i="4"/>
  <c r="T738" i="4"/>
  <c r="N738" i="4"/>
  <c r="Q745" i="4"/>
  <c r="Q749" i="4"/>
  <c r="T766" i="4"/>
  <c r="N766" i="4"/>
  <c r="T774" i="4"/>
  <c r="N774" i="4"/>
  <c r="T795" i="4"/>
  <c r="U795" i="4" s="1"/>
  <c r="Q804" i="4"/>
  <c r="T822" i="4"/>
  <c r="N822" i="4"/>
  <c r="T831" i="4"/>
  <c r="U831" i="4" s="1"/>
  <c r="Q834" i="4"/>
  <c r="T847" i="4"/>
  <c r="U847" i="4" s="1"/>
  <c r="Q852" i="4"/>
  <c r="T858" i="4"/>
  <c r="U858" i="4" s="1"/>
  <c r="T863" i="4"/>
  <c r="N863" i="4"/>
  <c r="T869" i="4"/>
  <c r="N869" i="4"/>
  <c r="Q871" i="4"/>
  <c r="Q888" i="4"/>
  <c r="T900" i="4"/>
  <c r="U900" i="4" s="1"/>
  <c r="T903" i="4"/>
  <c r="N903" i="4"/>
  <c r="T913" i="4"/>
  <c r="T927" i="4"/>
  <c r="U927" i="4" s="1"/>
  <c r="Q946" i="4"/>
  <c r="T954" i="4"/>
  <c r="N954" i="4"/>
  <c r="T978" i="4"/>
  <c r="N978" i="4"/>
  <c r="T1024" i="4"/>
  <c r="U1024" i="4" s="1"/>
  <c r="Q1027" i="4"/>
  <c r="T1039" i="4"/>
  <c r="N1039" i="4"/>
  <c r="Q1070" i="4"/>
  <c r="T1090" i="4"/>
  <c r="U1090" i="4" s="1"/>
  <c r="T1092" i="4"/>
  <c r="T1103" i="4"/>
  <c r="N1103" i="4"/>
  <c r="Q1123" i="4"/>
  <c r="Q1125" i="4"/>
  <c r="Q1141" i="4"/>
  <c r="Q1143" i="4"/>
  <c r="Q1152" i="4"/>
  <c r="N1168" i="4"/>
  <c r="Q1173" i="4"/>
  <c r="T1177" i="4"/>
  <c r="Q1182" i="4"/>
  <c r="Q1189" i="4"/>
  <c r="T1194" i="4"/>
  <c r="N1194" i="4"/>
  <c r="T1218" i="4"/>
  <c r="N1218" i="4"/>
  <c r="T1219" i="4"/>
  <c r="N1219" i="4"/>
  <c r="Q1237" i="4"/>
  <c r="N1239" i="4"/>
  <c r="Q1290" i="4"/>
  <c r="Q1294" i="4"/>
  <c r="Q1299" i="4"/>
  <c r="T1317" i="4"/>
  <c r="N1317" i="4"/>
  <c r="T1323" i="4"/>
  <c r="U1323" i="4" s="1"/>
  <c r="T1367" i="4"/>
  <c r="N1367" i="4"/>
  <c r="T1400" i="4"/>
  <c r="U1400" i="4" s="1"/>
  <c r="T1403" i="4"/>
  <c r="N1403" i="4"/>
  <c r="T1439" i="4"/>
  <c r="N1439" i="4"/>
  <c r="T1451" i="4"/>
  <c r="N1451" i="4"/>
  <c r="Q358" i="4"/>
  <c r="T375" i="4"/>
  <c r="N375" i="4"/>
  <c r="T390" i="4"/>
  <c r="T398" i="4"/>
  <c r="U398" i="4" s="1"/>
  <c r="T407" i="4"/>
  <c r="T410" i="4"/>
  <c r="N410" i="4"/>
  <c r="Q418" i="4"/>
  <c r="T437" i="4"/>
  <c r="N437" i="4"/>
  <c r="Q569" i="4"/>
  <c r="Q636" i="4"/>
  <c r="N636" i="4"/>
  <c r="U636" i="4" s="1"/>
  <c r="Q657" i="4"/>
  <c r="T692" i="4"/>
  <c r="N692" i="4"/>
  <c r="T699" i="4"/>
  <c r="N699" i="4"/>
  <c r="T700" i="4"/>
  <c r="N700" i="4"/>
  <c r="Q711" i="4"/>
  <c r="Q732" i="4"/>
  <c r="T739" i="4"/>
  <c r="N739" i="4"/>
  <c r="Q741" i="4"/>
  <c r="T754" i="4"/>
  <c r="N754" i="4"/>
  <c r="Q758" i="4"/>
  <c r="Q762" i="4"/>
  <c r="Q768" i="4"/>
  <c r="T773" i="4"/>
  <c r="N773" i="4"/>
  <c r="Q800" i="4"/>
  <c r="Q820" i="4"/>
  <c r="T867" i="4"/>
  <c r="T873" i="4"/>
  <c r="U873" i="4" s="1"/>
  <c r="T877" i="4"/>
  <c r="U877" i="4" s="1"/>
  <c r="T883" i="4"/>
  <c r="U883" i="4" s="1"/>
  <c r="T928" i="4"/>
  <c r="N928" i="4"/>
  <c r="Q930" i="4"/>
  <c r="Q949" i="4"/>
  <c r="N965" i="4"/>
  <c r="U965" i="4" s="1"/>
  <c r="Q971" i="4"/>
  <c r="T973" i="4"/>
  <c r="U973" i="4" s="1"/>
  <c r="Q989" i="4"/>
  <c r="Q998" i="4"/>
  <c r="T1004" i="4"/>
  <c r="N1004" i="4"/>
  <c r="Q1009" i="4"/>
  <c r="Q1034" i="4"/>
  <c r="Q1043" i="4"/>
  <c r="T1051" i="4"/>
  <c r="N1051" i="4"/>
  <c r="Q1062" i="4"/>
  <c r="Q1066" i="4"/>
  <c r="Q1068" i="4"/>
  <c r="Q1087" i="4"/>
  <c r="T1091" i="4"/>
  <c r="N1091" i="4"/>
  <c r="Q1105" i="4"/>
  <c r="Q1109" i="4"/>
  <c r="Q1111" i="4"/>
  <c r="Q1132" i="4"/>
  <c r="T1134" i="4"/>
  <c r="U1134" i="4" s="1"/>
  <c r="T1159" i="4"/>
  <c r="N1159" i="4"/>
  <c r="Q1164" i="4"/>
  <c r="T1168" i="4"/>
  <c r="Q1171" i="4"/>
  <c r="N1176" i="4"/>
  <c r="U1176" i="4" s="1"/>
  <c r="T1191" i="4"/>
  <c r="N1191" i="4"/>
  <c r="Q1200" i="4"/>
  <c r="T1205" i="4"/>
  <c r="N1205" i="4"/>
  <c r="T1213" i="4"/>
  <c r="N1213" i="4"/>
  <c r="T1249" i="4"/>
  <c r="N1249" i="4"/>
  <c r="T1273" i="4"/>
  <c r="N1273" i="4"/>
  <c r="Q1275" i="4"/>
  <c r="N1278" i="4"/>
  <c r="U1278" i="4" s="1"/>
  <c r="N1288" i="4"/>
  <c r="U1288" i="4" s="1"/>
  <c r="Q1292" i="4"/>
  <c r="T1329" i="4"/>
  <c r="U1329" i="4" s="1"/>
  <c r="T1334" i="4"/>
  <c r="N1334" i="4"/>
  <c r="T1335" i="4"/>
  <c r="N1335" i="4"/>
  <c r="Q1351" i="4"/>
  <c r="T1354" i="4"/>
  <c r="N1354" i="4"/>
  <c r="Q1356" i="4"/>
  <c r="Q1371" i="4"/>
  <c r="Q1389" i="4"/>
  <c r="Q1398" i="4"/>
  <c r="Q1407" i="4"/>
  <c r="T1414" i="4"/>
  <c r="N1414" i="4"/>
  <c r="T1427" i="4"/>
  <c r="N1427" i="4"/>
  <c r="Q1431" i="4"/>
  <c r="Q1436" i="4"/>
  <c r="Q1443" i="4"/>
  <c r="Q365" i="4"/>
  <c r="T387" i="4"/>
  <c r="N387" i="4"/>
  <c r="T399" i="4"/>
  <c r="N399" i="4"/>
  <c r="Q412" i="4"/>
  <c r="T422" i="4"/>
  <c r="U422" i="4" s="1"/>
  <c r="T436" i="4"/>
  <c r="N436" i="4"/>
  <c r="T460" i="4"/>
  <c r="N460" i="4"/>
  <c r="Q531" i="4"/>
  <c r="Q549" i="4"/>
  <c r="Q567" i="4"/>
  <c r="T608" i="4"/>
  <c r="Q627" i="4"/>
  <c r="Q651" i="4"/>
  <c r="T669" i="4"/>
  <c r="N669" i="4"/>
  <c r="T675" i="4"/>
  <c r="U675" i="4" s="1"/>
  <c r="Q681" i="4"/>
  <c r="Q683" i="4"/>
  <c r="T735" i="4"/>
  <c r="N735" i="4"/>
  <c r="T745" i="4"/>
  <c r="T804" i="4"/>
  <c r="N804" i="4"/>
  <c r="T834" i="4"/>
  <c r="N834" i="4"/>
  <c r="N852" i="4"/>
  <c r="T855" i="4"/>
  <c r="N855" i="4"/>
  <c r="Q861" i="4"/>
  <c r="N861" i="4"/>
  <c r="U861" i="4" s="1"/>
  <c r="Q865" i="4"/>
  <c r="Q882" i="4"/>
  <c r="T899" i="4"/>
  <c r="N899" i="4"/>
  <c r="Q907" i="4"/>
  <c r="Q912" i="4"/>
  <c r="T923" i="4"/>
  <c r="U923" i="4" s="1"/>
  <c r="T940" i="4"/>
  <c r="N940" i="4"/>
  <c r="T946" i="4"/>
  <c r="U946" i="4" s="1"/>
  <c r="Q967" i="4"/>
  <c r="Q978" i="4"/>
  <c r="N983" i="4"/>
  <c r="U983" i="4" s="1"/>
  <c r="T991" i="4"/>
  <c r="U991" i="4" s="1"/>
  <c r="T993" i="4"/>
  <c r="N993" i="4"/>
  <c r="Q1000" i="4"/>
  <c r="T1021" i="4"/>
  <c r="N1021" i="4"/>
  <c r="N1143" i="4"/>
  <c r="N1152" i="4"/>
  <c r="N1189" i="4"/>
  <c r="T1237" i="4"/>
  <c r="N1237" i="4"/>
  <c r="T1261" i="4"/>
  <c r="N1261" i="4"/>
  <c r="T1299" i="4"/>
  <c r="N1299" i="4"/>
  <c r="T1361" i="4"/>
  <c r="N1361" i="4"/>
  <c r="Q1387" i="4"/>
  <c r="Q1396" i="4"/>
  <c r="Q1482" i="4"/>
  <c r="T423" i="4"/>
  <c r="N423" i="4"/>
  <c r="Q429" i="4"/>
  <c r="T431" i="4"/>
  <c r="U431" i="4" s="1"/>
  <c r="T455" i="4"/>
  <c r="U455" i="4" s="1"/>
  <c r="T587" i="4"/>
  <c r="U587" i="4" s="1"/>
  <c r="Q592" i="4"/>
  <c r="Q625" i="4"/>
  <c r="Q640" i="4"/>
  <c r="Q647" i="4"/>
  <c r="Q653" i="4"/>
  <c r="T657" i="4"/>
  <c r="U657" i="4" s="1"/>
  <c r="Q659" i="4"/>
  <c r="T686" i="4"/>
  <c r="N686" i="4"/>
  <c r="T694" i="4"/>
  <c r="N694" i="4"/>
  <c r="Q707" i="4"/>
  <c r="T713" i="4"/>
  <c r="U713" i="4" s="1"/>
  <c r="T716" i="4"/>
  <c r="N716" i="4"/>
  <c r="N741" i="4"/>
  <c r="U741" i="4" s="1"/>
  <c r="T747" i="4"/>
  <c r="N747" i="4"/>
  <c r="N763" i="4"/>
  <c r="U763" i="4" s="1"/>
  <c r="Q781" i="4"/>
  <c r="Q785" i="4"/>
  <c r="Q787" i="4"/>
  <c r="Q794" i="4"/>
  <c r="Q798" i="4"/>
  <c r="Q816" i="4"/>
  <c r="Q846" i="4"/>
  <c r="T852" i="4"/>
  <c r="T871" i="4"/>
  <c r="U871" i="4" s="1"/>
  <c r="Q876" i="4"/>
  <c r="T888" i="4"/>
  <c r="U888" i="4" s="1"/>
  <c r="Q914" i="4"/>
  <c r="T924" i="4"/>
  <c r="N924" i="4"/>
  <c r="Q942" i="4"/>
  <c r="Q954" i="4"/>
  <c r="Q956" i="4"/>
  <c r="T963" i="4"/>
  <c r="N963" i="4"/>
  <c r="Q985" i="4"/>
  <c r="N994" i="4"/>
  <c r="U994" i="4" s="1"/>
  <c r="T998" i="4"/>
  <c r="N998" i="4"/>
  <c r="T1003" i="4"/>
  <c r="N1003" i="4"/>
  <c r="T1097" i="4"/>
  <c r="N1097" i="4"/>
  <c r="T1105" i="4"/>
  <c r="N1105" i="4"/>
  <c r="T1107" i="4"/>
  <c r="U1107" i="4" s="1"/>
  <c r="Q1115" i="4"/>
  <c r="T1120" i="4"/>
  <c r="N1120" i="4"/>
  <c r="T1141" i="4"/>
  <c r="U1141" i="4" s="1"/>
  <c r="T1143" i="4"/>
  <c r="T1152" i="4"/>
  <c r="T1164" i="4"/>
  <c r="T1171" i="4"/>
  <c r="N1171" i="4"/>
  <c r="N1180" i="4"/>
  <c r="T1189" i="4"/>
  <c r="T1209" i="4"/>
  <c r="N1209" i="4"/>
  <c r="Q1227" i="4"/>
  <c r="Q1229" i="4"/>
  <c r="T1236" i="4"/>
  <c r="N1236" i="4"/>
  <c r="N1251" i="4"/>
  <c r="U1251" i="4" s="1"/>
  <c r="Q1268" i="4"/>
  <c r="T1292" i="4"/>
  <c r="N1292" i="4"/>
  <c r="Q1297" i="4"/>
  <c r="Q1304" i="4"/>
  <c r="T1352" i="4"/>
  <c r="N1352" i="4"/>
  <c r="T1356" i="4"/>
  <c r="N1356" i="4"/>
  <c r="Q1367" i="4"/>
  <c r="T1369" i="4"/>
  <c r="T1371" i="4"/>
  <c r="N1371" i="4"/>
  <c r="T1383" i="4"/>
  <c r="N1383" i="4"/>
  <c r="Q1458" i="4"/>
  <c r="Q1470" i="4"/>
  <c r="Q1475" i="4"/>
  <c r="R204" i="4"/>
  <c r="R86" i="4"/>
  <c r="R98" i="4"/>
  <c r="R92" i="4"/>
  <c r="R88" i="4"/>
  <c r="R201" i="4"/>
  <c r="T201" i="4"/>
  <c r="T280" i="4"/>
  <c r="T286" i="4"/>
  <c r="T300" i="4"/>
  <c r="T313" i="4"/>
  <c r="T247" i="4"/>
  <c r="U247" i="4" s="1"/>
  <c r="T314" i="4"/>
  <c r="T334" i="4"/>
  <c r="Q280" i="4"/>
  <c r="Q286" i="4"/>
  <c r="Q300" i="4"/>
  <c r="T330" i="4"/>
  <c r="U330" i="4" s="1"/>
  <c r="Q330" i="4"/>
  <c r="T360" i="4"/>
  <c r="U360" i="4" s="1"/>
  <c r="T378" i="4"/>
  <c r="Q378" i="4"/>
  <c r="Q353" i="4"/>
  <c r="T353" i="4"/>
  <c r="T283" i="4"/>
  <c r="T328" i="4"/>
  <c r="U328" i="4" s="1"/>
  <c r="Q328" i="4"/>
  <c r="T352" i="4"/>
  <c r="T257" i="4"/>
  <c r="U257" i="4" s="1"/>
  <c r="Q292" i="4"/>
  <c r="T336" i="4"/>
  <c r="R227" i="4"/>
  <c r="T253" i="4"/>
  <c r="T295" i="4"/>
  <c r="U295" i="4" s="1"/>
  <c r="R223" i="4"/>
  <c r="Q244" i="4"/>
  <c r="T250" i="4"/>
  <c r="T277" i="4"/>
  <c r="U277" i="4" s="1"/>
  <c r="T289" i="4"/>
  <c r="U289" i="4" s="1"/>
  <c r="T305" i="4"/>
  <c r="T317" i="4"/>
  <c r="U317" i="4" s="1"/>
  <c r="Q352" i="4"/>
  <c r="T292" i="4"/>
  <c r="T244" i="4"/>
  <c r="T251" i="4"/>
  <c r="T311" i="4"/>
  <c r="U311" i="4" s="1"/>
  <c r="T325" i="4"/>
  <c r="U325" i="4" s="1"/>
  <c r="T333" i="4"/>
  <c r="T339" i="4"/>
  <c r="T402" i="4"/>
  <c r="T414" i="4"/>
  <c r="U414" i="4" s="1"/>
  <c r="T245" i="4"/>
  <c r="U245" i="4" s="1"/>
  <c r="Q253" i="4"/>
  <c r="T258" i="4"/>
  <c r="U258" i="4" s="1"/>
  <c r="Q258" i="4"/>
  <c r="T268" i="4"/>
  <c r="T281" i="4"/>
  <c r="T631" i="4"/>
  <c r="U631" i="4" s="1"/>
  <c r="T264" i="4"/>
  <c r="Q323" i="4"/>
  <c r="Q201" i="4"/>
  <c r="T650" i="4"/>
  <c r="U650" i="4" s="1"/>
  <c r="R184" i="4"/>
  <c r="T256" i="4"/>
  <c r="T293" i="4"/>
  <c r="T299" i="4"/>
  <c r="U299" i="4" s="1"/>
  <c r="Q333" i="4"/>
  <c r="Q275" i="4"/>
  <c r="Q313" i="4"/>
  <c r="T340" i="4"/>
  <c r="U340" i="4" s="1"/>
  <c r="T359" i="4"/>
  <c r="U359" i="4" s="1"/>
  <c r="T372" i="4"/>
  <c r="Q372" i="4"/>
  <c r="Q377" i="4"/>
  <c r="T377" i="4"/>
  <c r="T382" i="4"/>
  <c r="T396" i="4"/>
  <c r="Q396" i="4"/>
  <c r="Q401" i="4"/>
  <c r="T401" i="4"/>
  <c r="Q696" i="4"/>
  <c r="T696" i="4"/>
  <c r="U696" i="4" s="1"/>
  <c r="T1310" i="4"/>
  <c r="U1310" i="4" s="1"/>
  <c r="Q1310" i="4"/>
  <c r="Q247" i="4"/>
  <c r="T263" i="4"/>
  <c r="T266" i="4"/>
  <c r="Q281" i="4"/>
  <c r="T282" i="4"/>
  <c r="Q293" i="4"/>
  <c r="T302" i="4"/>
  <c r="U302" i="4" s="1"/>
  <c r="T316" i="4"/>
  <c r="U316" i="4" s="1"/>
  <c r="Q336" i="4"/>
  <c r="Q370" i="4"/>
  <c r="T370" i="4"/>
  <c r="U370" i="4" s="1"/>
  <c r="Q394" i="4"/>
  <c r="T394" i="4"/>
  <c r="U394" i="4" s="1"/>
  <c r="Q414" i="4"/>
  <c r="T446" i="4"/>
  <c r="T493" i="4"/>
  <c r="U493" i="4" s="1"/>
  <c r="T511" i="4"/>
  <c r="T529" i="4"/>
  <c r="U529" i="4" s="1"/>
  <c r="T547" i="4"/>
  <c r="T565" i="4"/>
  <c r="Q265" i="4"/>
  <c r="Q301" i="4"/>
  <c r="T344" i="4"/>
  <c r="U344" i="4" s="1"/>
  <c r="T355" i="4"/>
  <c r="U355" i="4" s="1"/>
  <c r="Q359" i="4"/>
  <c r="T472" i="4"/>
  <c r="U472" i="4" s="1"/>
  <c r="T615" i="4"/>
  <c r="U615" i="4" s="1"/>
  <c r="Q619" i="4"/>
  <c r="Q650" i="4"/>
  <c r="Q317" i="4"/>
  <c r="T357" i="4"/>
  <c r="U357" i="4" s="1"/>
  <c r="Q384" i="4"/>
  <c r="T384" i="4"/>
  <c r="U384" i="4" s="1"/>
  <c r="T421" i="4"/>
  <c r="T487" i="4"/>
  <c r="U487" i="4" s="1"/>
  <c r="T505" i="4"/>
  <c r="T523" i="4"/>
  <c r="U523" i="4" s="1"/>
  <c r="T541" i="4"/>
  <c r="T559" i="4"/>
  <c r="T577" i="4"/>
  <c r="U577" i="4" s="1"/>
  <c r="T610" i="4"/>
  <c r="T262" i="4"/>
  <c r="U262" i="4" s="1"/>
  <c r="Q277" i="4"/>
  <c r="Q295" i="4"/>
  <c r="T345" i="4"/>
  <c r="U345" i="4" s="1"/>
  <c r="T619" i="4"/>
  <c r="Q245" i="4"/>
  <c r="Q283" i="4"/>
  <c r="Q311" i="4"/>
  <c r="Q314" i="4"/>
  <c r="T385" i="4"/>
  <c r="T403" i="4"/>
  <c r="Q421" i="4"/>
  <c r="Q487" i="4"/>
  <c r="Q505" i="4"/>
  <c r="Q523" i="4"/>
  <c r="Q541" i="4"/>
  <c r="Q559" i="4"/>
  <c r="Q577" i="4"/>
  <c r="Q610" i="4"/>
  <c r="Q251" i="4"/>
  <c r="T274" i="4"/>
  <c r="Q289" i="4"/>
  <c r="Q325" i="4"/>
  <c r="Q339" i="4"/>
  <c r="T367" i="4"/>
  <c r="U367" i="4" s="1"/>
  <c r="T391" i="4"/>
  <c r="U391" i="4" s="1"/>
  <c r="T419" i="4"/>
  <c r="Q257" i="4"/>
  <c r="Q305" i="4"/>
  <c r="Q308" i="4"/>
  <c r="Q334" i="4"/>
  <c r="T341" i="4"/>
  <c r="U341" i="4" s="1"/>
  <c r="Q343" i="4"/>
  <c r="T363" i="4"/>
  <c r="U363" i="4" s="1"/>
  <c r="T368" i="4"/>
  <c r="U368" i="4" s="1"/>
  <c r="T388" i="4"/>
  <c r="U388" i="4" s="1"/>
  <c r="Q388" i="4"/>
  <c r="T392" i="4"/>
  <c r="U392" i="4" s="1"/>
  <c r="Q403" i="4"/>
  <c r="T464" i="4"/>
  <c r="T499" i="4"/>
  <c r="T517" i="4"/>
  <c r="T535" i="4"/>
  <c r="U535" i="4" s="1"/>
  <c r="T553" i="4"/>
  <c r="U553" i="4" s="1"/>
  <c r="T571" i="4"/>
  <c r="Q260" i="4"/>
  <c r="Q263" i="4"/>
  <c r="Q319" i="4"/>
  <c r="Q349" i="4"/>
  <c r="Q351" i="4"/>
  <c r="T364" i="4"/>
  <c r="U364" i="4" s="1"/>
  <c r="T416" i="4"/>
  <c r="U416" i="4" s="1"/>
  <c r="T438" i="4"/>
  <c r="Q269" i="4"/>
  <c r="Q299" i="4"/>
  <c r="Q302" i="4"/>
  <c r="T322" i="4"/>
  <c r="U322" i="4" s="1"/>
  <c r="Q329" i="4"/>
  <c r="T343" i="4"/>
  <c r="U343" i="4" s="1"/>
  <c r="T358" i="4"/>
  <c r="U358" i="4" s="1"/>
  <c r="Q360" i="4"/>
  <c r="T386" i="4"/>
  <c r="U386" i="4" s="1"/>
  <c r="T408" i="4"/>
  <c r="Q499" i="4"/>
  <c r="Q517" i="4"/>
  <c r="Q535" i="4"/>
  <c r="Q553" i="4"/>
  <c r="Q571" i="4"/>
  <c r="T435" i="4"/>
  <c r="U435" i="4" s="1"/>
  <c r="Q440" i="4"/>
  <c r="Q448" i="4"/>
  <c r="Q477" i="4"/>
  <c r="Q481" i="4"/>
  <c r="T667" i="4"/>
  <c r="T709" i="4"/>
  <c r="Q379" i="4"/>
  <c r="Q408" i="4"/>
  <c r="Q416" i="4"/>
  <c r="Q433" i="4"/>
  <c r="Q452" i="4"/>
  <c r="Q460" i="4"/>
  <c r="T481" i="4"/>
  <c r="U481" i="4" s="1"/>
  <c r="Q590" i="4"/>
  <c r="T600" i="4"/>
  <c r="U600" i="4" s="1"/>
  <c r="Q605" i="4"/>
  <c r="T441" i="4"/>
  <c r="T444" i="4"/>
  <c r="U444" i="4" s="1"/>
  <c r="Q586" i="4"/>
  <c r="T616" i="4"/>
  <c r="U616" i="4" s="1"/>
  <c r="T426" i="4"/>
  <c r="U426" i="4" s="1"/>
  <c r="T433" i="4"/>
  <c r="U433" i="4" s="1"/>
  <c r="T447" i="4"/>
  <c r="U447" i="4" s="1"/>
  <c r="T450" i="4"/>
  <c r="U450" i="4" s="1"/>
  <c r="Q462" i="4"/>
  <c r="Q464" i="4"/>
  <c r="Q472" i="4"/>
  <c r="Q584" i="4"/>
  <c r="T590" i="4"/>
  <c r="U590" i="4" s="1"/>
  <c r="T601" i="4"/>
  <c r="T605" i="4"/>
  <c r="U605" i="4" s="1"/>
  <c r="T611" i="4"/>
  <c r="U611" i="4" s="1"/>
  <c r="Q368" i="4"/>
  <c r="Q385" i="4"/>
  <c r="Q392" i="4"/>
  <c r="Q402" i="4"/>
  <c r="Q439" i="4"/>
  <c r="T453" i="4"/>
  <c r="U453" i="4" s="1"/>
  <c r="T456" i="4"/>
  <c r="Q580" i="4"/>
  <c r="T591" i="4"/>
  <c r="T606" i="4"/>
  <c r="Q616" i="4"/>
  <c r="Q441" i="4"/>
  <c r="T459" i="4"/>
  <c r="U459" i="4" s="1"/>
  <c r="T462" i="4"/>
  <c r="Q476" i="4"/>
  <c r="Q484" i="4"/>
  <c r="Q490" i="4"/>
  <c r="Q496" i="4"/>
  <c r="Q502" i="4"/>
  <c r="Q508" i="4"/>
  <c r="Q514" i="4"/>
  <c r="Q520" i="4"/>
  <c r="Q526" i="4"/>
  <c r="Q532" i="4"/>
  <c r="Q538" i="4"/>
  <c r="Q544" i="4"/>
  <c r="Q550" i="4"/>
  <c r="Q556" i="4"/>
  <c r="Q562" i="4"/>
  <c r="Q568" i="4"/>
  <c r="Q574" i="4"/>
  <c r="Q578" i="4"/>
  <c r="T584" i="4"/>
  <c r="U584" i="4" s="1"/>
  <c r="Q597" i="4"/>
  <c r="Q601" i="4"/>
  <c r="Q611" i="4"/>
  <c r="T649" i="4"/>
  <c r="U649" i="4" s="1"/>
  <c r="T655" i="4"/>
  <c r="T665" i="4"/>
  <c r="U665" i="4" s="1"/>
  <c r="T688" i="4"/>
  <c r="U688" i="4" s="1"/>
  <c r="T756" i="4"/>
  <c r="Q432" i="4"/>
  <c r="T439" i="4"/>
  <c r="U439" i="4" s="1"/>
  <c r="Q447" i="4"/>
  <c r="Q451" i="4"/>
  <c r="T465" i="4"/>
  <c r="T468" i="4"/>
  <c r="U468" i="4" s="1"/>
  <c r="Q480" i="4"/>
  <c r="Q482" i="4"/>
  <c r="Q488" i="4"/>
  <c r="Q494" i="4"/>
  <c r="Q500" i="4"/>
  <c r="Q506" i="4"/>
  <c r="Q512" i="4"/>
  <c r="Q518" i="4"/>
  <c r="Q524" i="4"/>
  <c r="Q530" i="4"/>
  <c r="Q536" i="4"/>
  <c r="Q542" i="4"/>
  <c r="Q548" i="4"/>
  <c r="Q554" i="4"/>
  <c r="Q560" i="4"/>
  <c r="Q566" i="4"/>
  <c r="Q572" i="4"/>
  <c r="T585" i="4"/>
  <c r="U585" i="4" s="1"/>
  <c r="Q595" i="4"/>
  <c r="T609" i="4"/>
  <c r="U609" i="4" s="1"/>
  <c r="T661" i="4"/>
  <c r="Q367" i="4"/>
  <c r="Q391" i="4"/>
  <c r="Q427" i="4"/>
  <c r="T445" i="4"/>
  <c r="U445" i="4" s="1"/>
  <c r="Q453" i="4"/>
  <c r="Q457" i="4"/>
  <c r="T471" i="4"/>
  <c r="T474" i="4"/>
  <c r="U474" i="4" s="1"/>
  <c r="Q486" i="4"/>
  <c r="Q492" i="4"/>
  <c r="Q498" i="4"/>
  <c r="Q504" i="4"/>
  <c r="Q510" i="4"/>
  <c r="Q516" i="4"/>
  <c r="Q522" i="4"/>
  <c r="Q528" i="4"/>
  <c r="Q534" i="4"/>
  <c r="Q540" i="4"/>
  <c r="Q546" i="4"/>
  <c r="Q552" i="4"/>
  <c r="Q558" i="4"/>
  <c r="Q564" i="4"/>
  <c r="T578" i="4"/>
  <c r="U578" i="4" s="1"/>
  <c r="Q591" i="4"/>
  <c r="T599" i="4"/>
  <c r="Q606" i="4"/>
  <c r="T623" i="4"/>
  <c r="U623" i="4" s="1"/>
  <c r="T643" i="4"/>
  <c r="U643" i="4" s="1"/>
  <c r="T712" i="4"/>
  <c r="Q434" i="4"/>
  <c r="Q459" i="4"/>
  <c r="T477" i="4"/>
  <c r="U477" i="4" s="1"/>
  <c r="T480" i="4"/>
  <c r="T488" i="4"/>
  <c r="U488" i="4" s="1"/>
  <c r="T494" i="4"/>
  <c r="U494" i="4" s="1"/>
  <c r="T500" i="4"/>
  <c r="U500" i="4" s="1"/>
  <c r="T506" i="4"/>
  <c r="U506" i="4" s="1"/>
  <c r="T512" i="4"/>
  <c r="U512" i="4" s="1"/>
  <c r="T518" i="4"/>
  <c r="U518" i="4" s="1"/>
  <c r="T524" i="4"/>
  <c r="U524" i="4" s="1"/>
  <c r="T530" i="4"/>
  <c r="U530" i="4" s="1"/>
  <c r="T536" i="4"/>
  <c r="U536" i="4" s="1"/>
  <c r="T542" i="4"/>
  <c r="U542" i="4" s="1"/>
  <c r="T548" i="4"/>
  <c r="U548" i="4" s="1"/>
  <c r="T554" i="4"/>
  <c r="U554" i="4" s="1"/>
  <c r="T560" i="4"/>
  <c r="U560" i="4" s="1"/>
  <c r="T566" i="4"/>
  <c r="U566" i="4" s="1"/>
  <c r="T572" i="4"/>
  <c r="U572" i="4" s="1"/>
  <c r="T579" i="4"/>
  <c r="U579" i="4" s="1"/>
  <c r="Q589" i="4"/>
  <c r="T595" i="4"/>
  <c r="T637" i="4"/>
  <c r="U637" i="4" s="1"/>
  <c r="T698" i="4"/>
  <c r="T792" i="4"/>
  <c r="U792" i="4" s="1"/>
  <c r="T483" i="4"/>
  <c r="U483" i="4" s="1"/>
  <c r="T486" i="4"/>
  <c r="U486" i="4" s="1"/>
  <c r="T489" i="4"/>
  <c r="U489" i="4" s="1"/>
  <c r="T492" i="4"/>
  <c r="T495" i="4"/>
  <c r="T498" i="4"/>
  <c r="T501" i="4"/>
  <c r="U501" i="4" s="1"/>
  <c r="T504" i="4"/>
  <c r="U504" i="4" s="1"/>
  <c r="T507" i="4"/>
  <c r="U507" i="4" s="1"/>
  <c r="T510" i="4"/>
  <c r="T513" i="4"/>
  <c r="T516" i="4"/>
  <c r="T519" i="4"/>
  <c r="U519" i="4" s="1"/>
  <c r="T522" i="4"/>
  <c r="U522" i="4" s="1"/>
  <c r="T525" i="4"/>
  <c r="U525" i="4" s="1"/>
  <c r="T528" i="4"/>
  <c r="T531" i="4"/>
  <c r="T534" i="4"/>
  <c r="T537" i="4"/>
  <c r="U537" i="4" s="1"/>
  <c r="T540" i="4"/>
  <c r="U540" i="4" s="1"/>
  <c r="T543" i="4"/>
  <c r="U543" i="4" s="1"/>
  <c r="T546" i="4"/>
  <c r="T549" i="4"/>
  <c r="T552" i="4"/>
  <c r="T555" i="4"/>
  <c r="U555" i="4" s="1"/>
  <c r="T558" i="4"/>
  <c r="U558" i="4" s="1"/>
  <c r="T561" i="4"/>
  <c r="U561" i="4" s="1"/>
  <c r="T564" i="4"/>
  <c r="T567" i="4"/>
  <c r="T570" i="4"/>
  <c r="T573" i="4"/>
  <c r="U573" i="4" s="1"/>
  <c r="Q585" i="4"/>
  <c r="T607" i="4"/>
  <c r="Q623" i="4"/>
  <c r="T671" i="4"/>
  <c r="T677" i="4"/>
  <c r="U677" i="4" s="1"/>
  <c r="T685" i="4"/>
  <c r="U685" i="4" s="1"/>
  <c r="T727" i="4"/>
  <c r="T748" i="4"/>
  <c r="U748" i="4" s="1"/>
  <c r="T614" i="4"/>
  <c r="U614" i="4" s="1"/>
  <c r="T642" i="4"/>
  <c r="T645" i="4"/>
  <c r="U645" i="4" s="1"/>
  <c r="Q673" i="4"/>
  <c r="Q694" i="4"/>
  <c r="T724" i="4"/>
  <c r="U724" i="4" s="1"/>
  <c r="T753" i="4"/>
  <c r="Q753" i="4"/>
  <c r="T757" i="4"/>
  <c r="U757" i="4" s="1"/>
  <c r="T823" i="4"/>
  <c r="T842" i="4"/>
  <c r="U842" i="4" s="1"/>
  <c r="T718" i="4"/>
  <c r="U718" i="4" s="1"/>
  <c r="Q776" i="4"/>
  <c r="T776" i="4"/>
  <c r="T821" i="4"/>
  <c r="U821" i="4" s="1"/>
  <c r="Q821" i="4"/>
  <c r="T845" i="4"/>
  <c r="T878" i="4"/>
  <c r="T622" i="4"/>
  <c r="U622" i="4" s="1"/>
  <c r="T635" i="4"/>
  <c r="U635" i="4" s="1"/>
  <c r="T659" i="4"/>
  <c r="U659" i="4" s="1"/>
  <c r="Q667" i="4"/>
  <c r="Q685" i="4"/>
  <c r="Q698" i="4"/>
  <c r="Q702" i="4"/>
  <c r="Q709" i="4"/>
  <c r="T725" i="4"/>
  <c r="U725" i="4" s="1"/>
  <c r="T779" i="4"/>
  <c r="U779" i="4" s="1"/>
  <c r="Q779" i="4"/>
  <c r="T791" i="4"/>
  <c r="U791" i="4" s="1"/>
  <c r="Q791" i="4"/>
  <c r="T872" i="4"/>
  <c r="U872" i="4" s="1"/>
  <c r="T1016" i="4"/>
  <c r="T576" i="4"/>
  <c r="U576" i="4" s="1"/>
  <c r="T582" i="4"/>
  <c r="U582" i="4" s="1"/>
  <c r="T588" i="4"/>
  <c r="U588" i="4" s="1"/>
  <c r="T594" i="4"/>
  <c r="U594" i="4" s="1"/>
  <c r="T613" i="4"/>
  <c r="U613" i="4" s="1"/>
  <c r="T618" i="4"/>
  <c r="U618" i="4" s="1"/>
  <c r="T641" i="4"/>
  <c r="U641" i="4" s="1"/>
  <c r="T673" i="4"/>
  <c r="U673" i="4" s="1"/>
  <c r="Q700" i="4"/>
  <c r="T732" i="4"/>
  <c r="T734" i="4"/>
  <c r="T740" i="4"/>
  <c r="U740" i="4" s="1"/>
  <c r="T761" i="4"/>
  <c r="U761" i="4" s="1"/>
  <c r="T768" i="4"/>
  <c r="U768" i="4" s="1"/>
  <c r="T817" i="4"/>
  <c r="U817" i="4" s="1"/>
  <c r="T841" i="4"/>
  <c r="U841" i="4" s="1"/>
  <c r="Q845" i="4"/>
  <c r="T862" i="4"/>
  <c r="U862" i="4" s="1"/>
  <c r="T598" i="4"/>
  <c r="U598" i="4" s="1"/>
  <c r="T603" i="4"/>
  <c r="U603" i="4" s="1"/>
  <c r="Q631" i="4"/>
  <c r="T647" i="4"/>
  <c r="U647" i="4" s="1"/>
  <c r="T653" i="4"/>
  <c r="U653" i="4" s="1"/>
  <c r="Q661" i="4"/>
  <c r="Q721" i="4"/>
  <c r="Q723" i="4"/>
  <c r="Q725" i="4"/>
  <c r="Q729" i="4"/>
  <c r="T729" i="4"/>
  <c r="T769" i="4"/>
  <c r="T815" i="4"/>
  <c r="Q815" i="4"/>
  <c r="T839" i="4"/>
  <c r="Q839" i="4"/>
  <c r="T958" i="4"/>
  <c r="U958" i="4" s="1"/>
  <c r="Q637" i="4"/>
  <c r="Q677" i="4"/>
  <c r="Q680" i="4"/>
  <c r="Q684" i="4"/>
  <c r="Q691" i="4"/>
  <c r="Q704" i="4"/>
  <c r="Q708" i="4"/>
  <c r="Q715" i="4"/>
  <c r="Q734" i="4"/>
  <c r="Q736" i="4"/>
  <c r="T750" i="4"/>
  <c r="Q759" i="4"/>
  <c r="T796" i="4"/>
  <c r="Q643" i="4"/>
  <c r="Q655" i="4"/>
  <c r="Q717" i="4"/>
  <c r="T723" i="4"/>
  <c r="T730" i="4"/>
  <c r="U730" i="4" s="1"/>
  <c r="T746" i="4"/>
  <c r="U746" i="4" s="1"/>
  <c r="Q761" i="4"/>
  <c r="Q769" i="4"/>
  <c r="Q806" i="4"/>
  <c r="T806" i="4"/>
  <c r="T811" i="4"/>
  <c r="Q817" i="4"/>
  <c r="T835" i="4"/>
  <c r="Q841" i="4"/>
  <c r="Q862" i="4"/>
  <c r="T917" i="4"/>
  <c r="U917" i="4" s="1"/>
  <c r="T939" i="4"/>
  <c r="U939" i="4" s="1"/>
  <c r="Q649" i="4"/>
  <c r="Q666" i="4"/>
  <c r="T691" i="4"/>
  <c r="U691" i="4" s="1"/>
  <c r="T702" i="4"/>
  <c r="T715" i="4"/>
  <c r="U715" i="4" s="1"/>
  <c r="T809" i="4"/>
  <c r="Q809" i="4"/>
  <c r="T833" i="4"/>
  <c r="Q833" i="4"/>
  <c r="T854" i="4"/>
  <c r="U854" i="4" s="1"/>
  <c r="T920" i="4"/>
  <c r="U920" i="4" s="1"/>
  <c r="T931" i="4"/>
  <c r="U931" i="4" s="1"/>
  <c r="Q630" i="4"/>
  <c r="Q686" i="4"/>
  <c r="Q690" i="4"/>
  <c r="Q697" i="4"/>
  <c r="Q710" i="4"/>
  <c r="Q714" i="4"/>
  <c r="Q730" i="4"/>
  <c r="T759" i="4"/>
  <c r="U759" i="4" s="1"/>
  <c r="T908" i="4"/>
  <c r="U908" i="4" s="1"/>
  <c r="Q668" i="4"/>
  <c r="Q688" i="4"/>
  <c r="Q712" i="4"/>
  <c r="T720" i="4"/>
  <c r="Q726" i="4"/>
  <c r="Q744" i="4"/>
  <c r="Q746" i="4"/>
  <c r="Q748" i="4"/>
  <c r="Q754" i="4"/>
  <c r="Q792" i="4"/>
  <c r="T803" i="4"/>
  <c r="U803" i="4" s="1"/>
  <c r="Q803" i="4"/>
  <c r="Q811" i="4"/>
  <c r="T829" i="4"/>
  <c r="Q835" i="4"/>
  <c r="Q629" i="4"/>
  <c r="Q679" i="4"/>
  <c r="T684" i="4"/>
  <c r="T697" i="4"/>
  <c r="U697" i="4" s="1"/>
  <c r="T708" i="4"/>
  <c r="T728" i="4"/>
  <c r="U728" i="4" s="1"/>
  <c r="Q765" i="4"/>
  <c r="T765" i="4"/>
  <c r="U765" i="4" s="1"/>
  <c r="T827" i="4"/>
  <c r="U827" i="4" s="1"/>
  <c r="Q827" i="4"/>
  <c r="T886" i="4"/>
  <c r="U886" i="4" s="1"/>
  <c r="Q771" i="4"/>
  <c r="Q783" i="4"/>
  <c r="T805" i="4"/>
  <c r="U805" i="4" s="1"/>
  <c r="T812" i="4"/>
  <c r="T818" i="4"/>
  <c r="U818" i="4" s="1"/>
  <c r="T824" i="4"/>
  <c r="T830" i="4"/>
  <c r="T836" i="4"/>
  <c r="U836" i="4" s="1"/>
  <c r="T866" i="4"/>
  <c r="U866" i="4" s="1"/>
  <c r="T874" i="4"/>
  <c r="U874" i="4" s="1"/>
  <c r="Q874" i="4"/>
  <c r="Q877" i="4"/>
  <c r="T904" i="4"/>
  <c r="T944" i="4"/>
  <c r="U944" i="4" s="1"/>
  <c r="T974" i="4"/>
  <c r="T1149" i="4"/>
  <c r="U1149" i="4" s="1"/>
  <c r="Q1149" i="4"/>
  <c r="T1258" i="4"/>
  <c r="U1258" i="4" s="1"/>
  <c r="T772" i="4"/>
  <c r="T784" i="4"/>
  <c r="U784" i="4" s="1"/>
  <c r="T793" i="4"/>
  <c r="Q796" i="4"/>
  <c r="Q801" i="4"/>
  <c r="T884" i="4"/>
  <c r="T902" i="4"/>
  <c r="U902" i="4" s="1"/>
  <c r="Q904" i="4"/>
  <c r="T938" i="4"/>
  <c r="U938" i="4" s="1"/>
  <c r="T1005" i="4"/>
  <c r="U1005" i="4" s="1"/>
  <c r="T781" i="4"/>
  <c r="T794" i="4"/>
  <c r="U794" i="4" s="1"/>
  <c r="T853" i="4"/>
  <c r="Q886" i="4"/>
  <c r="T896" i="4"/>
  <c r="U896" i="4" s="1"/>
  <c r="T911" i="4"/>
  <c r="T952" i="4"/>
  <c r="U952" i="4" s="1"/>
  <c r="Q743" i="4"/>
  <c r="Q750" i="4"/>
  <c r="Q767" i="4"/>
  <c r="Q772" i="4"/>
  <c r="Q784" i="4"/>
  <c r="Q789" i="4"/>
  <c r="T880" i="4"/>
  <c r="Q880" i="4"/>
  <c r="T770" i="4"/>
  <c r="U770" i="4" s="1"/>
  <c r="Q777" i="4"/>
  <c r="T782" i="4"/>
  <c r="U782" i="4" s="1"/>
  <c r="T789" i="4"/>
  <c r="U789" i="4" s="1"/>
  <c r="T802" i="4"/>
  <c r="U802" i="4" s="1"/>
  <c r="Q807" i="4"/>
  <c r="Q813" i="4"/>
  <c r="Q819" i="4"/>
  <c r="Q825" i="4"/>
  <c r="Q831" i="4"/>
  <c r="Q837" i="4"/>
  <c r="T881" i="4"/>
  <c r="U881" i="4" s="1"/>
  <c r="Q938" i="4"/>
  <c r="T986" i="4"/>
  <c r="Q986" i="4"/>
  <c r="T1072" i="4"/>
  <c r="Q738" i="4"/>
  <c r="Q742" i="4"/>
  <c r="Q774" i="4"/>
  <c r="Q786" i="4"/>
  <c r="Q847" i="4"/>
  <c r="T851" i="4"/>
  <c r="U851" i="4" s="1"/>
  <c r="Q853" i="4"/>
  <c r="T909" i="4"/>
  <c r="U909" i="4" s="1"/>
  <c r="T932" i="4"/>
  <c r="U932" i="4" s="1"/>
  <c r="T987" i="4"/>
  <c r="Q760" i="4"/>
  <c r="T790" i="4"/>
  <c r="T799" i="4"/>
  <c r="U799" i="4" s="1"/>
  <c r="T844" i="4"/>
  <c r="Q844" i="4"/>
  <c r="T856" i="4"/>
  <c r="Q856" i="4"/>
  <c r="Q875" i="4"/>
  <c r="T893" i="4"/>
  <c r="U893" i="4" s="1"/>
  <c r="T916" i="4"/>
  <c r="T948" i="4"/>
  <c r="U948" i="4" s="1"/>
  <c r="Q724" i="4"/>
  <c r="Q756" i="4"/>
  <c r="T778" i="4"/>
  <c r="T808" i="4"/>
  <c r="U808" i="4" s="1"/>
  <c r="T814" i="4"/>
  <c r="U814" i="4" s="1"/>
  <c r="T820" i="4"/>
  <c r="T826" i="4"/>
  <c r="T832" i="4"/>
  <c r="T838" i="4"/>
  <c r="Q842" i="4"/>
  <c r="T890" i="4"/>
  <c r="U890" i="4" s="1"/>
  <c r="T980" i="4"/>
  <c r="U980" i="4" s="1"/>
  <c r="Q980" i="4"/>
  <c r="Q1048" i="4"/>
  <c r="T1048" i="4"/>
  <c r="T775" i="4"/>
  <c r="T787" i="4"/>
  <c r="Q790" i="4"/>
  <c r="Q795" i="4"/>
  <c r="Q818" i="4"/>
  <c r="Q824" i="4"/>
  <c r="Q830" i="4"/>
  <c r="Q836" i="4"/>
  <c r="T848" i="4"/>
  <c r="T868" i="4"/>
  <c r="U868" i="4" s="1"/>
  <c r="T905" i="4"/>
  <c r="T919" i="4"/>
  <c r="Q974" i="4"/>
  <c r="T981" i="4"/>
  <c r="U981" i="4" s="1"/>
  <c r="Q872" i="4"/>
  <c r="Q884" i="4"/>
  <c r="Q916" i="4"/>
  <c r="Q920" i="4"/>
  <c r="T962" i="4"/>
  <c r="T968" i="4"/>
  <c r="T975" i="4"/>
  <c r="T1002" i="4"/>
  <c r="Q1021" i="4"/>
  <c r="T846" i="4"/>
  <c r="U846" i="4" s="1"/>
  <c r="T860" i="4"/>
  <c r="U860" i="4" s="1"/>
  <c r="Q878" i="4"/>
  <c r="Q899" i="4"/>
  <c r="Q909" i="4"/>
  <c r="T914" i="4"/>
  <c r="U914" i="4" s="1"/>
  <c r="Q932" i="4"/>
  <c r="Q950" i="4"/>
  <c r="T956" i="4"/>
  <c r="U956" i="4" s="1"/>
  <c r="T969" i="4"/>
  <c r="U969" i="4" s="1"/>
  <c r="T1037" i="4"/>
  <c r="U1037" i="4" s="1"/>
  <c r="Q1117" i="4"/>
  <c r="Q881" i="4"/>
  <c r="Q911" i="4"/>
  <c r="Q944" i="4"/>
  <c r="T949" i="4"/>
  <c r="U949" i="4" s="1"/>
  <c r="T950" i="4"/>
  <c r="U950" i="4" s="1"/>
  <c r="T992" i="4"/>
  <c r="U992" i="4" s="1"/>
  <c r="T1041" i="4"/>
  <c r="T1117" i="4"/>
  <c r="T1126" i="4"/>
  <c r="U1126" i="4" s="1"/>
  <c r="Q848" i="4"/>
  <c r="Q891" i="4"/>
  <c r="T898" i="4"/>
  <c r="U898" i="4" s="1"/>
  <c r="T921" i="4"/>
  <c r="U921" i="4" s="1"/>
  <c r="T1011" i="4"/>
  <c r="Q1015" i="4"/>
  <c r="Q896" i="4"/>
  <c r="T933" i="4"/>
  <c r="U933" i="4" s="1"/>
  <c r="T988" i="4"/>
  <c r="T1061" i="4"/>
  <c r="T1114" i="4"/>
  <c r="U1114" i="4" s="1"/>
  <c r="T910" i="4"/>
  <c r="Q915" i="4"/>
  <c r="Q919" i="4"/>
  <c r="Q921" i="4"/>
  <c r="T945" i="4"/>
  <c r="T982" i="4"/>
  <c r="Q992" i="4"/>
  <c r="Q855" i="4"/>
  <c r="Q893" i="4"/>
  <c r="Q903" i="4"/>
  <c r="Q908" i="4"/>
  <c r="Q925" i="4"/>
  <c r="T929" i="4"/>
  <c r="U929" i="4" s="1"/>
  <c r="Q931" i="4"/>
  <c r="Q933" i="4"/>
  <c r="Q947" i="4"/>
  <c r="T976" i="4"/>
  <c r="T997" i="4"/>
  <c r="Q997" i="4"/>
  <c r="T1031" i="4"/>
  <c r="U1031" i="4" s="1"/>
  <c r="Q898" i="4"/>
  <c r="Q937" i="4"/>
  <c r="T941" i="4"/>
  <c r="U941" i="4" s="1"/>
  <c r="Q943" i="4"/>
  <c r="Q945" i="4"/>
  <c r="T970" i="4"/>
  <c r="T1022" i="4"/>
  <c r="T1050" i="4"/>
  <c r="U1050" i="4" s="1"/>
  <c r="T1079" i="4"/>
  <c r="T865" i="4"/>
  <c r="U865" i="4" s="1"/>
  <c r="Q890" i="4"/>
  <c r="Q905" i="4"/>
  <c r="Q910" i="4"/>
  <c r="T926" i="4"/>
  <c r="U926" i="4" s="1"/>
  <c r="Q929" i="4"/>
  <c r="T947" i="4"/>
  <c r="U947" i="4" s="1"/>
  <c r="T964" i="4"/>
  <c r="U964" i="4" s="1"/>
  <c r="Q1016" i="4"/>
  <c r="T1047" i="4"/>
  <c r="T1076" i="4"/>
  <c r="U1076" i="4" s="1"/>
  <c r="T953" i="4"/>
  <c r="U953" i="4" s="1"/>
  <c r="T959" i="4"/>
  <c r="U959" i="4" s="1"/>
  <c r="Q1002" i="4"/>
  <c r="Q1011" i="4"/>
  <c r="T1013" i="4"/>
  <c r="U1013" i="4" s="1"/>
  <c r="T1019" i="4"/>
  <c r="U1019" i="4" s="1"/>
  <c r="T1025" i="4"/>
  <c r="Q1037" i="4"/>
  <c r="T1044" i="4"/>
  <c r="Q1050" i="4"/>
  <c r="Q1059" i="4"/>
  <c r="Q1072" i="4"/>
  <c r="T1101" i="4"/>
  <c r="U1101" i="4" s="1"/>
  <c r="Q1101" i="4"/>
  <c r="Q1107" i="4"/>
  <c r="Q917" i="4"/>
  <c r="T918" i="4"/>
  <c r="U918" i="4" s="1"/>
  <c r="T930" i="4"/>
  <c r="U930" i="4" s="1"/>
  <c r="T942" i="4"/>
  <c r="U942" i="4" s="1"/>
  <c r="Q1017" i="4"/>
  <c r="Q1023" i="4"/>
  <c r="Q1029" i="4"/>
  <c r="T1035" i="4"/>
  <c r="U1035" i="4" s="1"/>
  <c r="Q1061" i="4"/>
  <c r="T1084" i="4"/>
  <c r="Q1126" i="4"/>
  <c r="Q952" i="4"/>
  <c r="Q958" i="4"/>
  <c r="Q964" i="4"/>
  <c r="Q970" i="4"/>
  <c r="Q976" i="4"/>
  <c r="Q982" i="4"/>
  <c r="Q988" i="4"/>
  <c r="Q990" i="4"/>
  <c r="Q1004" i="4"/>
  <c r="T1008" i="4"/>
  <c r="Q1031" i="4"/>
  <c r="T1038" i="4"/>
  <c r="Q1044" i="4"/>
  <c r="T1073" i="4"/>
  <c r="U1073" i="4" s="1"/>
  <c r="T1131" i="4"/>
  <c r="Q995" i="4"/>
  <c r="Q1013" i="4"/>
  <c r="T1017" i="4"/>
  <c r="U1017" i="4" s="1"/>
  <c r="Q1019" i="4"/>
  <c r="T1023" i="4"/>
  <c r="Q1025" i="4"/>
  <c r="T1029" i="4"/>
  <c r="T1055" i="4"/>
  <c r="U1055" i="4" s="1"/>
  <c r="Q1071" i="4"/>
  <c r="T1032" i="4"/>
  <c r="Q1063" i="4"/>
  <c r="Q1093" i="4"/>
  <c r="T1121" i="4"/>
  <c r="T1144" i="4"/>
  <c r="T1167" i="4"/>
  <c r="U1167" i="4" s="1"/>
  <c r="Q951" i="4"/>
  <c r="Q957" i="4"/>
  <c r="Q963" i="4"/>
  <c r="Q969" i="4"/>
  <c r="Q975" i="4"/>
  <c r="Q981" i="4"/>
  <c r="Q987" i="4"/>
  <c r="T995" i="4"/>
  <c r="U995" i="4" s="1"/>
  <c r="T1014" i="4"/>
  <c r="T1020" i="4"/>
  <c r="U1020" i="4" s="1"/>
  <c r="T1026" i="4"/>
  <c r="Q1036" i="4"/>
  <c r="T1042" i="4"/>
  <c r="U1042" i="4" s="1"/>
  <c r="T1049" i="4"/>
  <c r="U1049" i="4" s="1"/>
  <c r="Q1051" i="4"/>
  <c r="T1063" i="4"/>
  <c r="T1093" i="4"/>
  <c r="T996" i="4"/>
  <c r="U996" i="4" s="1"/>
  <c r="T999" i="4"/>
  <c r="Q1032" i="4"/>
  <c r="Q1055" i="4"/>
  <c r="T1060" i="4"/>
  <c r="T1064" i="4"/>
  <c r="U1064" i="4" s="1"/>
  <c r="T1067" i="4"/>
  <c r="U1067" i="4" s="1"/>
  <c r="T1094" i="4"/>
  <c r="U1094" i="4" s="1"/>
  <c r="T1108" i="4"/>
  <c r="U1108" i="4" s="1"/>
  <c r="T1119" i="4"/>
  <c r="T1158" i="4"/>
  <c r="Q1001" i="4"/>
  <c r="Q1014" i="4"/>
  <c r="Q1020" i="4"/>
  <c r="Q1026" i="4"/>
  <c r="Q1030" i="4"/>
  <c r="T1036" i="4"/>
  <c r="U1036" i="4" s="1"/>
  <c r="T1043" i="4"/>
  <c r="U1043" i="4" s="1"/>
  <c r="Q1045" i="4"/>
  <c r="Q1047" i="4"/>
  <c r="T1053" i="4"/>
  <c r="U1053" i="4" s="1"/>
  <c r="T1071" i="4"/>
  <c r="U1071" i="4" s="1"/>
  <c r="Q1075" i="4"/>
  <c r="Q1083" i="4"/>
  <c r="T1098" i="4"/>
  <c r="U1098" i="4" s="1"/>
  <c r="Q1121" i="4"/>
  <c r="Q923" i="4"/>
  <c r="Q927" i="4"/>
  <c r="Q935" i="4"/>
  <c r="Q939" i="4"/>
  <c r="Q994" i="4"/>
  <c r="Q996" i="4"/>
  <c r="Q1005" i="4"/>
  <c r="Q1012" i="4"/>
  <c r="Q1018" i="4"/>
  <c r="Q1024" i="4"/>
  <c r="Q1049" i="4"/>
  <c r="Q1054" i="4"/>
  <c r="T1056" i="4"/>
  <c r="U1056" i="4" s="1"/>
  <c r="Q1064" i="4"/>
  <c r="T1075" i="4"/>
  <c r="U1075" i="4" s="1"/>
  <c r="Q1094" i="4"/>
  <c r="Q1100" i="4"/>
  <c r="Q1119" i="4"/>
  <c r="T1139" i="4"/>
  <c r="Q1160" i="4"/>
  <c r="T1173" i="4"/>
  <c r="U1173" i="4" s="1"/>
  <c r="T1178" i="4"/>
  <c r="T1187" i="4"/>
  <c r="U1187" i="4" s="1"/>
  <c r="T1142" i="4"/>
  <c r="T1147" i="4"/>
  <c r="U1147" i="4" s="1"/>
  <c r="Q1158" i="4"/>
  <c r="Q1167" i="4"/>
  <c r="T1174" i="4"/>
  <c r="U1174" i="4" s="1"/>
  <c r="T1244" i="4"/>
  <c r="U1244" i="4" s="1"/>
  <c r="T1256" i="4"/>
  <c r="T1028" i="4"/>
  <c r="U1028" i="4" s="1"/>
  <c r="T1034" i="4"/>
  <c r="U1034" i="4" s="1"/>
  <c r="T1040" i="4"/>
  <c r="U1040" i="4" s="1"/>
  <c r="T1046" i="4"/>
  <c r="U1046" i="4" s="1"/>
  <c r="T1052" i="4"/>
  <c r="U1052" i="4" s="1"/>
  <c r="T1066" i="4"/>
  <c r="U1066" i="4" s="1"/>
  <c r="T1078" i="4"/>
  <c r="U1078" i="4" s="1"/>
  <c r="T1099" i="4"/>
  <c r="U1099" i="4" s="1"/>
  <c r="Q1131" i="4"/>
  <c r="Q1144" i="4"/>
  <c r="T1160" i="4"/>
  <c r="T1198" i="4"/>
  <c r="U1198" i="4" s="1"/>
  <c r="T1204" i="4"/>
  <c r="U1204" i="4" s="1"/>
  <c r="T1137" i="4"/>
  <c r="U1137" i="4" s="1"/>
  <c r="T1150" i="4"/>
  <c r="U1150" i="4" s="1"/>
  <c r="T1153" i="4"/>
  <c r="U1153" i="4" s="1"/>
  <c r="Q1084" i="4"/>
  <c r="Q1108" i="4"/>
  <c r="T1133" i="4"/>
  <c r="T1154" i="4"/>
  <c r="T1170" i="4"/>
  <c r="U1170" i="4" s="1"/>
  <c r="Q1174" i="4"/>
  <c r="T1179" i="4"/>
  <c r="U1179" i="4" s="1"/>
  <c r="T1124" i="4"/>
  <c r="U1124" i="4" s="1"/>
  <c r="T1129" i="4"/>
  <c r="U1129" i="4" s="1"/>
  <c r="T1136" i="4"/>
  <c r="U1136" i="4" s="1"/>
  <c r="Q1185" i="4"/>
  <c r="T1185" i="4"/>
  <c r="U1185" i="4" s="1"/>
  <c r="T1190" i="4"/>
  <c r="Q1198" i="4"/>
  <c r="T1216" i="4"/>
  <c r="U1216" i="4" s="1"/>
  <c r="T1118" i="4"/>
  <c r="U1118" i="4" s="1"/>
  <c r="Q1148" i="4"/>
  <c r="Q1154" i="4"/>
  <c r="Q1170" i="4"/>
  <c r="Q1179" i="4"/>
  <c r="T1186" i="4"/>
  <c r="T1196" i="4"/>
  <c r="Q1090" i="4"/>
  <c r="Q1097" i="4"/>
  <c r="Q1114" i="4"/>
  <c r="Q1120" i="4"/>
  <c r="T1130" i="4"/>
  <c r="U1130" i="4" s="1"/>
  <c r="T1161" i="4"/>
  <c r="T1166" i="4"/>
  <c r="U1166" i="4" s="1"/>
  <c r="T1175" i="4"/>
  <c r="Q1190" i="4"/>
  <c r="T1224" i="4"/>
  <c r="U1224" i="4" s="1"/>
  <c r="Q1224" i="4"/>
  <c r="Q1067" i="4"/>
  <c r="Q1079" i="4"/>
  <c r="T1155" i="4"/>
  <c r="T1162" i="4"/>
  <c r="T1123" i="4"/>
  <c r="Q1130" i="4"/>
  <c r="Q1140" i="4"/>
  <c r="Q1145" i="4"/>
  <c r="T1148" i="4"/>
  <c r="U1148" i="4" s="1"/>
  <c r="Q1166" i="4"/>
  <c r="Q1186" i="4"/>
  <c r="T1193" i="4"/>
  <c r="T1235" i="4"/>
  <c r="T1264" i="4"/>
  <c r="T1226" i="4"/>
  <c r="Q1258" i="4"/>
  <c r="T1265" i="4"/>
  <c r="Q1265" i="4"/>
  <c r="T1277" i="4"/>
  <c r="T1286" i="4"/>
  <c r="U1286" i="4" s="1"/>
  <c r="Q1286" i="4"/>
  <c r="Q1204" i="4"/>
  <c r="T1210" i="4"/>
  <c r="U1210" i="4" s="1"/>
  <c r="T1240" i="4"/>
  <c r="U1240" i="4" s="1"/>
  <c r="T1254" i="4"/>
  <c r="U1254" i="4" s="1"/>
  <c r="Q1256" i="4"/>
  <c r="T1270" i="4"/>
  <c r="Q1270" i="4"/>
  <c r="T1172" i="4"/>
  <c r="U1172" i="4" s="1"/>
  <c r="T1184" i="4"/>
  <c r="U1184" i="4" s="1"/>
  <c r="T1192" i="4"/>
  <c r="U1192" i="4" s="1"/>
  <c r="T1241" i="4"/>
  <c r="T1260" i="4"/>
  <c r="Q1163" i="4"/>
  <c r="Q1175" i="4"/>
  <c r="Q1187" i="4"/>
  <c r="Q1217" i="4"/>
  <c r="Q1226" i="4"/>
  <c r="T1232" i="4"/>
  <c r="U1232" i="4" s="1"/>
  <c r="T1250" i="4"/>
  <c r="U1250" i="4" s="1"/>
  <c r="T1280" i="4"/>
  <c r="U1280" i="4" s="1"/>
  <c r="T1222" i="4"/>
  <c r="U1222" i="4" s="1"/>
  <c r="T1266" i="4"/>
  <c r="U1266" i="4" s="1"/>
  <c r="T1223" i="4"/>
  <c r="T1246" i="4"/>
  <c r="Q1250" i="4"/>
  <c r="Q1280" i="4"/>
  <c r="Q1211" i="4"/>
  <c r="T1214" i="4"/>
  <c r="U1214" i="4" s="1"/>
  <c r="Q1230" i="4"/>
  <c r="T1238" i="4"/>
  <c r="T1268" i="4"/>
  <c r="U1268" i="4" s="1"/>
  <c r="T1275" i="4"/>
  <c r="U1275" i="4" s="1"/>
  <c r="Q1193" i="4"/>
  <c r="Q1216" i="4"/>
  <c r="Q1223" i="4"/>
  <c r="T1228" i="4"/>
  <c r="U1228" i="4" s="1"/>
  <c r="Q1234" i="4"/>
  <c r="Q1246" i="4"/>
  <c r="Q1248" i="4"/>
  <c r="T1252" i="4"/>
  <c r="T1276" i="4"/>
  <c r="Q1276" i="4"/>
  <c r="T1220" i="4"/>
  <c r="U1220" i="4" s="1"/>
  <c r="T1229" i="4"/>
  <c r="T1242" i="4"/>
  <c r="U1242" i="4" s="1"/>
  <c r="Q1244" i="4"/>
  <c r="T1262" i="4"/>
  <c r="U1262" i="4" s="1"/>
  <c r="T1298" i="4"/>
  <c r="U1298" i="4" s="1"/>
  <c r="Q1298" i="4"/>
  <c r="Q1205" i="4"/>
  <c r="T1208" i="4"/>
  <c r="U1208" i="4" s="1"/>
  <c r="Q1225" i="4"/>
  <c r="Q1236" i="4"/>
  <c r="T1248" i="4"/>
  <c r="Q1264" i="4"/>
  <c r="T1274" i="4"/>
  <c r="T1420" i="4"/>
  <c r="U1420" i="4" s="1"/>
  <c r="T1353" i="4"/>
  <c r="U1353" i="4" s="1"/>
  <c r="T1432" i="4"/>
  <c r="T1456" i="4"/>
  <c r="T1282" i="4"/>
  <c r="U1282" i="4" s="1"/>
  <c r="Q1302" i="4"/>
  <c r="Q1314" i="4"/>
  <c r="T1319" i="4"/>
  <c r="U1319" i="4" s="1"/>
  <c r="T1341" i="4"/>
  <c r="U1341" i="4" s="1"/>
  <c r="T1348" i="4"/>
  <c r="T1374" i="4"/>
  <c r="U1374" i="4" s="1"/>
  <c r="T1423" i="4"/>
  <c r="U1423" i="4" s="1"/>
  <c r="Q1284" i="4"/>
  <c r="T1300" i="4"/>
  <c r="U1300" i="4" s="1"/>
  <c r="T1312" i="4"/>
  <c r="U1312" i="4" s="1"/>
  <c r="T1325" i="4"/>
  <c r="U1325" i="4" s="1"/>
  <c r="T1330" i="4"/>
  <c r="T1358" i="4"/>
  <c r="T1380" i="4"/>
  <c r="T1426" i="4"/>
  <c r="T1438" i="4"/>
  <c r="T1445" i="4"/>
  <c r="U1445" i="4" s="1"/>
  <c r="T1450" i="4"/>
  <c r="T1462" i="4"/>
  <c r="T1469" i="4"/>
  <c r="U1469" i="4" s="1"/>
  <c r="T1474" i="4"/>
  <c r="T1486" i="4"/>
  <c r="T1271" i="4"/>
  <c r="U1271" i="4" s="1"/>
  <c r="Q1277" i="4"/>
  <c r="T1295" i="4"/>
  <c r="U1295" i="4" s="1"/>
  <c r="T1302" i="4"/>
  <c r="U1302" i="4" s="1"/>
  <c r="T1307" i="4"/>
  <c r="U1307" i="4" s="1"/>
  <c r="T1314" i="4"/>
  <c r="U1314" i="4" s="1"/>
  <c r="T1320" i="4"/>
  <c r="U1320" i="4" s="1"/>
  <c r="Q1328" i="4"/>
  <c r="Q1348" i="4"/>
  <c r="Q1242" i="4"/>
  <c r="Q1254" i="4"/>
  <c r="Q1266" i="4"/>
  <c r="T1284" i="4"/>
  <c r="U1284" i="4" s="1"/>
  <c r="Q1330" i="4"/>
  <c r="T1364" i="4"/>
  <c r="Q1385" i="4"/>
  <c r="Q1438" i="4"/>
  <c r="Q1462" i="4"/>
  <c r="Q1486" i="4"/>
  <c r="T1303" i="4"/>
  <c r="T1315" i="4"/>
  <c r="U1315" i="4" s="1"/>
  <c r="Q1358" i="4"/>
  <c r="T1415" i="4"/>
  <c r="T1424" i="4"/>
  <c r="T1448" i="4"/>
  <c r="Q1283" i="4"/>
  <c r="Q1301" i="4"/>
  <c r="Q1313" i="4"/>
  <c r="T1328" i="4"/>
  <c r="U1328" i="4" s="1"/>
  <c r="T1370" i="4"/>
  <c r="U1370" i="4" s="1"/>
  <c r="T1385" i="4"/>
  <c r="U1385" i="4" s="1"/>
  <c r="T1429" i="4"/>
  <c r="T1453" i="4"/>
  <c r="U1453" i="4" s="1"/>
  <c r="T1477" i="4"/>
  <c r="Q1296" i="4"/>
  <c r="Q1308" i="4"/>
  <c r="T1318" i="4"/>
  <c r="U1318" i="4" s="1"/>
  <c r="Q1334" i="4"/>
  <c r="T1355" i="4"/>
  <c r="U1355" i="4" s="1"/>
  <c r="T1360" i="4"/>
  <c r="U1360" i="4" s="1"/>
  <c r="Q1364" i="4"/>
  <c r="T1396" i="4"/>
  <c r="T1413" i="4"/>
  <c r="U1413" i="4" s="1"/>
  <c r="Q1413" i="4"/>
  <c r="T1294" i="4"/>
  <c r="Q1303" i="4"/>
  <c r="T1306" i="4"/>
  <c r="Q1315" i="4"/>
  <c r="T1338" i="4"/>
  <c r="T1357" i="4"/>
  <c r="T1376" i="4"/>
  <c r="U1376" i="4" s="1"/>
  <c r="T1397" i="4"/>
  <c r="U1397" i="4" s="1"/>
  <c r="Q1429" i="4"/>
  <c r="Q1453" i="4"/>
  <c r="Q1477" i="4"/>
  <c r="T1296" i="4"/>
  <c r="U1296" i="4" s="1"/>
  <c r="T1301" i="4"/>
  <c r="U1301" i="4" s="1"/>
  <c r="T1308" i="4"/>
  <c r="U1308" i="4" s="1"/>
  <c r="T1313" i="4"/>
  <c r="U1313" i="4" s="1"/>
  <c r="Q1324" i="4"/>
  <c r="Q1336" i="4"/>
  <c r="T1362" i="4"/>
  <c r="U1362" i="4" s="1"/>
  <c r="T1366" i="4"/>
  <c r="U1366" i="4" s="1"/>
  <c r="Q1370" i="4"/>
  <c r="T1395" i="4"/>
  <c r="T1425" i="4"/>
  <c r="U1425" i="4" s="1"/>
  <c r="Q1425" i="4"/>
  <c r="T1449" i="4"/>
  <c r="U1449" i="4" s="1"/>
  <c r="Q1449" i="4"/>
  <c r="T1473" i="4"/>
  <c r="U1473" i="4" s="1"/>
  <c r="Q1473" i="4"/>
  <c r="Q1319" i="4"/>
  <c r="Q1329" i="4"/>
  <c r="Q1347" i="4"/>
  <c r="Q1353" i="4"/>
  <c r="Q1384" i="4"/>
  <c r="T1390" i="4"/>
  <c r="U1390" i="4" s="1"/>
  <c r="T1408" i="4"/>
  <c r="U1408" i="4" s="1"/>
  <c r="T1297" i="4"/>
  <c r="T1309" i="4"/>
  <c r="U1309" i="4" s="1"/>
  <c r="Q1355" i="4"/>
  <c r="T1368" i="4"/>
  <c r="U1368" i="4" s="1"/>
  <c r="T1372" i="4"/>
  <c r="U1372" i="4" s="1"/>
  <c r="Q1376" i="4"/>
  <c r="Q1397" i="4"/>
  <c r="Q1380" i="4"/>
  <c r="Q1402" i="4"/>
  <c r="T1419" i="4"/>
  <c r="U1419" i="4" s="1"/>
  <c r="T1444" i="4"/>
  <c r="T1468" i="4"/>
  <c r="T1407" i="4"/>
  <c r="T1443" i="4"/>
  <c r="U1443" i="4" s="1"/>
  <c r="T1447" i="4"/>
  <c r="U1447" i="4" s="1"/>
  <c r="T1467" i="4"/>
  <c r="U1467" i="4" s="1"/>
  <c r="T1471" i="4"/>
  <c r="Q1362" i="4"/>
  <c r="Q1368" i="4"/>
  <c r="Q1374" i="4"/>
  <c r="T1398" i="4"/>
  <c r="U1398" i="4" s="1"/>
  <c r="T1401" i="4"/>
  <c r="U1401" i="4" s="1"/>
  <c r="Q1423" i="4"/>
  <c r="Q1326" i="4"/>
  <c r="Q1345" i="4"/>
  <c r="Q1417" i="4"/>
  <c r="Q1419" i="4"/>
  <c r="Q1421" i="4"/>
  <c r="Q1432" i="4"/>
  <c r="T1436" i="4"/>
  <c r="U1436" i="4" s="1"/>
  <c r="Q1447" i="4"/>
  <c r="Q1456" i="4"/>
  <c r="T1460" i="4"/>
  <c r="U1460" i="4" s="1"/>
  <c r="Q1471" i="4"/>
  <c r="Q1480" i="4"/>
  <c r="T1484" i="4"/>
  <c r="U1484" i="4" s="1"/>
  <c r="Q1338" i="4"/>
  <c r="Q1391" i="4"/>
  <c r="Q1415" i="4"/>
  <c r="T1437" i="4"/>
  <c r="U1437" i="4" s="1"/>
  <c r="T1441" i="4"/>
  <c r="U1441" i="4" s="1"/>
  <c r="Q1445" i="4"/>
  <c r="T1461" i="4"/>
  <c r="T1465" i="4"/>
  <c r="Q1469" i="4"/>
  <c r="T1485" i="4"/>
  <c r="U1485" i="4" s="1"/>
  <c r="T1480" i="4"/>
  <c r="Q1388" i="4"/>
  <c r="T1393" i="4"/>
  <c r="U1393" i="4" s="1"/>
  <c r="Q1401" i="4"/>
  <c r="Q1403" i="4"/>
  <c r="T1411" i="4"/>
  <c r="U1411" i="4" s="1"/>
  <c r="Q1426" i="4"/>
  <c r="T1430" i="4"/>
  <c r="U1430" i="4" s="1"/>
  <c r="Q1441" i="4"/>
  <c r="Q1450" i="4"/>
  <c r="T1454" i="4"/>
  <c r="U1454" i="4" s="1"/>
  <c r="Q1465" i="4"/>
  <c r="Q1474" i="4"/>
  <c r="T1478" i="4"/>
  <c r="U1478" i="4" s="1"/>
  <c r="Q1344" i="4"/>
  <c r="Q1373" i="4"/>
  <c r="Q1378" i="4"/>
  <c r="T1381" i="4"/>
  <c r="U1381" i="4" s="1"/>
  <c r="T1399" i="4"/>
  <c r="U1399" i="4" s="1"/>
  <c r="T1405" i="4"/>
  <c r="U1405" i="4" s="1"/>
  <c r="Q1424" i="4"/>
  <c r="T1431" i="4"/>
  <c r="T1435" i="4"/>
  <c r="Q1439" i="4"/>
  <c r="Q1448" i="4"/>
  <c r="T1455" i="4"/>
  <c r="T1459" i="4"/>
  <c r="U1459" i="4" s="1"/>
  <c r="Q1463" i="4"/>
  <c r="Q1472" i="4"/>
  <c r="T1479" i="4"/>
  <c r="T1483" i="4"/>
  <c r="Q1487" i="4"/>
  <c r="T1386" i="4"/>
  <c r="U1386" i="4" s="1"/>
  <c r="Q1418" i="4"/>
  <c r="Q1420" i="4"/>
  <c r="Q1437" i="4"/>
  <c r="Q1461" i="4"/>
  <c r="Q1485" i="4"/>
  <c r="Q1357" i="4"/>
  <c r="Q1360" i="4"/>
  <c r="Q1363" i="4"/>
  <c r="Q1366" i="4"/>
  <c r="Q1369" i="4"/>
  <c r="Q1372" i="4"/>
  <c r="Q1375" i="4"/>
  <c r="Q1412" i="4"/>
  <c r="Q1414" i="4"/>
  <c r="Q1435" i="4"/>
  <c r="Q1444" i="4"/>
  <c r="Q1459" i="4"/>
  <c r="Q1468" i="4"/>
  <c r="T1472" i="4"/>
  <c r="U1472" i="4" s="1"/>
  <c r="Q1483" i="4"/>
  <c r="T1404" i="4"/>
  <c r="U1404" i="4" s="1"/>
  <c r="T1410" i="4"/>
  <c r="U1410" i="4" s="1"/>
  <c r="T1416" i="4"/>
  <c r="U1416" i="4" s="1"/>
  <c r="T1422" i="4"/>
  <c r="U1422" i="4" s="1"/>
  <c r="T1428" i="4"/>
  <c r="U1428" i="4" s="1"/>
  <c r="T1434" i="4"/>
  <c r="U1434" i="4" s="1"/>
  <c r="T1440" i="4"/>
  <c r="U1440" i="4" s="1"/>
  <c r="T1446" i="4"/>
  <c r="U1446" i="4" s="1"/>
  <c r="T1452" i="4"/>
  <c r="U1452" i="4" s="1"/>
  <c r="T1458" i="4"/>
  <c r="U1458" i="4" s="1"/>
  <c r="T1464" i="4"/>
  <c r="U1464" i="4" s="1"/>
  <c r="T1470" i="4"/>
  <c r="U1470" i="4" s="1"/>
  <c r="T1476" i="4"/>
  <c r="U1476" i="4" s="1"/>
  <c r="T1482" i="4"/>
  <c r="U1482" i="4" s="1"/>
  <c r="T1488" i="4"/>
  <c r="U1488" i="4" s="1"/>
  <c r="Q24" i="4" l="1"/>
  <c r="T24" i="4"/>
  <c r="Q236" i="4"/>
  <c r="T18" i="4"/>
  <c r="Q18" i="4"/>
  <c r="N18" i="4"/>
  <c r="T1491" i="4"/>
  <c r="Q1491" i="4"/>
  <c r="N1491" i="4"/>
  <c r="T1490" i="4"/>
  <c r="N1490" i="4"/>
  <c r="Q1490" i="4"/>
  <c r="N1489" i="4"/>
  <c r="T1489" i="4"/>
  <c r="Q1489" i="4"/>
  <c r="T1492" i="4"/>
  <c r="N1492" i="4"/>
  <c r="Q1492" i="4"/>
  <c r="T237" i="4"/>
  <c r="U237" i="4" s="1"/>
  <c r="Q237" i="4"/>
  <c r="Q31" i="4"/>
  <c r="Q205" i="4"/>
  <c r="N95" i="4"/>
  <c r="T144" i="4"/>
  <c r="T12" i="4"/>
  <c r="Q130" i="4"/>
  <c r="Q81" i="4"/>
  <c r="Q200" i="4"/>
  <c r="Q129" i="4"/>
  <c r="N200" i="4"/>
  <c r="R200" i="4" s="1"/>
  <c r="T190" i="4"/>
  <c r="T17" i="4"/>
  <c r="T32" i="4"/>
  <c r="Q223" i="4"/>
  <c r="T124" i="4"/>
  <c r="U124" i="4" s="1"/>
  <c r="T95" i="4"/>
  <c r="Q131" i="4"/>
  <c r="Q240" i="4"/>
  <c r="Q111" i="4"/>
  <c r="N111" i="4"/>
  <c r="U111" i="4" s="1"/>
  <c r="Q88" i="4"/>
  <c r="Q124" i="4"/>
  <c r="Q162" i="4"/>
  <c r="N136" i="4"/>
  <c r="N131" i="4"/>
  <c r="U131" i="4" s="1"/>
  <c r="T223" i="4"/>
  <c r="U223" i="4" s="1"/>
  <c r="N162" i="4"/>
  <c r="R162" i="4" s="1"/>
  <c r="Q86" i="4"/>
  <c r="N219" i="4"/>
  <c r="U219" i="4" s="1"/>
  <c r="Q219" i="4"/>
  <c r="T88" i="4"/>
  <c r="U88" i="4" s="1"/>
  <c r="T105" i="4"/>
  <c r="N101" i="4"/>
  <c r="Q98" i="4"/>
  <c r="T86" i="4"/>
  <c r="U86" i="4" s="1"/>
  <c r="T101" i="4"/>
  <c r="T98" i="4"/>
  <c r="U98" i="4" s="1"/>
  <c r="Q12" i="4"/>
  <c r="T204" i="4"/>
  <c r="U204" i="4" s="1"/>
  <c r="T184" i="4"/>
  <c r="T231" i="4"/>
  <c r="U231" i="4" s="1"/>
  <c r="T136" i="4"/>
  <c r="Q204" i="4"/>
  <c r="Q231" i="4"/>
  <c r="U1163" i="4"/>
  <c r="U857" i="4"/>
  <c r="U550" i="4"/>
  <c r="Q227" i="4"/>
  <c r="T241" i="4"/>
  <c r="U241" i="4" s="1"/>
  <c r="T240" i="4"/>
  <c r="U240" i="4" s="1"/>
  <c r="Q210" i="4"/>
  <c r="T227" i="4"/>
  <c r="U227" i="4" s="1"/>
  <c r="Q54" i="4"/>
  <c r="T41" i="4"/>
  <c r="Q147" i="4"/>
  <c r="T54" i="4"/>
  <c r="Q192" i="4"/>
  <c r="Q94" i="4"/>
  <c r="N105" i="4"/>
  <c r="N210" i="4"/>
  <c r="R210" i="4" s="1"/>
  <c r="Q2" i="4"/>
  <c r="T2" i="4"/>
  <c r="T48" i="4"/>
  <c r="T149" i="4"/>
  <c r="Q48" i="4"/>
  <c r="T5" i="4"/>
  <c r="N141" i="4"/>
  <c r="T92" i="4"/>
  <c r="Q150" i="4"/>
  <c r="Q5" i="4"/>
  <c r="Q148" i="4"/>
  <c r="T22" i="4"/>
  <c r="T127" i="4"/>
  <c r="U127" i="4" s="1"/>
  <c r="T194" i="4"/>
  <c r="T109" i="4"/>
  <c r="U109" i="4" s="1"/>
  <c r="T142" i="4"/>
  <c r="Q41" i="4"/>
  <c r="T192" i="4"/>
  <c r="U192" i="4" s="1"/>
  <c r="Q161" i="4"/>
  <c r="Q36" i="4"/>
  <c r="T81" i="4"/>
  <c r="Q22" i="4"/>
  <c r="T112" i="4"/>
  <c r="N225" i="4"/>
  <c r="Q207" i="4"/>
  <c r="T28" i="4"/>
  <c r="Q214" i="4"/>
  <c r="Q109" i="4"/>
  <c r="Q32" i="4"/>
  <c r="T135" i="4"/>
  <c r="Q177" i="4"/>
  <c r="T59" i="4"/>
  <c r="T138" i="4"/>
  <c r="Q13" i="4"/>
  <c r="Q134" i="4"/>
  <c r="Q44" i="4"/>
  <c r="T74" i="4"/>
  <c r="Q74" i="4"/>
  <c r="T46" i="4"/>
  <c r="N123" i="4"/>
  <c r="R123" i="4" s="1"/>
  <c r="T7" i="4"/>
  <c r="Q35" i="4"/>
  <c r="Q17" i="4"/>
  <c r="T214" i="4"/>
  <c r="U214" i="4" s="1"/>
  <c r="N120" i="4"/>
  <c r="R120" i="4" s="1"/>
  <c r="Q34" i="4"/>
  <c r="Q178" i="4"/>
  <c r="N149" i="4"/>
  <c r="R149" i="4" s="1"/>
  <c r="Q242" i="4"/>
  <c r="T177" i="4"/>
  <c r="T13" i="4"/>
  <c r="T128" i="4"/>
  <c r="Q49" i="4"/>
  <c r="Q85" i="4"/>
  <c r="Q38" i="4"/>
  <c r="Q60" i="4"/>
  <c r="T187" i="4"/>
  <c r="Q155" i="4"/>
  <c r="T87" i="4"/>
  <c r="Q59" i="4"/>
  <c r="T49" i="4"/>
  <c r="Q222" i="4"/>
  <c r="Q211" i="4"/>
  <c r="Q187" i="4"/>
  <c r="Q138" i="4"/>
  <c r="N46" i="4"/>
  <c r="R46" i="4" s="1"/>
  <c r="N142" i="4"/>
  <c r="T151" i="4"/>
  <c r="U243" i="4"/>
  <c r="T123" i="4"/>
  <c r="T20" i="4"/>
  <c r="T183" i="4"/>
  <c r="U183" i="4" s="1"/>
  <c r="T16" i="4"/>
  <c r="T50" i="4"/>
  <c r="Q194" i="4"/>
  <c r="Q56" i="4"/>
  <c r="T60" i="4"/>
  <c r="Q118" i="4"/>
  <c r="N56" i="4"/>
  <c r="R56" i="4" s="1"/>
  <c r="Q235" i="4"/>
  <c r="Q206" i="4"/>
  <c r="T178" i="4"/>
  <c r="T146" i="4"/>
  <c r="T152" i="4"/>
  <c r="U152" i="4" s="1"/>
  <c r="T44" i="4"/>
  <c r="T139" i="4"/>
  <c r="Q7" i="4"/>
  <c r="Q127" i="4"/>
  <c r="Q91" i="4"/>
  <c r="T154" i="4"/>
  <c r="Q143" i="4"/>
  <c r="Q37" i="4"/>
  <c r="Q165" i="4"/>
  <c r="T114" i="4"/>
  <c r="N39" i="4"/>
  <c r="R39" i="4" s="1"/>
  <c r="T235" i="4"/>
  <c r="T35" i="4"/>
  <c r="Q146" i="4"/>
  <c r="Q20" i="4"/>
  <c r="Q151" i="4"/>
  <c r="Q183" i="4"/>
  <c r="T242" i="4"/>
  <c r="Q87" i="4"/>
  <c r="T145" i="4"/>
  <c r="Q158" i="4"/>
  <c r="T36" i="4"/>
  <c r="N77" i="4"/>
  <c r="R77" i="4" s="1"/>
  <c r="T39" i="4"/>
  <c r="N148" i="4"/>
  <c r="U148" i="4" s="1"/>
  <c r="T37" i="4"/>
  <c r="Q128" i="4"/>
  <c r="Q152" i="4"/>
  <c r="Q232" i="4"/>
  <c r="T232" i="4"/>
  <c r="T27" i="4"/>
  <c r="T134" i="4"/>
  <c r="T38" i="4"/>
  <c r="Q139" i="4"/>
  <c r="Q145" i="4"/>
  <c r="Q27" i="4"/>
  <c r="T222" i="4"/>
  <c r="U222" i="4" s="1"/>
  <c r="N155" i="4"/>
  <c r="R155" i="4" s="1"/>
  <c r="Q28" i="4"/>
  <c r="Q189" i="4"/>
  <c r="T189" i="4"/>
  <c r="Q16" i="4"/>
  <c r="Q135" i="4"/>
  <c r="T85" i="4"/>
  <c r="U85" i="4" s="1"/>
  <c r="T206" i="4"/>
  <c r="U206" i="4" s="1"/>
  <c r="T211" i="4"/>
  <c r="Q50" i="4"/>
  <c r="U287" i="4"/>
  <c r="R287" i="4"/>
  <c r="U249" i="4"/>
  <c r="U248" i="4"/>
  <c r="R248" i="4"/>
  <c r="U284" i="4"/>
  <c r="U275" i="4"/>
  <c r="U267" i="4"/>
  <c r="U256" i="4"/>
  <c r="U313" i="4"/>
  <c r="U274" i="4"/>
  <c r="U266" i="4"/>
  <c r="U303" i="4"/>
  <c r="U304" i="4"/>
  <c r="U282" i="4"/>
  <c r="U263" i="4"/>
  <c r="U260" i="4"/>
  <c r="R260" i="4"/>
  <c r="U280" i="4"/>
  <c r="U279" i="4"/>
  <c r="U306" i="4"/>
  <c r="U261" i="4"/>
  <c r="U273" i="4"/>
  <c r="U294" i="4"/>
  <c r="R294" i="4"/>
  <c r="U255" i="4"/>
  <c r="U296" i="4"/>
  <c r="U298" i="4"/>
  <c r="Q140" i="4"/>
  <c r="T140" i="4"/>
  <c r="U140" i="4" s="1"/>
  <c r="T77" i="4"/>
  <c r="N72" i="4"/>
  <c r="T91" i="4"/>
  <c r="U91" i="4" s="1"/>
  <c r="T21" i="4"/>
  <c r="Q21" i="4"/>
  <c r="T207" i="4"/>
  <c r="Q217" i="4"/>
  <c r="Q196" i="4"/>
  <c r="Q198" i="4"/>
  <c r="Q79" i="4"/>
  <c r="N161" i="4"/>
  <c r="U161" i="4" s="1"/>
  <c r="N198" i="4"/>
  <c r="R198" i="4" s="1"/>
  <c r="T42" i="4"/>
  <c r="Q82" i="4"/>
  <c r="T9" i="4"/>
  <c r="Q65" i="4"/>
  <c r="N168" i="4"/>
  <c r="R168" i="4" s="1"/>
  <c r="T31" i="4"/>
  <c r="T196" i="4"/>
  <c r="Q66" i="4"/>
  <c r="T168" i="4"/>
  <c r="N42" i="4"/>
  <c r="R42" i="4" s="1"/>
  <c r="Q185" i="4"/>
  <c r="T65" i="4"/>
  <c r="T82" i="4"/>
  <c r="Q229" i="4"/>
  <c r="Q47" i="4"/>
  <c r="Q184" i="4"/>
  <c r="N79" i="4"/>
  <c r="Q175" i="4"/>
  <c r="T175" i="4"/>
  <c r="U175" i="4" s="1"/>
  <c r="Q73" i="4"/>
  <c r="N185" i="4"/>
  <c r="U185" i="4" s="1"/>
  <c r="T217" i="4"/>
  <c r="U217" i="4" s="1"/>
  <c r="N233" i="4"/>
  <c r="N229" i="4"/>
  <c r="N73" i="4"/>
  <c r="R73" i="4" s="1"/>
  <c r="T66" i="4"/>
  <c r="U347" i="4"/>
  <c r="U663" i="4"/>
  <c r="T52" i="4"/>
  <c r="Q78" i="4"/>
  <c r="T69" i="4"/>
  <c r="Q75" i="4"/>
  <c r="Q173" i="4"/>
  <c r="Q14" i="4"/>
  <c r="Q193" i="4"/>
  <c r="T75" i="4"/>
  <c r="Q43" i="4"/>
  <c r="T14" i="4"/>
  <c r="Q69" i="4"/>
  <c r="T53" i="4"/>
  <c r="Q218" i="4"/>
  <c r="N47" i="4"/>
  <c r="R47" i="4" s="1"/>
  <c r="Q179" i="4"/>
  <c r="Q176" i="4"/>
  <c r="Q72" i="4"/>
  <c r="Q106" i="4"/>
  <c r="Q233" i="4"/>
  <c r="N218" i="4"/>
  <c r="R218" i="4" s="1"/>
  <c r="Q53" i="4"/>
  <c r="U694" i="4"/>
  <c r="U1068" i="4"/>
  <c r="U951" i="4"/>
  <c r="U1006" i="4"/>
  <c r="U580" i="4"/>
  <c r="U428" i="4"/>
  <c r="U1225" i="4"/>
  <c r="U1183" i="4"/>
  <c r="U972" i="4"/>
  <c r="T58" i="4"/>
  <c r="Q104" i="4"/>
  <c r="Q234" i="4"/>
  <c r="N84" i="4"/>
  <c r="R84" i="4" s="1"/>
  <c r="N209" i="4"/>
  <c r="R209" i="4" s="1"/>
  <c r="T213" i="4"/>
  <c r="U966" i="4"/>
  <c r="U602" i="4"/>
  <c r="U1104" i="4"/>
  <c r="U423" i="4"/>
  <c r="U1159" i="4"/>
  <c r="U574" i="4"/>
  <c r="U1351" i="4"/>
  <c r="U840" i="4"/>
  <c r="U374" i="4"/>
  <c r="U246" i="4"/>
  <c r="U804" i="4"/>
  <c r="U387" i="4"/>
  <c r="U1191" i="4"/>
  <c r="U1211" i="4"/>
  <c r="U676" i="4"/>
  <c r="U612" i="4"/>
  <c r="U1279" i="4"/>
  <c r="U1015" i="4"/>
  <c r="U726" i="4"/>
  <c r="U937" i="4"/>
  <c r="U1057" i="4"/>
  <c r="U662" i="4"/>
  <c r="T23" i="4"/>
  <c r="T93" i="4"/>
  <c r="Q208" i="4"/>
  <c r="T239" i="4"/>
  <c r="T133" i="4"/>
  <c r="Q133" i="4"/>
  <c r="Q113" i="4"/>
  <c r="Q29" i="4"/>
  <c r="N236" i="4"/>
  <c r="R236" i="4" s="1"/>
  <c r="T115" i="4"/>
  <c r="Q125" i="4"/>
  <c r="Q93" i="4"/>
  <c r="N125" i="4"/>
  <c r="R125" i="4" s="1"/>
  <c r="Q239" i="4"/>
  <c r="T29" i="4"/>
  <c r="Q23" i="4"/>
  <c r="Q112" i="4"/>
  <c r="N113" i="4"/>
  <c r="Q169" i="4"/>
  <c r="N171" i="4"/>
  <c r="R171" i="4" s="1"/>
  <c r="Q241" i="4"/>
  <c r="T208" i="4"/>
  <c r="T8" i="4"/>
  <c r="Q70" i="4"/>
  <c r="T171" i="4"/>
  <c r="N117" i="4"/>
  <c r="R117" i="4" s="1"/>
  <c r="T70" i="4"/>
  <c r="T78" i="4"/>
  <c r="T117" i="4"/>
  <c r="T169" i="4"/>
  <c r="Q8" i="4"/>
  <c r="T230" i="4"/>
  <c r="N108" i="4"/>
  <c r="R108" i="4" s="1"/>
  <c r="Q108" i="4"/>
  <c r="Q115" i="4"/>
  <c r="Q230" i="4"/>
  <c r="T202" i="4"/>
  <c r="Q182" i="4"/>
  <c r="T186" i="4"/>
  <c r="N83" i="4"/>
  <c r="R83" i="4" s="1"/>
  <c r="T182" i="4"/>
  <c r="T234" i="4"/>
  <c r="Q67" i="4"/>
  <c r="Q100" i="4"/>
  <c r="U424" i="4"/>
  <c r="T83" i="4"/>
  <c r="U319" i="4"/>
  <c r="Q89" i="4"/>
  <c r="Q103" i="4"/>
  <c r="Q58" i="4"/>
  <c r="U627" i="4"/>
  <c r="U1085" i="4"/>
  <c r="U742" i="4"/>
  <c r="U490" i="4"/>
  <c r="U828" i="4"/>
  <c r="U1206" i="4"/>
  <c r="U915" i="4"/>
  <c r="U1379" i="4"/>
  <c r="U1304" i="4"/>
  <c r="N97" i="4"/>
  <c r="R97" i="4" s="1"/>
  <c r="N203" i="4"/>
  <c r="R203" i="4" s="1"/>
  <c r="T209" i="4"/>
  <c r="N103" i="4"/>
  <c r="R103" i="4" s="1"/>
  <c r="T90" i="4"/>
  <c r="Q97" i="4"/>
  <c r="T203" i="4"/>
  <c r="Q202" i="4"/>
  <c r="T228" i="4"/>
  <c r="U228" i="4" s="1"/>
  <c r="Q26" i="4"/>
  <c r="Q228" i="4"/>
  <c r="T215" i="4"/>
  <c r="U332" i="4"/>
  <c r="N89" i="4"/>
  <c r="R89" i="4" s="1"/>
  <c r="N67" i="4"/>
  <c r="R67" i="4" s="1"/>
  <c r="U749" i="4"/>
  <c r="T212" i="4"/>
  <c r="N179" i="4"/>
  <c r="U331" i="4"/>
  <c r="T26" i="4"/>
  <c r="Q9" i="4"/>
  <c r="Q190" i="4"/>
  <c r="Q213" i="4"/>
  <c r="T104" i="4"/>
  <c r="T205" i="4"/>
  <c r="U205" i="4" s="1"/>
  <c r="N80" i="4"/>
  <c r="R80" i="4" s="1"/>
  <c r="T51" i="4"/>
  <c r="Q172" i="4"/>
  <c r="T121" i="4"/>
  <c r="T40" i="4"/>
  <c r="Q188" i="4"/>
  <c r="Q15" i="4"/>
  <c r="Q220" i="4"/>
  <c r="N129" i="4"/>
  <c r="U129" i="4" s="1"/>
  <c r="N119" i="4"/>
  <c r="N118" i="4"/>
  <c r="N100" i="4"/>
  <c r="N159" i="4"/>
  <c r="R159" i="4" s="1"/>
  <c r="Q132" i="4"/>
  <c r="Q154" i="4"/>
  <c r="Q141" i="4"/>
  <c r="Q92" i="4"/>
  <c r="T4" i="4"/>
  <c r="Q160" i="4"/>
  <c r="Q114" i="4"/>
  <c r="T220" i="4"/>
  <c r="U596" i="4"/>
  <c r="U762" i="4"/>
  <c r="U1181" i="4"/>
  <c r="U620" i="4"/>
  <c r="U508" i="4"/>
  <c r="U1481" i="4"/>
  <c r="U936" i="4"/>
  <c r="U1388" i="4"/>
  <c r="U625" i="4"/>
  <c r="U514" i="4"/>
  <c r="N144" i="4"/>
  <c r="T119" i="4"/>
  <c r="T159" i="4"/>
  <c r="T225" i="4"/>
  <c r="Q224" i="4"/>
  <c r="Q122" i="4"/>
  <c r="T80" i="4"/>
  <c r="T221" i="4"/>
  <c r="Q116" i="4"/>
  <c r="T158" i="4"/>
  <c r="T62" i="4"/>
  <c r="T45" i="4"/>
  <c r="T157" i="4"/>
  <c r="Q157" i="4"/>
  <c r="U744" i="4"/>
  <c r="T224" i="4"/>
  <c r="N94" i="4"/>
  <c r="U94" i="4" s="1"/>
  <c r="T130" i="4"/>
  <c r="U130" i="4" s="1"/>
  <c r="Q221" i="4"/>
  <c r="Q71" i="4"/>
  <c r="T71" i="4"/>
  <c r="N90" i="4"/>
  <c r="R90" i="4" s="1"/>
  <c r="T120" i="4"/>
  <c r="Q110" i="4"/>
  <c r="T3" i="4"/>
  <c r="T10" i="4"/>
  <c r="Q40" i="4"/>
  <c r="Q96" i="4"/>
  <c r="Q186" i="4"/>
  <c r="Q51" i="4"/>
  <c r="T96" i="4"/>
  <c r="Q137" i="4"/>
  <c r="N215" i="4"/>
  <c r="N212" i="4"/>
  <c r="N126" i="4"/>
  <c r="R126" i="4" s="1"/>
  <c r="T188" i="4"/>
  <c r="T25" i="4"/>
  <c r="Q10" i="4"/>
  <c r="Q4" i="4"/>
  <c r="Q107" i="4"/>
  <c r="T150" i="4"/>
  <c r="U150" i="4" s="1"/>
  <c r="Q121" i="4"/>
  <c r="U773" i="4"/>
  <c r="N102" i="4"/>
  <c r="R102" i="4" s="1"/>
  <c r="N165" i="4"/>
  <c r="N160" i="4"/>
  <c r="T180" i="4"/>
  <c r="N191" i="4"/>
  <c r="N30" i="4"/>
  <c r="T126" i="4"/>
  <c r="Q30" i="4"/>
  <c r="T15" i="4"/>
  <c r="T11" i="4"/>
  <c r="T132" i="4"/>
  <c r="T102" i="4"/>
  <c r="N197" i="4"/>
  <c r="U301" i="4"/>
  <c r="N147" i="4"/>
  <c r="U147" i="4" s="1"/>
  <c r="N143" i="4"/>
  <c r="U143" i="4" s="1"/>
  <c r="U252" i="4"/>
  <c r="T191" i="4"/>
  <c r="T172" i="4"/>
  <c r="T116" i="4"/>
  <c r="T122" i="4"/>
  <c r="Q197" i="4"/>
  <c r="Q3" i="4"/>
  <c r="Q25" i="4"/>
  <c r="U308" i="4"/>
  <c r="N137" i="4"/>
  <c r="U350" i="4"/>
  <c r="N107" i="4"/>
  <c r="R107" i="4" s="1"/>
  <c r="T34" i="4"/>
  <c r="Q11" i="4"/>
  <c r="U1239" i="4"/>
  <c r="N180" i="4"/>
  <c r="R180" i="4" s="1"/>
  <c r="T110" i="4"/>
  <c r="Q62" i="4"/>
  <c r="Q45" i="4"/>
  <c r="Q164" i="4"/>
  <c r="T156" i="4"/>
  <c r="T63" i="4"/>
  <c r="Q216" i="4"/>
  <c r="Q167" i="4"/>
  <c r="N57" i="4"/>
  <c r="R57" i="4" s="1"/>
  <c r="T68" i="4"/>
  <c r="Q195" i="4"/>
  <c r="Q63" i="4"/>
  <c r="Q181" i="4"/>
  <c r="U1236" i="4"/>
  <c r="U998" i="4"/>
  <c r="U669" i="4"/>
  <c r="U1414" i="4"/>
  <c r="U889" i="4"/>
  <c r="U1384" i="4"/>
  <c r="U1199" i="4"/>
  <c r="U632" i="4"/>
  <c r="T6" i="4"/>
  <c r="Q199" i="4"/>
  <c r="Q226" i="4"/>
  <c r="Q61" i="4"/>
  <c r="T57" i="4"/>
  <c r="T193" i="4"/>
  <c r="T181" i="4"/>
  <c r="N199" i="4"/>
  <c r="R199" i="4" s="1"/>
  <c r="T195" i="4"/>
  <c r="T238" i="4"/>
  <c r="Q99" i="4"/>
  <c r="Q76" i="4"/>
  <c r="Q163" i="4"/>
  <c r="Q174" i="4"/>
  <c r="N174" i="4"/>
  <c r="R174" i="4" s="1"/>
  <c r="N6" i="4"/>
  <c r="R6" i="4" s="1"/>
  <c r="Q19" i="4"/>
  <c r="T99" i="4"/>
  <c r="T55" i="4"/>
  <c r="T33" i="4"/>
  <c r="Q52" i="4"/>
  <c r="T106" i="4"/>
  <c r="N167" i="4"/>
  <c r="R167" i="4" s="1"/>
  <c r="N173" i="4"/>
  <c r="R173" i="4" s="1"/>
  <c r="T43" i="4"/>
  <c r="T76" i="4"/>
  <c r="U1180" i="4"/>
  <c r="U1261" i="4"/>
  <c r="U666" i="4"/>
  <c r="U586" i="4"/>
  <c r="U478" i="4"/>
  <c r="N61" i="4"/>
  <c r="Q153" i="4"/>
  <c r="T226" i="4"/>
  <c r="T64" i="4"/>
  <c r="Q238" i="4"/>
  <c r="T19" i="4"/>
  <c r="Q68" i="4"/>
  <c r="U460" i="4"/>
  <c r="U1039" i="4"/>
  <c r="N166" i="4"/>
  <c r="T84" i="4"/>
  <c r="Q64" i="4"/>
  <c r="Q55" i="4"/>
  <c r="U470" i="4"/>
  <c r="U624" i="4"/>
  <c r="U710" i="4"/>
  <c r="U417" i="4"/>
  <c r="U721" i="4"/>
  <c r="N176" i="4"/>
  <c r="R176" i="4" s="1"/>
  <c r="T166" i="4"/>
  <c r="Q170" i="4"/>
  <c r="Q33" i="4"/>
  <c r="Q156" i="4"/>
  <c r="N153" i="4"/>
  <c r="R153" i="4" s="1"/>
  <c r="T164" i="4"/>
  <c r="T170" i="4"/>
  <c r="T163" i="4"/>
  <c r="T216" i="4"/>
  <c r="U484" i="4"/>
  <c r="U786" i="4"/>
  <c r="U1125" i="4"/>
  <c r="U887" i="4"/>
  <c r="U644" i="4"/>
  <c r="U1421" i="4"/>
  <c r="U544" i="4"/>
  <c r="U1457" i="4"/>
  <c r="U1146" i="4"/>
  <c r="U717" i="4"/>
  <c r="U1321" i="4"/>
  <c r="U960" i="4"/>
  <c r="U1182" i="4"/>
  <c r="U418" i="4"/>
  <c r="U1145" i="4"/>
  <c r="U722" i="4"/>
  <c r="U822" i="4"/>
  <c r="U1213" i="4"/>
  <c r="U1293" i="4"/>
  <c r="U1033" i="4"/>
  <c r="U940" i="4"/>
  <c r="U1152" i="4"/>
  <c r="U568" i="4"/>
  <c r="U454" i="4"/>
  <c r="U265" i="4"/>
  <c r="U646" i="4"/>
  <c r="U633" i="4"/>
  <c r="U526" i="4"/>
  <c r="U875" i="4"/>
  <c r="U957" i="4"/>
  <c r="U1326" i="4"/>
  <c r="U1230" i="4"/>
  <c r="U1140" i="4"/>
  <c r="U259" i="4"/>
  <c r="U735" i="4"/>
  <c r="U903" i="4"/>
  <c r="U738" i="4"/>
  <c r="U381" i="4"/>
  <c r="U634" i="4"/>
  <c r="U672" i="4"/>
  <c r="U430" i="4"/>
  <c r="U323" i="4"/>
  <c r="U1171" i="4"/>
  <c r="U1097" i="4"/>
  <c r="U924" i="4"/>
  <c r="U686" i="4"/>
  <c r="U1237" i="4"/>
  <c r="U502" i="4"/>
  <c r="U1402" i="4"/>
  <c r="U743" i="4"/>
  <c r="U413" i="4"/>
  <c r="U1283" i="4"/>
  <c r="U405" i="4"/>
  <c r="U1347" i="4"/>
  <c r="U1157" i="4"/>
  <c r="U1081" i="4"/>
  <c r="U597" i="4"/>
  <c r="U496" i="4"/>
  <c r="U648" i="4"/>
  <c r="U736" i="4"/>
  <c r="U1169" i="4"/>
  <c r="U354" i="4"/>
  <c r="U1027" i="4"/>
  <c r="U681" i="4"/>
  <c r="U476" i="4"/>
  <c r="U664" i="4"/>
  <c r="U640" i="4"/>
  <c r="U556" i="4"/>
  <c r="U440" i="4"/>
  <c r="U1463" i="4"/>
  <c r="U850" i="4"/>
  <c r="U532" i="4"/>
  <c r="U356" i="4"/>
  <c r="U375" i="4"/>
  <c r="U1194" i="4"/>
  <c r="U1103" i="4"/>
  <c r="U766" i="4"/>
  <c r="U429" i="4"/>
  <c r="U785" i="4"/>
  <c r="U1305" i="4"/>
  <c r="U1287" i="4"/>
  <c r="U1045" i="4"/>
  <c r="U693" i="4"/>
  <c r="U254" i="4"/>
  <c r="U963" i="4"/>
  <c r="U670" i="4"/>
  <c r="U538" i="4"/>
  <c r="U899" i="4"/>
  <c r="U1373" i="4"/>
  <c r="U630" i="4"/>
  <c r="U520" i="4"/>
  <c r="U706" i="4"/>
  <c r="U1369" i="4"/>
  <c r="U318" i="4"/>
  <c r="U1209" i="4"/>
  <c r="U1272" i="4"/>
  <c r="U1245" i="4"/>
  <c r="U891" i="4"/>
  <c r="U680" i="4"/>
  <c r="U1051" i="4"/>
  <c r="U1219" i="4"/>
  <c r="U379" i="4"/>
  <c r="U1352" i="4"/>
  <c r="U1143" i="4"/>
  <c r="U978" i="4"/>
  <c r="U705" i="4"/>
  <c r="U466" i="4"/>
  <c r="U1356" i="4"/>
  <c r="U716" i="4"/>
  <c r="U668" i="4"/>
  <c r="U867" i="4"/>
  <c r="U701" i="4"/>
  <c r="U1316" i="4"/>
  <c r="U1135" i="4"/>
  <c r="U346" i="4"/>
  <c r="U1092" i="4"/>
  <c r="U608" i="4"/>
  <c r="U1383" i="4"/>
  <c r="U1292" i="4"/>
  <c r="U1354" i="4"/>
  <c r="U1273" i="4"/>
  <c r="U1451" i="4"/>
  <c r="U810" i="4"/>
  <c r="U1391" i="4"/>
  <c r="U1267" i="4"/>
  <c r="U452" i="4"/>
  <c r="U1311" i="4"/>
  <c r="U349" i="4"/>
  <c r="U307" i="4"/>
  <c r="U326" i="4"/>
  <c r="U1164" i="4"/>
  <c r="U1003" i="4"/>
  <c r="U1249" i="4"/>
  <c r="U1359" i="4"/>
  <c r="U1255" i="4"/>
  <c r="U747" i="4"/>
  <c r="U436" i="4"/>
  <c r="U410" i="4"/>
  <c r="U1403" i="4"/>
  <c r="U658" i="4"/>
  <c r="U1221" i="4"/>
  <c r="U411" i="4"/>
  <c r="U366" i="4"/>
  <c r="U1120" i="4"/>
  <c r="U852" i="4"/>
  <c r="U895" i="4"/>
  <c r="U1433" i="4"/>
  <c r="U1217" i="4"/>
  <c r="U984" i="4"/>
  <c r="U704" i="4"/>
  <c r="U562" i="4"/>
  <c r="U1203" i="4"/>
  <c r="U928" i="4"/>
  <c r="U754" i="4"/>
  <c r="U692" i="4"/>
  <c r="U863" i="4"/>
  <c r="U774" i="4"/>
  <c r="U1177" i="4"/>
  <c r="U1112" i="4"/>
  <c r="U711" i="4"/>
  <c r="U1105" i="4"/>
  <c r="U1409" i="4"/>
  <c r="U1269" i="4"/>
  <c r="U1361" i="4"/>
  <c r="U407" i="4"/>
  <c r="U869" i="4"/>
  <c r="U638" i="4"/>
  <c r="U1389" i="4"/>
  <c r="U1365" i="4"/>
  <c r="U324" i="4"/>
  <c r="U834" i="4"/>
  <c r="U399" i="4"/>
  <c r="U1218" i="4"/>
  <c r="U1195" i="4"/>
  <c r="U913" i="4"/>
  <c r="U652" i="4"/>
  <c r="U1201" i="4"/>
  <c r="U925" i="4"/>
  <c r="U1377" i="4"/>
  <c r="U1291" i="4"/>
  <c r="U369" i="4"/>
  <c r="U373" i="4"/>
  <c r="U1281" i="4"/>
  <c r="U745" i="4"/>
  <c r="U879" i="4"/>
  <c r="U1004" i="4"/>
  <c r="U1010" i="4"/>
  <c r="U816" i="4"/>
  <c r="U739" i="4"/>
  <c r="U892" i="4"/>
  <c r="U1109" i="4"/>
  <c r="U442" i="4"/>
  <c r="U1375" i="4"/>
  <c r="U977" i="4"/>
  <c r="U1058" i="4"/>
  <c r="U1263" i="4"/>
  <c r="U1340" i="4"/>
  <c r="U707" i="4"/>
  <c r="U278" i="4"/>
  <c r="U437" i="4"/>
  <c r="U393" i="4"/>
  <c r="U1115" i="4"/>
  <c r="U1088" i="4"/>
  <c r="U695" i="4"/>
  <c r="U687" i="4"/>
  <c r="U656" i="4"/>
  <c r="U798" i="4"/>
  <c r="U1231" i="4"/>
  <c r="U365" i="4"/>
  <c r="U342" i="4"/>
  <c r="U1189" i="4"/>
  <c r="U1427" i="4"/>
  <c r="U1335" i="4"/>
  <c r="U700" i="4"/>
  <c r="U1168" i="4"/>
  <c r="U390" i="4"/>
  <c r="U1257" i="4"/>
  <c r="U1069" i="4"/>
  <c r="U654" i="4"/>
  <c r="U1324" i="4"/>
  <c r="U269" i="4"/>
  <c r="U1371" i="4"/>
  <c r="U1299" i="4"/>
  <c r="U1021" i="4"/>
  <c r="U1334" i="4"/>
  <c r="U1439" i="4"/>
  <c r="U1487" i="4"/>
  <c r="U1200" i="4"/>
  <c r="U1243" i="4"/>
  <c r="U448" i="4"/>
  <c r="U1207" i="4"/>
  <c r="U797" i="4"/>
  <c r="U1322" i="4"/>
  <c r="U592" i="4"/>
  <c r="U1333" i="4"/>
  <c r="U993" i="4"/>
  <c r="U1205" i="4"/>
  <c r="U699" i="4"/>
  <c r="U1253" i="4"/>
  <c r="U682" i="4"/>
  <c r="U1342" i="4"/>
  <c r="U751" i="4"/>
  <c r="U731" i="4"/>
  <c r="U755" i="4"/>
  <c r="U674" i="4"/>
  <c r="U351" i="4"/>
  <c r="U1367" i="4"/>
  <c r="U1127" i="4"/>
  <c r="U1151" i="4"/>
  <c r="U270" i="4"/>
  <c r="U425" i="4"/>
  <c r="U361" i="4"/>
  <c r="U409" i="4"/>
  <c r="U271" i="4"/>
  <c r="U1091" i="4"/>
  <c r="U1317" i="4"/>
  <c r="U954" i="4"/>
  <c r="U1475" i="4"/>
  <c r="U780" i="4"/>
  <c r="U1080" i="4"/>
  <c r="U1285" i="4"/>
  <c r="U767" i="4"/>
  <c r="U337" i="4"/>
  <c r="U335" i="4"/>
  <c r="U855" i="4"/>
  <c r="U397" i="4"/>
  <c r="R237" i="4"/>
  <c r="R232" i="4"/>
  <c r="R11" i="4"/>
  <c r="R213" i="4"/>
  <c r="R51" i="4"/>
  <c r="R122" i="4"/>
  <c r="R59" i="4"/>
  <c r="R216" i="4"/>
  <c r="R224" i="4"/>
  <c r="R220" i="4"/>
  <c r="R111" i="4"/>
  <c r="R44" i="4"/>
  <c r="R63" i="4"/>
  <c r="R105" i="4"/>
  <c r="R13" i="4"/>
  <c r="R124" i="4"/>
  <c r="R101" i="4"/>
  <c r="R95" i="4"/>
  <c r="R150" i="4"/>
  <c r="R78" i="4"/>
  <c r="R219" i="4"/>
  <c r="R141" i="4"/>
  <c r="R114" i="4"/>
  <c r="R142" i="4"/>
  <c r="R154" i="4"/>
  <c r="R187" i="4"/>
  <c r="R233" i="4"/>
  <c r="R35" i="4"/>
  <c r="R214" i="4"/>
  <c r="R130" i="4"/>
  <c r="R161" i="4"/>
  <c r="R136" i="4"/>
  <c r="R143" i="4"/>
  <c r="R34" i="4"/>
  <c r="R131" i="4"/>
  <c r="R235" i="4"/>
  <c r="R96" i="4"/>
  <c r="R20" i="4"/>
  <c r="R192" i="4"/>
  <c r="U24" i="4"/>
  <c r="U201" i="4"/>
  <c r="U1455" i="4"/>
  <c r="U1471" i="4"/>
  <c r="U1468" i="4"/>
  <c r="U1474" i="4"/>
  <c r="U1426" i="4"/>
  <c r="U1226" i="4"/>
  <c r="U1155" i="4"/>
  <c r="U1160" i="4"/>
  <c r="U1142" i="4"/>
  <c r="U1119" i="4"/>
  <c r="U1121" i="4"/>
  <c r="U1038" i="4"/>
  <c r="U1047" i="4"/>
  <c r="U945" i="4"/>
  <c r="U1061" i="4"/>
  <c r="U975" i="4"/>
  <c r="U775" i="4"/>
  <c r="U838" i="4"/>
  <c r="U790" i="4"/>
  <c r="U793" i="4"/>
  <c r="U974" i="4"/>
  <c r="U833" i="4"/>
  <c r="U835" i="4"/>
  <c r="U750" i="4"/>
  <c r="U769" i="4"/>
  <c r="U732" i="4"/>
  <c r="U823" i="4"/>
  <c r="U599" i="4"/>
  <c r="U756" i="4"/>
  <c r="U462" i="4"/>
  <c r="U441" i="4"/>
  <c r="U408" i="4"/>
  <c r="U619" i="4"/>
  <c r="U446" i="4"/>
  <c r="U293" i="4"/>
  <c r="U281" i="4"/>
  <c r="U244" i="4"/>
  <c r="U336" i="4"/>
  <c r="U1306" i="4"/>
  <c r="U1477" i="4"/>
  <c r="U1260" i="4"/>
  <c r="U1196" i="4"/>
  <c r="U1190" i="4"/>
  <c r="U1256" i="4"/>
  <c r="U1093" i="4"/>
  <c r="U1022" i="4"/>
  <c r="U1011" i="4"/>
  <c r="U986" i="4"/>
  <c r="U723" i="4"/>
  <c r="U570" i="4"/>
  <c r="U552" i="4"/>
  <c r="U534" i="4"/>
  <c r="U516" i="4"/>
  <c r="U498" i="4"/>
  <c r="U421" i="4"/>
  <c r="U396" i="4"/>
  <c r="U305" i="4"/>
  <c r="U334" i="4"/>
  <c r="U1444" i="4"/>
  <c r="U1303" i="4"/>
  <c r="U1380" i="4"/>
  <c r="U1456" i="4"/>
  <c r="U1274" i="4"/>
  <c r="U1238" i="4"/>
  <c r="U1246" i="4"/>
  <c r="U1241" i="4"/>
  <c r="U1270" i="4"/>
  <c r="U1161" i="4"/>
  <c r="U1186" i="4"/>
  <c r="U999" i="4"/>
  <c r="U1008" i="4"/>
  <c r="U970" i="4"/>
  <c r="U997" i="4"/>
  <c r="U988" i="4"/>
  <c r="U1041" i="4"/>
  <c r="U1117" i="4"/>
  <c r="U968" i="4"/>
  <c r="U1048" i="4"/>
  <c r="U832" i="4"/>
  <c r="U778" i="4"/>
  <c r="U856" i="4"/>
  <c r="U987" i="4"/>
  <c r="U880" i="4"/>
  <c r="U772" i="4"/>
  <c r="U904" i="4"/>
  <c r="U830" i="4"/>
  <c r="U809" i="4"/>
  <c r="U642" i="4"/>
  <c r="U811" i="4"/>
  <c r="U729" i="4"/>
  <c r="U753" i="4"/>
  <c r="U671" i="4"/>
  <c r="U567" i="4"/>
  <c r="U549" i="4"/>
  <c r="U531" i="4"/>
  <c r="U513" i="4"/>
  <c r="U495" i="4"/>
  <c r="U698" i="4"/>
  <c r="U712" i="4"/>
  <c r="U465" i="4"/>
  <c r="U709" i="4"/>
  <c r="U517" i="4"/>
  <c r="U403" i="4"/>
  <c r="U559" i="4"/>
  <c r="U565" i="4"/>
  <c r="U382" i="4"/>
  <c r="U268" i="4"/>
  <c r="U251" i="4"/>
  <c r="U314" i="4"/>
  <c r="U1462" i="4"/>
  <c r="U1358" i="4"/>
  <c r="U1223" i="4"/>
  <c r="U1277" i="4"/>
  <c r="U1063" i="4"/>
  <c r="U776" i="4"/>
  <c r="U253" i="4"/>
  <c r="U353" i="4"/>
  <c r="U1435" i="4"/>
  <c r="U1465" i="4"/>
  <c r="U1294" i="4"/>
  <c r="U1029" i="4"/>
  <c r="U962" i="4"/>
  <c r="U919" i="4"/>
  <c r="U853" i="4"/>
  <c r="U824" i="4"/>
  <c r="U829" i="4"/>
  <c r="U708" i="4"/>
  <c r="U1016" i="4"/>
  <c r="U480" i="4"/>
  <c r="U667" i="4"/>
  <c r="U438" i="4"/>
  <c r="U499" i="4"/>
  <c r="U419" i="4"/>
  <c r="U541" i="4"/>
  <c r="U547" i="4"/>
  <c r="U1483" i="4"/>
  <c r="U1479" i="4"/>
  <c r="U1431" i="4"/>
  <c r="U1461" i="4"/>
  <c r="U1429" i="4"/>
  <c r="U1448" i="4"/>
  <c r="U1450" i="4"/>
  <c r="U1330" i="4"/>
  <c r="U1348" i="4"/>
  <c r="U1432" i="4"/>
  <c r="U1248" i="4"/>
  <c r="U1276" i="4"/>
  <c r="U1265" i="4"/>
  <c r="U1264" i="4"/>
  <c r="U1154" i="4"/>
  <c r="U1178" i="4"/>
  <c r="U1026" i="4"/>
  <c r="U1032" i="4"/>
  <c r="U1131" i="4"/>
  <c r="U1084" i="4"/>
  <c r="U1044" i="4"/>
  <c r="U976" i="4"/>
  <c r="U910" i="4"/>
  <c r="U905" i="4"/>
  <c r="U826" i="4"/>
  <c r="U844" i="4"/>
  <c r="U884" i="4"/>
  <c r="U720" i="4"/>
  <c r="U806" i="4"/>
  <c r="U839" i="4"/>
  <c r="U702" i="4"/>
  <c r="U607" i="4"/>
  <c r="U564" i="4"/>
  <c r="U546" i="4"/>
  <c r="U528" i="4"/>
  <c r="U510" i="4"/>
  <c r="U492" i="4"/>
  <c r="U655" i="4"/>
  <c r="U606" i="4"/>
  <c r="U464" i="4"/>
  <c r="U385" i="4"/>
  <c r="U377" i="4"/>
  <c r="U402" i="4"/>
  <c r="U352" i="4"/>
  <c r="U300" i="4"/>
  <c r="U1235" i="4"/>
  <c r="U1133" i="4"/>
  <c r="U1357" i="4"/>
  <c r="U1424" i="4"/>
  <c r="U1252" i="4"/>
  <c r="U1023" i="4"/>
  <c r="U781" i="4"/>
  <c r="U878" i="4"/>
  <c r="U595" i="4"/>
  <c r="U339" i="4"/>
  <c r="U292" i="4"/>
  <c r="U1407" i="4"/>
  <c r="U1297" i="4"/>
  <c r="U1415" i="4"/>
  <c r="U1364" i="4"/>
  <c r="U1123" i="4"/>
  <c r="U1175" i="4"/>
  <c r="U1158" i="4"/>
  <c r="U1060" i="4"/>
  <c r="U1025" i="4"/>
  <c r="U1079" i="4"/>
  <c r="U982" i="4"/>
  <c r="U787" i="4"/>
  <c r="U820" i="4"/>
  <c r="U916" i="4"/>
  <c r="U812" i="4"/>
  <c r="U796" i="4"/>
  <c r="U815" i="4"/>
  <c r="U734" i="4"/>
  <c r="U845" i="4"/>
  <c r="U727" i="4"/>
  <c r="U471" i="4"/>
  <c r="U661" i="4"/>
  <c r="U591" i="4"/>
  <c r="U456" i="4"/>
  <c r="U571" i="4"/>
  <c r="U505" i="4"/>
  <c r="U511" i="4"/>
  <c r="U286" i="4"/>
  <c r="U1480" i="4"/>
  <c r="U1395" i="4"/>
  <c r="U1338" i="4"/>
  <c r="U1396" i="4"/>
  <c r="U1486" i="4"/>
  <c r="U1438" i="4"/>
  <c r="U1229" i="4"/>
  <c r="U1193" i="4"/>
  <c r="U1162" i="4"/>
  <c r="U1139" i="4"/>
  <c r="U1014" i="4"/>
  <c r="U1144" i="4"/>
  <c r="U1002" i="4"/>
  <c r="U848" i="4"/>
  <c r="U1072" i="4"/>
  <c r="U911" i="4"/>
  <c r="U684" i="4"/>
  <c r="U601" i="4"/>
  <c r="U610" i="4"/>
  <c r="U401" i="4"/>
  <c r="U372" i="4"/>
  <c r="U264" i="4"/>
  <c r="U333" i="4"/>
  <c r="U250" i="4"/>
  <c r="U283" i="4"/>
  <c r="U378" i="4"/>
  <c r="U74" i="4" l="1"/>
  <c r="U81" i="4"/>
  <c r="U72" i="4"/>
  <c r="U31" i="4"/>
  <c r="R1489" i="4"/>
  <c r="U1489" i="4"/>
  <c r="R1490" i="4"/>
  <c r="U1490" i="4"/>
  <c r="R1491" i="4"/>
  <c r="U1491" i="4"/>
  <c r="R18" i="4"/>
  <c r="U18" i="4"/>
  <c r="U1492" i="4"/>
  <c r="R1492" i="4"/>
  <c r="U56" i="4"/>
  <c r="U60" i="4"/>
  <c r="U48" i="4"/>
  <c r="U54" i="4"/>
  <c r="U41" i="4"/>
  <c r="U144" i="4"/>
  <c r="U190" i="4"/>
  <c r="U95" i="4"/>
  <c r="U12" i="4"/>
  <c r="U17" i="4"/>
  <c r="U35" i="4"/>
  <c r="U200" i="4"/>
  <c r="U105" i="4"/>
  <c r="U136" i="4"/>
  <c r="U38" i="4"/>
  <c r="U32" i="4"/>
  <c r="U101" i="4"/>
  <c r="U210" i="4"/>
  <c r="U162" i="4"/>
  <c r="U36" i="4"/>
  <c r="U5" i="4"/>
  <c r="U184" i="4"/>
  <c r="U142" i="4"/>
  <c r="U46" i="4"/>
  <c r="U14" i="4"/>
  <c r="U92" i="4"/>
  <c r="U141" i="4"/>
  <c r="U166" i="4"/>
  <c r="U2" i="4"/>
  <c r="U239" i="4"/>
  <c r="U44" i="4"/>
  <c r="U83" i="4"/>
  <c r="U171" i="4"/>
  <c r="U59" i="4"/>
  <c r="U242" i="4"/>
  <c r="U121" i="4"/>
  <c r="U22" i="4"/>
  <c r="U149" i="4"/>
  <c r="U225" i="4"/>
  <c r="U82" i="4"/>
  <c r="U233" i="4"/>
  <c r="U189" i="4"/>
  <c r="U178" i="4"/>
  <c r="R225" i="4"/>
  <c r="U116" i="4"/>
  <c r="U87" i="4"/>
  <c r="U77" i="4"/>
  <c r="U154" i="4"/>
  <c r="U107" i="4"/>
  <c r="U135" i="4"/>
  <c r="U236" i="4"/>
  <c r="U177" i="4"/>
  <c r="U53" i="4"/>
  <c r="U79" i="4"/>
  <c r="U71" i="4"/>
  <c r="U134" i="4"/>
  <c r="U34" i="4"/>
  <c r="U172" i="4"/>
  <c r="U104" i="4"/>
  <c r="U112" i="4"/>
  <c r="U168" i="4"/>
  <c r="U28" i="4"/>
  <c r="U20" i="4"/>
  <c r="U194" i="4"/>
  <c r="U187" i="4"/>
  <c r="U49" i="4"/>
  <c r="U7" i="4"/>
  <c r="U138" i="4"/>
  <c r="U114" i="4"/>
  <c r="U196" i="4"/>
  <c r="U146" i="4"/>
  <c r="U139" i="4"/>
  <c r="U50" i="4"/>
  <c r="U211" i="4"/>
  <c r="U128" i="4"/>
  <c r="U208" i="4"/>
  <c r="U69" i="4"/>
  <c r="U13" i="4"/>
  <c r="U120" i="4"/>
  <c r="U26" i="4"/>
  <c r="U207" i="4"/>
  <c r="U27" i="4"/>
  <c r="U16" i="4"/>
  <c r="U15" i="4"/>
  <c r="U21" i="4"/>
  <c r="U221" i="4"/>
  <c r="U39" i="4"/>
  <c r="U66" i="4"/>
  <c r="U123" i="4"/>
  <c r="U155" i="4"/>
  <c r="R79" i="4"/>
  <c r="U191" i="4"/>
  <c r="U145" i="4"/>
  <c r="U37" i="4"/>
  <c r="U235" i="4"/>
  <c r="U179" i="4"/>
  <c r="R185" i="4"/>
  <c r="R148" i="4"/>
  <c r="U117" i="4"/>
  <c r="U229" i="4"/>
  <c r="U151" i="4"/>
  <c r="U51" i="4"/>
  <c r="U193" i="4"/>
  <c r="U65" i="4"/>
  <c r="U232" i="4"/>
  <c r="U181" i="4"/>
  <c r="U42" i="4"/>
  <c r="U9" i="4"/>
  <c r="U58" i="4"/>
  <c r="U23" i="4"/>
  <c r="U75" i="4"/>
  <c r="U73" i="4"/>
  <c r="U198" i="4"/>
  <c r="U218" i="4"/>
  <c r="U158" i="4"/>
  <c r="R72" i="4"/>
  <c r="R229" i="4"/>
  <c r="U96" i="4"/>
  <c r="U165" i="4"/>
  <c r="U173" i="4"/>
  <c r="U216" i="4"/>
  <c r="U19" i="4"/>
  <c r="U30" i="4"/>
  <c r="U118" i="4"/>
  <c r="U174" i="4"/>
  <c r="U100" i="4"/>
  <c r="U47" i="4"/>
  <c r="U52" i="4"/>
  <c r="U213" i="4"/>
  <c r="U209" i="4"/>
  <c r="U186" i="4"/>
  <c r="U156" i="4"/>
  <c r="U84" i="4"/>
  <c r="U61" i="4"/>
  <c r="U68" i="4"/>
  <c r="U103" i="4"/>
  <c r="U78" i="4"/>
  <c r="R191" i="4"/>
  <c r="U4" i="4"/>
  <c r="U202" i="4"/>
  <c r="U122" i="4"/>
  <c r="U11" i="4"/>
  <c r="U113" i="4"/>
  <c r="U215" i="4"/>
  <c r="U43" i="4"/>
  <c r="U108" i="4"/>
  <c r="U226" i="4"/>
  <c r="U29" i="4"/>
  <c r="U106" i="4"/>
  <c r="U62" i="4"/>
  <c r="U188" i="4"/>
  <c r="U195" i="4"/>
  <c r="R215" i="4"/>
  <c r="U137" i="4"/>
  <c r="U234" i="4"/>
  <c r="U110" i="4"/>
  <c r="R137" i="4"/>
  <c r="U167" i="4"/>
  <c r="R113" i="4"/>
  <c r="U164" i="4"/>
  <c r="U125" i="4"/>
  <c r="U182" i="4"/>
  <c r="R94" i="4"/>
  <c r="R100" i="4"/>
  <c r="U153" i="4"/>
  <c r="U25" i="4"/>
  <c r="U220" i="4"/>
  <c r="U133" i="4"/>
  <c r="U170" i="4"/>
  <c r="U40" i="4"/>
  <c r="U199" i="4"/>
  <c r="U97" i="4"/>
  <c r="U203" i="4"/>
  <c r="U224" i="4"/>
  <c r="U230" i="4"/>
  <c r="U70" i="4"/>
  <c r="U93" i="4"/>
  <c r="U67" i="4"/>
  <c r="U8" i="4"/>
  <c r="U180" i="4"/>
  <c r="U10" i="4"/>
  <c r="U159" i="4"/>
  <c r="U169" i="4"/>
  <c r="U115" i="4"/>
  <c r="U99" i="4"/>
  <c r="U63" i="4"/>
  <c r="U160" i="4"/>
  <c r="U90" i="4"/>
  <c r="U238" i="4"/>
  <c r="U197" i="4"/>
  <c r="U157" i="4"/>
  <c r="U55" i="4"/>
  <c r="R147" i="4"/>
  <c r="U76" i="4"/>
  <c r="U89" i="4"/>
  <c r="R179" i="4"/>
  <c r="U80" i="4"/>
  <c r="U33" i="4"/>
  <c r="U3" i="4"/>
  <c r="U119" i="4"/>
  <c r="U45" i="4"/>
  <c r="R118" i="4"/>
  <c r="U132" i="4"/>
  <c r="R30" i="4"/>
  <c r="U163" i="4"/>
  <c r="R212" i="4"/>
  <c r="U212" i="4"/>
  <c r="R61" i="4"/>
  <c r="R165" i="4"/>
  <c r="R197" i="4"/>
  <c r="R119" i="4"/>
  <c r="R144" i="4"/>
  <c r="U126" i="4"/>
  <c r="U102" i="4"/>
  <c r="R129" i="4"/>
  <c r="R166" i="4"/>
  <c r="R160" i="4"/>
  <c r="U6" i="4"/>
  <c r="U176" i="4"/>
  <c r="U64" i="4"/>
  <c r="U57" i="4"/>
</calcChain>
</file>

<file path=xl/sharedStrings.xml><?xml version="1.0" encoding="utf-8"?>
<sst xmlns="http://schemas.openxmlformats.org/spreadsheetml/2006/main" count="1121" uniqueCount="306">
  <si>
    <t>Rut</t>
  </si>
  <si>
    <t>Nombre completo</t>
  </si>
  <si>
    <t>Supervisor</t>
  </si>
  <si>
    <t>Equipo</t>
  </si>
  <si>
    <t>Cargo</t>
  </si>
  <si>
    <t>Fecha ingreso</t>
  </si>
  <si>
    <t>Jornada</t>
  </si>
  <si>
    <t>Estado</t>
  </si>
  <si>
    <t>Correo</t>
  </si>
  <si>
    <t>Teléfono</t>
  </si>
  <si>
    <t>Observaciones</t>
  </si>
  <si>
    <t>26612947-5</t>
  </si>
  <si>
    <t>ALEJANDRA CHACON</t>
  </si>
  <si>
    <t>LUZ GARCIA</t>
  </si>
  <si>
    <t>Equipo A</t>
  </si>
  <si>
    <t xml:space="preserve">Ejecutivo </t>
  </si>
  <si>
    <t>Full time</t>
  </si>
  <si>
    <t>Activo</t>
  </si>
  <si>
    <t>13093458-7</t>
  </si>
  <si>
    <t>ALEJANDRA ORELLANA</t>
  </si>
  <si>
    <t>13336644-k</t>
  </si>
  <si>
    <t>ANA ASTORGA</t>
  </si>
  <si>
    <t>18/03/2026</t>
  </si>
  <si>
    <t>19060841-7</t>
  </si>
  <si>
    <t>ATALY GARCIA</t>
  </si>
  <si>
    <t>18696966-9</t>
  </si>
  <si>
    <t>CATHERINE AEDO</t>
  </si>
  <si>
    <t>18637622-6</t>
  </si>
  <si>
    <t>DANIELA RODRIGUEZ</t>
  </si>
  <si>
    <t>14364155-4</t>
  </si>
  <si>
    <t>ELSA GONGORA</t>
  </si>
  <si>
    <t>16117577-3</t>
  </si>
  <si>
    <t>JOHANA LLANCAPICHUN</t>
  </si>
  <si>
    <t>13026344-5</t>
  </si>
  <si>
    <t>KATIA HALD</t>
  </si>
  <si>
    <t>13638765-0</t>
  </si>
  <si>
    <t>MANUEL MONSALVE</t>
  </si>
  <si>
    <t>13337549-K</t>
  </si>
  <si>
    <t>MANUELA ASTUDILLO</t>
  </si>
  <si>
    <t>10446967-1</t>
  </si>
  <si>
    <t>MARIA LORETO VELASQUEZ</t>
  </si>
  <si>
    <t>16/11/2021</t>
  </si>
  <si>
    <t>18123009-6</t>
  </si>
  <si>
    <t>MAXIMILIANO OLIVARES</t>
  </si>
  <si>
    <t>19421111-2</t>
  </si>
  <si>
    <t>MELISSA SALGADO</t>
  </si>
  <si>
    <t>27105214-6</t>
  </si>
  <si>
    <t>NANCI MENDEZ</t>
  </si>
  <si>
    <t>27/05/2025</t>
  </si>
  <si>
    <t>20828148-8</t>
  </si>
  <si>
    <t>TOMAS MAULEN</t>
  </si>
  <si>
    <t>N°</t>
  </si>
  <si>
    <t>Nombre</t>
  </si>
  <si>
    <t>Parámetros del sistema</t>
  </si>
  <si>
    <t>Metas de desempeño</t>
  </si>
  <si>
    <t>Indicador</t>
  </si>
  <si>
    <t>Meta</t>
  </si>
  <si>
    <t>Contactabilidad</t>
  </si>
  <si>
    <t>Calidad (puntaje /100)</t>
  </si>
  <si>
    <t>EPA (ver bloque Metas EPA)</t>
  </si>
  <si>
    <t>Adherencia</t>
  </si>
  <si>
    <t>TMO meta (segundos)</t>
  </si>
  <si>
    <t>Turnos</t>
  </si>
  <si>
    <t>Turno</t>
  </si>
  <si>
    <t>Hora inicio programada</t>
  </si>
  <si>
    <t>Hora término programada</t>
  </si>
  <si>
    <t>Duración colación (min)</t>
  </si>
  <si>
    <t>Hrs. Netas</t>
  </si>
  <si>
    <t>Descripción</t>
  </si>
  <si>
    <t>A</t>
  </si>
  <si>
    <t>9,0</t>
  </si>
  <si>
    <t>Jornada larga mañana</t>
  </si>
  <si>
    <t>B</t>
  </si>
  <si>
    <t>8,0</t>
  </si>
  <si>
    <t>Jornada estándar mañana</t>
  </si>
  <si>
    <t>C</t>
  </si>
  <si>
    <t>7,0</t>
  </si>
  <si>
    <t>Jornada corta mañana</t>
  </si>
  <si>
    <t>D</t>
  </si>
  <si>
    <t>Jornada tarde</t>
  </si>
  <si>
    <t>Metas EPA</t>
  </si>
  <si>
    <t>EPA 1 SNL</t>
  </si>
  <si>
    <t>EPA 2 SNL</t>
  </si>
  <si>
    <t>EPA 1 EP</t>
  </si>
  <si>
    <t>EPA 2 EP</t>
  </si>
  <si>
    <t>Otras metas</t>
  </si>
  <si>
    <t>Tipificaciones</t>
  </si>
  <si>
    <t>Outbound - % Contacto</t>
  </si>
  <si>
    <t>Transferencia EPA</t>
  </si>
  <si>
    <t>Fecha</t>
  </si>
  <si>
    <t>Hora ingreso</t>
  </si>
  <si>
    <t>Hora salida</t>
  </si>
  <si>
    <t>Inicio comida</t>
  </si>
  <si>
    <t>Fin comida</t>
  </si>
  <si>
    <t>Descanso 1 (min)</t>
  </si>
  <si>
    <t>Descanso 2 (min)</t>
  </si>
  <si>
    <t>Baño</t>
  </si>
  <si>
    <t>Baño (veces)</t>
  </si>
  <si>
    <t>Capacitación (min)</t>
  </si>
  <si>
    <t>Tiempo efectivo (hrs)</t>
  </si>
  <si>
    <t>Minutos de atraso</t>
  </si>
  <si>
    <t>Minutos de colación</t>
  </si>
  <si>
    <t>Tiempo total descanso (min)</t>
  </si>
  <si>
    <t>Desviación del turno (min)</t>
  </si>
  <si>
    <t>Turno del día</t>
  </si>
  <si>
    <t>Salida anticipada (min)</t>
  </si>
  <si>
    <t>Adherencia (%)</t>
  </si>
  <si>
    <t>Llamadas</t>
  </si>
  <si>
    <t>TMO (seg)</t>
  </si>
  <si>
    <t>Disponibilidad</t>
  </si>
  <si>
    <t>Ocupación</t>
  </si>
  <si>
    <t>Transferencias</t>
  </si>
  <si>
    <t>Cumplimiento meta</t>
  </si>
  <si>
    <t>% Contactabilidad Out</t>
  </si>
  <si>
    <t>Auditor</t>
  </si>
  <si>
    <t>Tipo de auditoría</t>
  </si>
  <si>
    <t>Puntaje (0-100)</t>
  </si>
  <si>
    <t>Error crítico</t>
  </si>
  <si>
    <t>Contactados</t>
  </si>
  <si>
    <t>No contactados</t>
  </si>
  <si>
    <t>% Contacto</t>
  </si>
  <si>
    <t>Mes</t>
  </si>
  <si>
    <t>PROGESYS — Excel matriz</t>
  </si>
  <si>
    <t>1. Esta es la ÚNICA planilla que necesitas mantener. Súbela completa cada vez a PROGESYS (botón Importar).</t>
  </si>
  <si>
    <t>2. Llena primero 'Ejecutivos' — todas las demás hojas buscan el Nombre y el Supervisor automáticamente desde ahí usando el Rut. Solo escribes el Rut, el resto aparece solo.</t>
  </si>
  <si>
    <t>3. 'Turno' trae los nombres enlazados a Ejecutivos; solo escribe la letra de turno (A/B/C/D/V) en cada día.</t>
  </si>
  <si>
    <t>4. 'Config' trae tus metas y horarios de turno actuales — edítalos si cambian.</t>
  </si>
  <si>
    <t>5. 'Asistencia' calcula automáticamente Tiempo efectivo, Minutos de atraso, Turno del día, Estado y Adherencia — solo llena las columnas amarillas (Fecha, Rut, horas, descansos, baño).</t>
  </si>
  <si>
    <t>6. 'KPI_Mensual', 'Calidad', 'EPA' y 'EPA_Historico' funcionan igual: escribe el Rut y los datos propios de cada hoja; el Nombre y Supervisor se completan solos.</t>
  </si>
  <si>
    <t>7. IMPORTANTE: después de llenar datos, GUARDA el archivo en Excel (Ctrl+S) antes de subirlo — así las fórmulas quedan calculadas y PROGESYS puede leer los resultados correctamente.</t>
  </si>
  <si>
    <t>8. Sube este mismo archivo (con los datos nuevos agregados) a PROGESYS cada vez — el sistema fusiona automáticamente por Rut+Fecha en Asistencia, así que no se pierde el historial de meses anteriores.</t>
  </si>
  <si>
    <t>V</t>
  </si>
  <si>
    <t>08:29</t>
  </si>
  <si>
    <t>18:31</t>
  </si>
  <si>
    <t>08:31</t>
  </si>
  <si>
    <t>18:30</t>
  </si>
  <si>
    <t>15:00</t>
  </si>
  <si>
    <t>08:30</t>
  </si>
  <si>
    <t>12:00</t>
  </si>
  <si>
    <t>13:04</t>
  </si>
  <si>
    <t>18:34</t>
  </si>
  <si>
    <t>14:02</t>
  </si>
  <si>
    <t>18:32</t>
  </si>
  <si>
    <t>13:34</t>
  </si>
  <si>
    <t>13:44</t>
  </si>
  <si>
    <t>08:26</t>
  </si>
  <si>
    <t>17:04</t>
  </si>
  <si>
    <t>15:03</t>
  </si>
  <si>
    <t>15:02</t>
  </si>
  <si>
    <t>16:05</t>
  </si>
  <si>
    <t>13:05</t>
  </si>
  <si>
    <t>18:40</t>
  </si>
  <si>
    <t>08:28</t>
  </si>
  <si>
    <t>14:30</t>
  </si>
  <si>
    <t>15:33</t>
  </si>
  <si>
    <t>08:32</t>
  </si>
  <si>
    <t>18:10</t>
  </si>
  <si>
    <t>12:38</t>
  </si>
  <si>
    <t>08:41</t>
  </si>
  <si>
    <t>08:10</t>
  </si>
  <si>
    <t>15:06</t>
  </si>
  <si>
    <t>14:54</t>
  </si>
  <si>
    <t>15:32</t>
  </si>
  <si>
    <t>15:05</t>
  </si>
  <si>
    <t>12:58</t>
  </si>
  <si>
    <t>14:47</t>
  </si>
  <si>
    <t>14:05</t>
  </si>
  <si>
    <t>16:32</t>
  </si>
  <si>
    <t>15:23</t>
  </si>
  <si>
    <t>13:08</t>
  </si>
  <si>
    <t>13:54</t>
  </si>
  <si>
    <t>17:30</t>
  </si>
  <si>
    <t>18:39</t>
  </si>
  <si>
    <t>18:37</t>
  </si>
  <si>
    <t>18:23</t>
  </si>
  <si>
    <t>18:01</t>
  </si>
  <si>
    <t>16:34</t>
  </si>
  <si>
    <t>L</t>
  </si>
  <si>
    <t>M</t>
  </si>
  <si>
    <t>MI</t>
  </si>
  <si>
    <t>J</t>
  </si>
  <si>
    <t>09:30</t>
  </si>
  <si>
    <t>11:00</t>
  </si>
  <si>
    <t>08:37</t>
  </si>
  <si>
    <t>15:46</t>
  </si>
  <si>
    <t>16:08</t>
  </si>
  <si>
    <t>20:15</t>
  </si>
  <si>
    <t>20:16</t>
  </si>
  <si>
    <t>20:24</t>
  </si>
  <si>
    <t>20:31</t>
  </si>
  <si>
    <t>14:04</t>
  </si>
  <si>
    <t>12:04</t>
  </si>
  <si>
    <t>12:34</t>
  </si>
  <si>
    <t>13:35</t>
  </si>
  <si>
    <t>14:01</t>
  </si>
  <si>
    <t>13:36</t>
  </si>
  <si>
    <t>14:06</t>
  </si>
  <si>
    <t>13:33</t>
  </si>
  <si>
    <t>14:11</t>
  </si>
  <si>
    <t>13:02</t>
  </si>
  <si>
    <t>15:10</t>
  </si>
  <si>
    <t>15:11</t>
  </si>
  <si>
    <t>16:12</t>
  </si>
  <si>
    <t>13:27</t>
  </si>
  <si>
    <t>14:32</t>
  </si>
  <si>
    <t>12:30</t>
  </si>
  <si>
    <t>12:06</t>
  </si>
  <si>
    <t>13:06</t>
  </si>
  <si>
    <t>12:39</t>
  </si>
  <si>
    <t>13:39</t>
  </si>
  <si>
    <t>12:31</t>
  </si>
  <si>
    <t>13:31</t>
  </si>
  <si>
    <t>08:35</t>
  </si>
  <si>
    <t>09:31</t>
  </si>
  <si>
    <t>08:39</t>
  </si>
  <si>
    <t>18:00</t>
  </si>
  <si>
    <t>17:00</t>
  </si>
  <si>
    <t>18:33</t>
  </si>
  <si>
    <t>21:14</t>
  </si>
  <si>
    <t>18:41</t>
  </si>
  <si>
    <t>18:42</t>
  </si>
  <si>
    <t>16:02</t>
  </si>
  <si>
    <t>16:31</t>
  </si>
  <si>
    <t>22:30</t>
  </si>
  <si>
    <t>15:31</t>
  </si>
  <si>
    <t>14:14</t>
  </si>
  <si>
    <t>14:15</t>
  </si>
  <si>
    <t>15:35</t>
  </si>
  <si>
    <t>16:38</t>
  </si>
  <si>
    <t>13:09</t>
  </si>
  <si>
    <t>14:10</t>
  </si>
  <si>
    <t>14:24</t>
  </si>
  <si>
    <t>15:19</t>
  </si>
  <si>
    <t>15:37</t>
  </si>
  <si>
    <t>16:37</t>
  </si>
  <si>
    <t>13:28</t>
  </si>
  <si>
    <t>13:49</t>
  </si>
  <si>
    <t>14:41</t>
  </si>
  <si>
    <t>15:12</t>
  </si>
  <si>
    <t>12:09</t>
  </si>
  <si>
    <t>12:42</t>
  </si>
  <si>
    <t>13:12</t>
  </si>
  <si>
    <t>12:32</t>
  </si>
  <si>
    <t>06-08-2026</t>
  </si>
  <si>
    <t>07-08-2026</t>
  </si>
  <si>
    <t>08:36</t>
  </si>
  <si>
    <t>17:03</t>
  </si>
  <si>
    <t>14:00</t>
  </si>
  <si>
    <t>14:31</t>
  </si>
  <si>
    <t>13:00</t>
  </si>
  <si>
    <t>09:29</t>
  </si>
  <si>
    <t>13:42</t>
  </si>
  <si>
    <t>14:12</t>
  </si>
  <si>
    <t>15:59</t>
  </si>
  <si>
    <t>08:42</t>
  </si>
  <si>
    <t>18:49</t>
  </si>
  <si>
    <t>18:52</t>
  </si>
  <si>
    <t>14:03</t>
  </si>
  <si>
    <t>17:07</t>
  </si>
  <si>
    <t>15:07</t>
  </si>
  <si>
    <t>15:38</t>
  </si>
  <si>
    <t>13:47</t>
  </si>
  <si>
    <t>16:01</t>
  </si>
  <si>
    <t>08:34</t>
  </si>
  <si>
    <t>12:29</t>
  </si>
  <si>
    <t>18:35</t>
  </si>
  <si>
    <t>12:35</t>
  </si>
  <si>
    <t>18:21</t>
  </si>
  <si>
    <t>16:06</t>
  </si>
  <si>
    <t>ok</t>
  </si>
  <si>
    <t>16:27</t>
  </si>
  <si>
    <t>18:48</t>
  </si>
  <si>
    <t>18:09</t>
  </si>
  <si>
    <t>17:02</t>
  </si>
  <si>
    <t>18:36</t>
  </si>
  <si>
    <t>17:31</t>
  </si>
  <si>
    <t>08:27</t>
  </si>
  <si>
    <t>17:47</t>
  </si>
  <si>
    <t>17:08</t>
  </si>
  <si>
    <t>18:03</t>
  </si>
  <si>
    <t>14:29</t>
  </si>
  <si>
    <t>12:02</t>
  </si>
  <si>
    <t>13:20</t>
  </si>
  <si>
    <t>16:03</t>
  </si>
  <si>
    <t>15:04</t>
  </si>
  <si>
    <t>12:44</t>
  </si>
  <si>
    <t>14:35</t>
  </si>
  <si>
    <t>11:59</t>
  </si>
  <si>
    <t>12:59</t>
  </si>
  <si>
    <t>12:40</t>
  </si>
  <si>
    <t>13:10</t>
  </si>
  <si>
    <t>13:40</t>
  </si>
  <si>
    <t>17:09</t>
  </si>
  <si>
    <t>07:40</t>
  </si>
  <si>
    <t>08:24</t>
  </si>
  <si>
    <t>08:25</t>
  </si>
  <si>
    <t>08:33</t>
  </si>
  <si>
    <t>13:55</t>
  </si>
  <si>
    <t>14:59</t>
  </si>
  <si>
    <t>13:01</t>
  </si>
  <si>
    <t>15:09</t>
  </si>
  <si>
    <t>16:04</t>
  </si>
  <si>
    <t>12:36</t>
  </si>
  <si>
    <t>16:11</t>
  </si>
  <si>
    <t>Saliente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</si>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</sst>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0\ %;\-0\ %;0\ %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name val="Arial"/>
      <family val="2"/>
    </font>
    <font>
      <i/>
      <sz val="11"/>
      <color rgb="FF1F6E43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0"/>
      <color rgb="FFC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sz val="10"/>
      <name val="Arial"/>
    </font>
    <font>
      <b/>
      <sz val="10"/>
      <color rgb="FFC00000"/>
      <name val="Arial"/>
    </font>
    <font>
      <b/>
      <sz val="11"/>
      <color rgb="FFFFFFFF"/>
      <name val="Calibri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</patternFill>
    </fill>
    <fill>
      <patternFill patternType="solid">
        <fgColor rgb="FF5B9BD5"/>
        <bgColor rgb="FF969696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AEAAAA"/>
      </patternFill>
    </fill>
    <fill>
      <patternFill patternType="solid">
        <fgColor theme="3" tint="0.79998168889431442"/>
        <bgColor rgb="FF969696"/>
      </patternFill>
    </fill>
    <fill>
      <patternFill patternType="solid">
        <fgColor theme="3" tint="0.79998168889431442"/>
        <bgColor rgb="FFF2F2F2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3" tint="0.79998168889431442"/>
        <bgColor rgb="FFFF9900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2545"/>
        <bgColor rgb="FF0B254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9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9" fontId="3" fillId="3" borderId="0" xfId="0" applyNumberFormat="1" applyFont="1" applyFill="1"/>
    <xf numFmtId="20" fontId="3" fillId="3" borderId="0" xfId="0" applyNumberFormat="1" applyFont="1" applyFill="1"/>
    <xf numFmtId="164" fontId="0" fillId="3" borderId="0" xfId="0" applyNumberFormat="1" applyFill="1"/>
    <xf numFmtId="20" fontId="0" fillId="3" borderId="0" xfId="0" applyNumberFormat="1" applyFill="1"/>
    <xf numFmtId="9" fontId="0" fillId="0" borderId="0" xfId="0" applyNumberFormat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4" borderId="1" xfId="0" applyFont="1" applyFill="1" applyBorder="1"/>
    <xf numFmtId="0" fontId="7" fillId="4" borderId="2" xfId="0" applyFont="1" applyFill="1" applyBorder="1"/>
    <xf numFmtId="0" fontId="8" fillId="0" borderId="1" xfId="0" applyFont="1" applyBorder="1"/>
    <xf numFmtId="20" fontId="8" fillId="0" borderId="2" xfId="0" applyNumberFormat="1" applyFont="1" applyBorder="1"/>
    <xf numFmtId="0" fontId="8" fillId="0" borderId="2" xfId="0" applyFont="1" applyBorder="1"/>
    <xf numFmtId="20" fontId="8" fillId="0" borderId="4" xfId="0" applyNumberFormat="1" applyFont="1" applyBorder="1"/>
    <xf numFmtId="0" fontId="8" fillId="0" borderId="4" xfId="0" applyFont="1" applyBorder="1"/>
    <xf numFmtId="1" fontId="8" fillId="0" borderId="2" xfId="0" applyNumberFormat="1" applyFont="1" applyBorder="1"/>
    <xf numFmtId="1" fontId="7" fillId="0" borderId="1" xfId="0" applyNumberFormat="1" applyFont="1" applyBorder="1"/>
    <xf numFmtId="20" fontId="7" fillId="0" borderId="1" xfId="0" applyNumberFormat="1" applyFont="1" applyBorder="1"/>
    <xf numFmtId="20" fontId="7" fillId="0" borderId="3" xfId="0" applyNumberFormat="1" applyFont="1" applyBorder="1"/>
    <xf numFmtId="1" fontId="7" fillId="0" borderId="3" xfId="0" applyNumberFormat="1" applyFont="1" applyBorder="1"/>
    <xf numFmtId="20" fontId="7" fillId="0" borderId="2" xfId="0" applyNumberFormat="1" applyFont="1" applyBorder="1"/>
    <xf numFmtId="20" fontId="7" fillId="0" borderId="4" xfId="0" applyNumberFormat="1" applyFont="1" applyBorder="1"/>
    <xf numFmtId="1" fontId="7" fillId="0" borderId="2" xfId="0" applyNumberFormat="1" applyFont="1" applyBorder="1"/>
    <xf numFmtId="1" fontId="7" fillId="0" borderId="4" xfId="0" applyNumberFormat="1" applyFont="1" applyBorder="1"/>
    <xf numFmtId="20" fontId="7" fillId="6" borderId="2" xfId="0" applyNumberFormat="1" applyFont="1" applyFill="1" applyBorder="1"/>
    <xf numFmtId="20" fontId="7" fillId="6" borderId="4" xfId="0" applyNumberFormat="1" applyFont="1" applyFill="1" applyBorder="1"/>
    <xf numFmtId="1" fontId="7" fillId="6" borderId="2" xfId="0" applyNumberFormat="1" applyFont="1" applyFill="1" applyBorder="1"/>
    <xf numFmtId="1" fontId="7" fillId="6" borderId="4" xfId="0" applyNumberFormat="1" applyFont="1" applyFill="1" applyBorder="1"/>
    <xf numFmtId="20" fontId="7" fillId="6" borderId="1" xfId="0" applyNumberFormat="1" applyFont="1" applyFill="1" applyBorder="1"/>
    <xf numFmtId="20" fontId="7" fillId="6" borderId="3" xfId="0" applyNumberFormat="1" applyFont="1" applyFill="1" applyBorder="1"/>
    <xf numFmtId="1" fontId="7" fillId="6" borderId="1" xfId="0" applyNumberFormat="1" applyFont="1" applyFill="1" applyBorder="1"/>
    <xf numFmtId="0" fontId="7" fillId="5" borderId="2" xfId="0" applyFont="1" applyFill="1" applyBorder="1"/>
    <xf numFmtId="165" fontId="9" fillId="0" borderId="0" xfId="0" applyNumberFormat="1" applyFont="1"/>
    <xf numFmtId="9" fontId="9" fillId="0" borderId="0" xfId="1" applyFont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4" fillId="0" borderId="1" xfId="0" applyFont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0" fillId="18" borderId="0" xfId="0" applyFill="1"/>
    <xf numFmtId="0" fontId="0" fillId="19" borderId="0" xfId="0" applyFill="1"/>
    <xf numFmtId="0" fontId="1" fillId="20" borderId="1" xfId="0" applyFont="1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center" vertical="center"/>
    </xf>
    <xf numFmtId="1" fontId="10" fillId="20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1" fontId="13" fillId="20" borderId="1" xfId="0" applyNumberFormat="1" applyFont="1" applyFill="1" applyBorder="1" applyAlignment="1">
      <alignment horizontal="center" vertical="center"/>
    </xf>
    <xf numFmtId="20" fontId="1" fillId="20" borderId="1" xfId="0" applyNumberFormat="1" applyFont="1" applyFill="1" applyBorder="1" applyAlignment="1">
      <alignment horizontal="center" vertical="center"/>
    </xf>
    <xf numFmtId="1" fontId="14" fillId="2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3" borderId="0" xfId="0" applyNumberFormat="1" applyFill="1" applyAlignment="1">
      <alignment horizontal="left"/>
    </xf>
    <xf numFmtId="0" fontId="15" fillId="0" borderId="1" xfId="0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  <xf numFmtId="0" fontId="17" fillId="21" borderId="0" xfId="0" applyFont="1" applyFill="1"/>
    <xf numFmtId="0" fontId="1" fillId="0" borderId="0" xfId="0" applyFont="1" applyFill="1" applyBorder="1"/>
    <xf numFmtId="3" fontId="1" fillId="0" borderId="0" xfId="0" applyNumberFormat="1" applyFont="1" applyFill="1" applyBorder="1" applyAlignment="1">
      <alignment horizontal="left"/>
    </xf>
    <xf numFmtId="0" fontId="0" fillId="0" borderId="0" xfId="0" applyFill="1" applyBorder="1"/>
    <xf numFmtId="1" fontId="15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/>
    <xf numFmtId="165" fontId="18" fillId="0" borderId="0" xfId="0" applyNumberFormat="1" applyFont="1" applyFill="1" applyBorder="1"/>
    <xf numFmtId="0" fontId="15" fillId="0" borderId="0" xfId="0" applyFont="1" applyFill="1" applyBorder="1" applyAlignment="1">
      <alignment horizontal="left" vertical="center"/>
    </xf>
    <xf numFmtId="165" fontId="0" fillId="0" borderId="0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monsalvec/OneDrive%20-%20Asociaci&#243;n%20Chilena%20de%20Seguridad/Escritorio/Plataforma%20Outbound/Programas/Portal%20indicadores%20Programa/PROGESYS_matriz-JUL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monsalvec/OneDrive%20-%20Asociaci&#243;n%20Chilena%20de%20Seguridad/Escritorio/PROGESYS_matriz%20(Autoguard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cutivos"/>
      <sheetName val="Turno"/>
      <sheetName val="Config"/>
      <sheetName val="Asistencia"/>
      <sheetName val="KPI_Mensual"/>
      <sheetName val="Calidad"/>
      <sheetName val="EPA"/>
      <sheetName val="EPA_Historico"/>
      <sheetName val="Instrucciones"/>
    </sheetNames>
    <sheetDataSet>
      <sheetData sheetId="0">
        <row r="2">
          <cell r="A2" t="str">
            <v>26612947-5</v>
          </cell>
          <cell r="B2" t="str">
            <v>ALEJANDRA CHACON</v>
          </cell>
        </row>
        <row r="3">
          <cell r="A3" t="str">
            <v>13093458-7</v>
          </cell>
          <cell r="B3" t="str">
            <v>ALEJANDRA ORELLANA</v>
          </cell>
        </row>
        <row r="4">
          <cell r="A4" t="str">
            <v>13336644-k</v>
          </cell>
          <cell r="B4" t="str">
            <v>ANA ASTORGA</v>
          </cell>
        </row>
        <row r="5">
          <cell r="A5" t="str">
            <v>19060841-7</v>
          </cell>
          <cell r="B5" t="str">
            <v>ATALY GARCIA</v>
          </cell>
        </row>
        <row r="6">
          <cell r="A6" t="str">
            <v>18696966-9</v>
          </cell>
          <cell r="B6" t="str">
            <v>CATHERINE AEDO</v>
          </cell>
        </row>
        <row r="7">
          <cell r="A7" t="str">
            <v>18637622-6</v>
          </cell>
          <cell r="B7" t="str">
            <v>DANIELA RODRIGUEZ</v>
          </cell>
        </row>
        <row r="8">
          <cell r="A8" t="str">
            <v>14364155-4</v>
          </cell>
          <cell r="B8" t="str">
            <v>ELSA GONGORA</v>
          </cell>
        </row>
        <row r="9">
          <cell r="A9" t="str">
            <v>16117577-3</v>
          </cell>
          <cell r="B9" t="str">
            <v>JOHANA LLANCAPICHUN</v>
          </cell>
        </row>
        <row r="10">
          <cell r="A10" t="str">
            <v>13026344-5</v>
          </cell>
          <cell r="B10" t="str">
            <v>KATIA HALD</v>
          </cell>
        </row>
        <row r="11">
          <cell r="A11" t="str">
            <v>13638765-0</v>
          </cell>
          <cell r="B11" t="str">
            <v>MANUEL MONSALVE</v>
          </cell>
        </row>
        <row r="12">
          <cell r="A12" t="str">
            <v>13337549-K</v>
          </cell>
          <cell r="B12" t="str">
            <v>MANUELA ASTUDILLO</v>
          </cell>
        </row>
        <row r="13">
          <cell r="A13" t="str">
            <v>19584938-2</v>
          </cell>
          <cell r="B13" t="str">
            <v>MARCIA CASTRO</v>
          </cell>
        </row>
        <row r="14">
          <cell r="A14" t="str">
            <v>10446967-1</v>
          </cell>
          <cell r="B14" t="str">
            <v>MARIA LORETO VELASQUEZ</v>
          </cell>
        </row>
        <row r="15">
          <cell r="A15" t="str">
            <v>18123009-6</v>
          </cell>
          <cell r="B15" t="str">
            <v>MAXIMILIANO OLIVARES</v>
          </cell>
        </row>
        <row r="16">
          <cell r="A16" t="str">
            <v>19421111-2</v>
          </cell>
          <cell r="B16" t="str">
            <v>MELISSA SALGADO</v>
          </cell>
        </row>
        <row r="17">
          <cell r="A17" t="str">
            <v>27105214-6</v>
          </cell>
          <cell r="B17" t="str">
            <v>NANCI MENDEZ</v>
          </cell>
        </row>
        <row r="18">
          <cell r="A18" t="str">
            <v>20828148-8</v>
          </cell>
          <cell r="B18" t="str">
            <v>TOMAS MAULEN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cutivos"/>
      <sheetName val="Turno"/>
      <sheetName val="Config"/>
      <sheetName val="Asistencia"/>
      <sheetName val="KPI_Mensual"/>
      <sheetName val="Outbound"/>
      <sheetName val="Calidad"/>
      <sheetName val="EPA"/>
      <sheetName val="EPA_Historico"/>
      <sheetName val="Instrucciones"/>
    </sheetNames>
    <sheetDataSet>
      <sheetData sheetId="0">
        <row r="2">
          <cell r="A2" t="str">
            <v>26612947-5</v>
          </cell>
          <cell r="B2" t="str">
            <v>ALEJANDRA CHACON</v>
          </cell>
        </row>
        <row r="3">
          <cell r="A3" t="str">
            <v>13093458-7</v>
          </cell>
          <cell r="B3" t="str">
            <v>ALEJANDRA ORELLANA</v>
          </cell>
        </row>
        <row r="4">
          <cell r="A4" t="str">
            <v>13336644-k</v>
          </cell>
          <cell r="B4" t="str">
            <v>ANA ASTORGA</v>
          </cell>
        </row>
        <row r="5">
          <cell r="A5" t="str">
            <v>19060841-7</v>
          </cell>
          <cell r="B5" t="str">
            <v>ATALY GARCIA</v>
          </cell>
        </row>
        <row r="6">
          <cell r="A6" t="str">
            <v>18696966-9</v>
          </cell>
          <cell r="B6" t="str">
            <v>CATHERINE AEDO</v>
          </cell>
        </row>
        <row r="7">
          <cell r="A7" t="str">
            <v>18637622-6</v>
          </cell>
          <cell r="B7" t="str">
            <v>DANIELA RODRIGUEZ</v>
          </cell>
        </row>
        <row r="8">
          <cell r="A8" t="str">
            <v>14364155-4</v>
          </cell>
          <cell r="B8" t="str">
            <v>ELSA GONGORA</v>
          </cell>
        </row>
        <row r="9">
          <cell r="A9" t="str">
            <v>16117577-3</v>
          </cell>
          <cell r="B9" t="str">
            <v>JOHANA LLANCAPICHUN</v>
          </cell>
        </row>
        <row r="10">
          <cell r="A10" t="str">
            <v>13026344-5</v>
          </cell>
          <cell r="B10" t="str">
            <v>KATIA HALD</v>
          </cell>
        </row>
        <row r="11">
          <cell r="A11" t="str">
            <v>13638765-0</v>
          </cell>
          <cell r="B11" t="str">
            <v>MANUEL MONSALVE</v>
          </cell>
        </row>
        <row r="12">
          <cell r="A12" t="str">
            <v>13337549-K</v>
          </cell>
          <cell r="B12" t="str">
            <v>MANUELA ASTUDILLO</v>
          </cell>
        </row>
        <row r="13">
          <cell r="A13" t="str">
            <v>10446967-1</v>
          </cell>
          <cell r="B13" t="str">
            <v>MARIA LORETO VELASQUEZ</v>
          </cell>
        </row>
        <row r="14">
          <cell r="A14" t="str">
            <v>18123009-6</v>
          </cell>
          <cell r="B14" t="str">
            <v>MAXIMILIANO OLIVARES</v>
          </cell>
        </row>
        <row r="15">
          <cell r="A15" t="str">
            <v>19421111-2</v>
          </cell>
          <cell r="B15" t="str">
            <v>MELISSA SALGADO</v>
          </cell>
        </row>
        <row r="16">
          <cell r="A16" t="str">
            <v>27105214-6</v>
          </cell>
          <cell r="B16" t="str">
            <v>NANCI MENDEZ</v>
          </cell>
        </row>
        <row r="17">
          <cell r="A17" t="str">
            <v>20828148-8</v>
          </cell>
          <cell r="B17" t="str">
            <v>TOMAS MAULEN</v>
          </cell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/>
          <cell r="B34"/>
        </row>
        <row r="35">
          <cell r="A35"/>
          <cell r="B35"/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/>
          <cell r="B39"/>
        </row>
        <row r="40">
          <cell r="A40"/>
          <cell r="B40"/>
        </row>
        <row r="41">
          <cell r="A41"/>
          <cell r="B41"/>
        </row>
        <row r="42">
          <cell r="A42"/>
          <cell r="B42"/>
        </row>
        <row r="43">
          <cell r="A43"/>
          <cell r="B43"/>
        </row>
        <row r="44">
          <cell r="A44"/>
          <cell r="B44"/>
        </row>
        <row r="45">
          <cell r="A45"/>
          <cell r="B45"/>
        </row>
        <row r="46">
          <cell r="A46"/>
          <cell r="B46"/>
        </row>
        <row r="47">
          <cell r="A47"/>
          <cell r="B47"/>
        </row>
        <row r="48">
          <cell r="A48"/>
          <cell r="B48"/>
        </row>
        <row r="49">
          <cell r="A49"/>
          <cell r="B49"/>
        </row>
        <row r="50">
          <cell r="A50"/>
          <cell r="B50"/>
        </row>
        <row r="51">
          <cell r="A51"/>
          <cell r="B51"/>
        </row>
        <row r="52">
          <cell r="A52"/>
          <cell r="B52"/>
        </row>
        <row r="53">
          <cell r="A53"/>
          <cell r="B53"/>
        </row>
        <row r="54">
          <cell r="A54"/>
          <cell r="B54"/>
        </row>
        <row r="55">
          <cell r="A55"/>
          <cell r="B55"/>
        </row>
        <row r="56">
          <cell r="A56"/>
          <cell r="B56"/>
        </row>
        <row r="57">
          <cell r="A57"/>
          <cell r="B57"/>
        </row>
        <row r="58">
          <cell r="A58"/>
          <cell r="B58"/>
        </row>
        <row r="59">
          <cell r="A59"/>
          <cell r="B59"/>
        </row>
        <row r="60">
          <cell r="A60"/>
          <cell r="B60"/>
        </row>
        <row r="61">
          <cell r="A61"/>
          <cell r="B61"/>
        </row>
        <row r="62">
          <cell r="A62"/>
          <cell r="B62"/>
        </row>
        <row r="63">
          <cell r="A63"/>
          <cell r="B63"/>
        </row>
        <row r="64">
          <cell r="A64"/>
          <cell r="B64"/>
        </row>
        <row r="65">
          <cell r="A65"/>
          <cell r="B65"/>
        </row>
        <row r="66">
          <cell r="A66"/>
          <cell r="B66"/>
        </row>
        <row r="67">
          <cell r="A67"/>
          <cell r="B67"/>
        </row>
        <row r="68">
          <cell r="A68"/>
          <cell r="B68"/>
        </row>
        <row r="69">
          <cell r="A69"/>
          <cell r="B69"/>
        </row>
        <row r="70">
          <cell r="A70"/>
          <cell r="B70"/>
        </row>
        <row r="71">
          <cell r="A71"/>
          <cell r="B71"/>
        </row>
        <row r="72">
          <cell r="A72"/>
          <cell r="B72"/>
        </row>
        <row r="73">
          <cell r="A73"/>
          <cell r="B73"/>
        </row>
        <row r="74">
          <cell r="A74"/>
          <cell r="B74"/>
        </row>
        <row r="75">
          <cell r="A75"/>
          <cell r="B75"/>
        </row>
        <row r="76">
          <cell r="A76"/>
          <cell r="B76"/>
        </row>
        <row r="77">
          <cell r="A77"/>
          <cell r="B77"/>
        </row>
        <row r="78">
          <cell r="A78"/>
          <cell r="B78"/>
        </row>
        <row r="79">
          <cell r="A79"/>
          <cell r="B79"/>
        </row>
        <row r="80">
          <cell r="A80"/>
          <cell r="B80"/>
        </row>
        <row r="81">
          <cell r="A81"/>
          <cell r="B81"/>
        </row>
        <row r="82">
          <cell r="A82"/>
          <cell r="B82"/>
        </row>
        <row r="83">
          <cell r="A83"/>
          <cell r="B83"/>
        </row>
        <row r="84">
          <cell r="A84"/>
          <cell r="B84"/>
        </row>
        <row r="85">
          <cell r="A85"/>
          <cell r="B85"/>
        </row>
        <row r="86">
          <cell r="A86"/>
          <cell r="B86"/>
        </row>
        <row r="87">
          <cell r="A87"/>
          <cell r="B87"/>
        </row>
        <row r="88">
          <cell r="A88"/>
          <cell r="B88"/>
        </row>
        <row r="89">
          <cell r="A89"/>
          <cell r="B89"/>
        </row>
        <row r="90">
          <cell r="A90"/>
          <cell r="B90"/>
        </row>
        <row r="91">
          <cell r="A91"/>
          <cell r="B91"/>
        </row>
        <row r="92">
          <cell r="A92"/>
          <cell r="B92"/>
        </row>
        <row r="93">
          <cell r="A93"/>
          <cell r="B93"/>
        </row>
        <row r="94">
          <cell r="A94"/>
          <cell r="B94"/>
        </row>
        <row r="95">
          <cell r="A95"/>
          <cell r="B95"/>
        </row>
        <row r="96">
          <cell r="A96"/>
          <cell r="B96"/>
        </row>
        <row r="97">
          <cell r="A97"/>
          <cell r="B97"/>
        </row>
        <row r="98">
          <cell r="A98"/>
          <cell r="B98"/>
        </row>
        <row r="99">
          <cell r="A99"/>
          <cell r="B99"/>
        </row>
        <row r="100">
          <cell r="A100"/>
          <cell r="B10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Normal="100" workbookViewId="0">
      <pane ySplit="1" topLeftCell="A2" activePane="bottomLeft" state="frozen"/>
      <selection pane="bottomLeft" activeCell="J21" sqref="J21"/>
    </sheetView>
  </sheetViews>
  <sheetFormatPr baseColWidth="10" defaultColWidth="8.7109375" defaultRowHeight="15" x14ac:dyDescent="0.25"/>
  <cols>
    <col min="1" max="1" width="13" customWidth="1"/>
    <col min="2" max="2" width="24" customWidth="1"/>
    <col min="3" max="3" width="16" customWidth="1"/>
    <col min="4" max="4" width="10" customWidth="1"/>
    <col min="5" max="5" width="12" customWidth="1"/>
    <col min="6" max="6" width="13" customWidth="1"/>
    <col min="7" max="7" width="11" customWidth="1"/>
    <col min="8" max="8" width="10" customWidth="1"/>
    <col min="9" max="9" width="20" customWidth="1"/>
    <col min="10" max="10" width="13" customWidth="1"/>
    <col min="11" max="11" width="22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 t="s">
        <v>13</v>
      </c>
      <c r="D2" s="2" t="s">
        <v>14</v>
      </c>
      <c r="E2" s="2" t="s">
        <v>15</v>
      </c>
      <c r="F2" s="3">
        <v>45785</v>
      </c>
      <c r="G2" s="2" t="s">
        <v>16</v>
      </c>
      <c r="H2" s="2" t="s">
        <v>17</v>
      </c>
      <c r="I2" s="4" t="s">
        <v>269</v>
      </c>
      <c r="J2" s="4"/>
      <c r="K2" s="4"/>
    </row>
    <row r="3" spans="1:11" x14ac:dyDescent="0.25">
      <c r="A3" t="s">
        <v>18</v>
      </c>
      <c r="B3" t="s">
        <v>19</v>
      </c>
      <c r="C3" s="2" t="s">
        <v>13</v>
      </c>
      <c r="D3" s="2" t="s">
        <v>14</v>
      </c>
      <c r="E3" s="2" t="s">
        <v>15</v>
      </c>
      <c r="F3" s="3">
        <v>45390</v>
      </c>
      <c r="G3" s="2" t="s">
        <v>16</v>
      </c>
      <c r="H3" s="2" t="s">
        <v>17</v>
      </c>
      <c r="I3" s="4" t="s">
        <v>269</v>
      </c>
      <c r="J3" s="4"/>
      <c r="K3" s="4"/>
    </row>
    <row r="4" spans="1:11" x14ac:dyDescent="0.25">
      <c r="A4" t="s">
        <v>20</v>
      </c>
      <c r="B4" t="s">
        <v>21</v>
      </c>
      <c r="C4" s="2" t="s">
        <v>13</v>
      </c>
      <c r="D4" s="2" t="s">
        <v>14</v>
      </c>
      <c r="E4" s="2" t="s">
        <v>15</v>
      </c>
      <c r="F4" s="2" t="s">
        <v>22</v>
      </c>
      <c r="G4" s="2" t="s">
        <v>16</v>
      </c>
      <c r="H4" s="2" t="s">
        <v>17</v>
      </c>
      <c r="I4" s="4" t="s">
        <v>269</v>
      </c>
      <c r="J4" s="4"/>
      <c r="K4" s="4"/>
    </row>
    <row r="5" spans="1:11" x14ac:dyDescent="0.25">
      <c r="A5" t="s">
        <v>23</v>
      </c>
      <c r="B5" t="s">
        <v>24</v>
      </c>
      <c r="C5" s="2" t="s">
        <v>13</v>
      </c>
      <c r="D5" s="2" t="s">
        <v>14</v>
      </c>
      <c r="E5" s="2" t="s">
        <v>15</v>
      </c>
      <c r="F5" s="3">
        <v>45819</v>
      </c>
      <c r="G5" s="2" t="s">
        <v>16</v>
      </c>
      <c r="H5" s="2" t="s">
        <v>17</v>
      </c>
      <c r="I5" s="4" t="s">
        <v>269</v>
      </c>
      <c r="J5" s="4"/>
      <c r="K5" s="4"/>
    </row>
    <row r="6" spans="1:11" x14ac:dyDescent="0.25">
      <c r="A6" t="s">
        <v>25</v>
      </c>
      <c r="B6" t="s">
        <v>26</v>
      </c>
      <c r="C6" s="2" t="s">
        <v>13</v>
      </c>
      <c r="D6" s="2" t="s">
        <v>14</v>
      </c>
      <c r="E6" s="2" t="s">
        <v>15</v>
      </c>
      <c r="F6" s="3">
        <v>46120</v>
      </c>
      <c r="G6" s="2" t="s">
        <v>16</v>
      </c>
      <c r="H6" s="2" t="s">
        <v>17</v>
      </c>
      <c r="I6" s="4" t="s">
        <v>269</v>
      </c>
      <c r="J6" s="4"/>
      <c r="K6" s="4"/>
    </row>
    <row r="7" spans="1:11" x14ac:dyDescent="0.25">
      <c r="A7" t="s">
        <v>27</v>
      </c>
      <c r="B7" t="s">
        <v>28</v>
      </c>
      <c r="C7" s="2" t="s">
        <v>13</v>
      </c>
      <c r="D7" s="2" t="s">
        <v>14</v>
      </c>
      <c r="E7" s="2" t="s">
        <v>15</v>
      </c>
      <c r="F7" s="3">
        <v>45642</v>
      </c>
      <c r="G7" s="2" t="s">
        <v>16</v>
      </c>
      <c r="H7" s="2" t="s">
        <v>17</v>
      </c>
      <c r="I7" s="4"/>
      <c r="J7" s="4"/>
      <c r="K7" s="4"/>
    </row>
    <row r="8" spans="1:11" x14ac:dyDescent="0.25">
      <c r="A8" t="s">
        <v>29</v>
      </c>
      <c r="B8" t="s">
        <v>30</v>
      </c>
      <c r="C8" s="2" t="s">
        <v>13</v>
      </c>
      <c r="D8" s="2" t="s">
        <v>14</v>
      </c>
      <c r="E8" s="2" t="s">
        <v>15</v>
      </c>
      <c r="F8" s="3">
        <v>45229</v>
      </c>
      <c r="G8" s="2" t="s">
        <v>16</v>
      </c>
      <c r="H8" s="2" t="s">
        <v>17</v>
      </c>
      <c r="I8" s="4" t="s">
        <v>269</v>
      </c>
      <c r="J8" s="4"/>
      <c r="K8" s="4"/>
    </row>
    <row r="9" spans="1:11" x14ac:dyDescent="0.25">
      <c r="A9" t="s">
        <v>31</v>
      </c>
      <c r="B9" t="s">
        <v>32</v>
      </c>
      <c r="C9" s="2" t="s">
        <v>13</v>
      </c>
      <c r="D9" s="2" t="s">
        <v>14</v>
      </c>
      <c r="E9" s="2" t="s">
        <v>15</v>
      </c>
      <c r="F9" s="3">
        <v>45819</v>
      </c>
      <c r="G9" s="2" t="s">
        <v>16</v>
      </c>
      <c r="H9" s="2" t="s">
        <v>17</v>
      </c>
      <c r="I9" s="4" t="s">
        <v>269</v>
      </c>
      <c r="J9" s="4"/>
      <c r="K9" s="4"/>
    </row>
    <row r="10" spans="1:11" x14ac:dyDescent="0.25">
      <c r="A10" t="s">
        <v>33</v>
      </c>
      <c r="B10" t="s">
        <v>34</v>
      </c>
      <c r="C10" s="2" t="s">
        <v>13</v>
      </c>
      <c r="D10" s="2" t="s">
        <v>14</v>
      </c>
      <c r="E10" s="2" t="s">
        <v>15</v>
      </c>
      <c r="F10" s="3">
        <v>45355</v>
      </c>
      <c r="G10" s="2" t="s">
        <v>16</v>
      </c>
      <c r="H10" s="2" t="s">
        <v>17</v>
      </c>
      <c r="I10" s="4" t="s">
        <v>269</v>
      </c>
      <c r="J10" s="4"/>
      <c r="K10" s="4"/>
    </row>
    <row r="11" spans="1:11" x14ac:dyDescent="0.25">
      <c r="A11" t="s">
        <v>35</v>
      </c>
      <c r="B11" t="s">
        <v>36</v>
      </c>
      <c r="C11" s="2" t="s">
        <v>13</v>
      </c>
      <c r="D11" s="2" t="s">
        <v>14</v>
      </c>
      <c r="E11" s="2" t="s">
        <v>15</v>
      </c>
      <c r="F11" s="3">
        <v>45558</v>
      </c>
      <c r="G11" s="2" t="s">
        <v>16</v>
      </c>
      <c r="H11" s="2" t="s">
        <v>17</v>
      </c>
      <c r="I11" s="4" t="s">
        <v>269</v>
      </c>
      <c r="J11" s="4"/>
      <c r="K11" s="4"/>
    </row>
    <row r="12" spans="1:11" x14ac:dyDescent="0.25">
      <c r="A12" t="s">
        <v>37</v>
      </c>
      <c r="B12" t="s">
        <v>38</v>
      </c>
      <c r="C12" s="2" t="s">
        <v>13</v>
      </c>
      <c r="D12" s="2" t="s">
        <v>14</v>
      </c>
      <c r="E12" s="2" t="s">
        <v>15</v>
      </c>
      <c r="F12" s="3">
        <v>45819</v>
      </c>
      <c r="G12" s="2" t="s">
        <v>16</v>
      </c>
      <c r="H12" s="2" t="s">
        <v>17</v>
      </c>
      <c r="I12" s="4"/>
      <c r="J12" s="4"/>
      <c r="K12" s="4"/>
    </row>
    <row r="13" spans="1:11" x14ac:dyDescent="0.25">
      <c r="A13" t="s">
        <v>39</v>
      </c>
      <c r="B13" t="s">
        <v>40</v>
      </c>
      <c r="C13" s="2" t="s">
        <v>13</v>
      </c>
      <c r="D13" s="2" t="s">
        <v>14</v>
      </c>
      <c r="E13" s="2" t="s">
        <v>15</v>
      </c>
      <c r="F13" s="2" t="s">
        <v>41</v>
      </c>
      <c r="G13" s="2" t="s">
        <v>16</v>
      </c>
      <c r="H13" s="2" t="s">
        <v>17</v>
      </c>
      <c r="I13" s="4"/>
      <c r="J13" s="4"/>
      <c r="K13" s="4"/>
    </row>
    <row r="14" spans="1:11" x14ac:dyDescent="0.25">
      <c r="A14" t="s">
        <v>42</v>
      </c>
      <c r="B14" t="s">
        <v>43</v>
      </c>
      <c r="C14" s="2" t="s">
        <v>13</v>
      </c>
      <c r="D14" s="2" t="s">
        <v>14</v>
      </c>
      <c r="E14" s="2" t="s">
        <v>15</v>
      </c>
      <c r="F14" s="3">
        <v>45455</v>
      </c>
      <c r="G14" s="2" t="s">
        <v>16</v>
      </c>
      <c r="H14" s="2" t="s">
        <v>17</v>
      </c>
      <c r="I14" s="4" t="s">
        <v>269</v>
      </c>
      <c r="J14" s="4"/>
      <c r="K14" s="4"/>
    </row>
    <row r="15" spans="1:11" x14ac:dyDescent="0.25">
      <c r="A15" t="s">
        <v>44</v>
      </c>
      <c r="B15" t="s">
        <v>45</v>
      </c>
      <c r="C15" s="2" t="s">
        <v>13</v>
      </c>
      <c r="D15" s="2" t="s">
        <v>14</v>
      </c>
      <c r="E15" s="2" t="s">
        <v>15</v>
      </c>
      <c r="F15" s="3">
        <v>45819</v>
      </c>
      <c r="G15" s="2" t="s">
        <v>16</v>
      </c>
      <c r="H15" s="2" t="s">
        <v>17</v>
      </c>
      <c r="I15" s="4" t="s">
        <v>269</v>
      </c>
      <c r="J15" s="4"/>
      <c r="K15" s="4"/>
    </row>
    <row r="16" spans="1:11" x14ac:dyDescent="0.25">
      <c r="A16" t="s">
        <v>46</v>
      </c>
      <c r="B16" t="s">
        <v>47</v>
      </c>
      <c r="C16" s="2" t="s">
        <v>13</v>
      </c>
      <c r="D16" s="2" t="s">
        <v>14</v>
      </c>
      <c r="E16" s="2" t="s">
        <v>15</v>
      </c>
      <c r="F16" s="2" t="s">
        <v>48</v>
      </c>
      <c r="G16" s="2" t="s">
        <v>16</v>
      </c>
      <c r="H16" s="2" t="s">
        <v>17</v>
      </c>
      <c r="I16" s="4" t="s">
        <v>269</v>
      </c>
      <c r="J16" s="4"/>
      <c r="K16" s="4"/>
    </row>
    <row r="17" spans="1:11" x14ac:dyDescent="0.25">
      <c r="A17" t="s">
        <v>49</v>
      </c>
      <c r="B17" t="s">
        <v>50</v>
      </c>
      <c r="C17" s="2" t="s">
        <v>13</v>
      </c>
      <c r="D17" s="2" t="s">
        <v>14</v>
      </c>
      <c r="E17" s="2" t="s">
        <v>15</v>
      </c>
      <c r="F17" s="3">
        <v>46120</v>
      </c>
      <c r="G17" s="2" t="s">
        <v>16</v>
      </c>
      <c r="H17" s="2" t="s">
        <v>17</v>
      </c>
      <c r="I17" s="4" t="s">
        <v>269</v>
      </c>
      <c r="J17" s="4"/>
      <c r="K17" s="4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5" sqref="H15"/>
    </sheetView>
  </sheetViews>
  <sheetFormatPr baseColWidth="10" defaultColWidth="8.7109375" defaultRowHeight="15" x14ac:dyDescent="0.25"/>
  <cols>
    <col min="1" max="1" width="5" customWidth="1"/>
    <col min="2" max="2" width="33.42578125" customWidth="1"/>
    <col min="3" max="7" width="6.7109375" style="68" customWidth="1"/>
    <col min="8" max="12" width="6.7109375" customWidth="1"/>
    <col min="13" max="17" width="6.7109375" style="68" customWidth="1"/>
    <col min="18" max="22" width="6.7109375" customWidth="1"/>
  </cols>
  <sheetData>
    <row r="1" spans="1:22" ht="30" customHeight="1" x14ac:dyDescent="0.25">
      <c r="A1" s="1" t="s">
        <v>51</v>
      </c>
      <c r="B1" s="1" t="s">
        <v>52</v>
      </c>
      <c r="C1" s="63">
        <v>3</v>
      </c>
      <c r="D1" s="63">
        <v>4</v>
      </c>
      <c r="E1" s="63">
        <v>5</v>
      </c>
      <c r="F1" s="63">
        <v>6</v>
      </c>
      <c r="G1" s="63">
        <v>7</v>
      </c>
      <c r="H1" s="48">
        <v>10</v>
      </c>
      <c r="I1" s="48">
        <v>11</v>
      </c>
      <c r="J1" s="48">
        <v>12</v>
      </c>
      <c r="K1" s="48">
        <v>13</v>
      </c>
      <c r="L1" s="48">
        <v>14</v>
      </c>
      <c r="M1" s="63">
        <v>17</v>
      </c>
      <c r="N1" s="63">
        <v>18</v>
      </c>
      <c r="O1" s="63">
        <v>19</v>
      </c>
      <c r="P1" s="63">
        <v>20</v>
      </c>
      <c r="Q1" s="63">
        <v>21</v>
      </c>
      <c r="R1" s="48">
        <v>24</v>
      </c>
      <c r="S1" s="48">
        <v>25</v>
      </c>
      <c r="T1" s="48">
        <v>26</v>
      </c>
      <c r="U1" s="48">
        <v>27</v>
      </c>
      <c r="V1" s="48">
        <v>28</v>
      </c>
    </row>
    <row r="2" spans="1:22" x14ac:dyDescent="0.25">
      <c r="C2" s="54" t="s">
        <v>177</v>
      </c>
      <c r="D2" s="54" t="s">
        <v>178</v>
      </c>
      <c r="E2" s="54" t="s">
        <v>179</v>
      </c>
      <c r="F2" s="54" t="s">
        <v>180</v>
      </c>
      <c r="G2" s="54" t="s">
        <v>131</v>
      </c>
      <c r="H2" s="54" t="s">
        <v>177</v>
      </c>
      <c r="I2" s="54" t="s">
        <v>178</v>
      </c>
      <c r="J2" s="54" t="s">
        <v>179</v>
      </c>
      <c r="K2" s="54" t="s">
        <v>180</v>
      </c>
      <c r="L2" s="54" t="s">
        <v>131</v>
      </c>
      <c r="M2" s="54" t="s">
        <v>177</v>
      </c>
      <c r="N2" s="54" t="s">
        <v>178</v>
      </c>
      <c r="O2" s="54" t="s">
        <v>179</v>
      </c>
      <c r="P2" s="54" t="s">
        <v>180</v>
      </c>
      <c r="Q2" s="54" t="s">
        <v>131</v>
      </c>
      <c r="R2" s="54" t="s">
        <v>177</v>
      </c>
      <c r="S2" s="54" t="s">
        <v>178</v>
      </c>
      <c r="T2" s="54" t="s">
        <v>179</v>
      </c>
      <c r="U2" s="54" t="s">
        <v>180</v>
      </c>
      <c r="V2" s="54" t="s">
        <v>131</v>
      </c>
    </row>
    <row r="3" spans="1:22" x14ac:dyDescent="0.25">
      <c r="A3" s="2">
        <v>1</v>
      </c>
      <c r="B3" s="6" t="str">
        <f>IFERROR(INDEX(Ejecutivos!$B$2:$B$100,1),"")</f>
        <v>ALEJANDRA CHACON</v>
      </c>
      <c r="C3" s="49" t="s">
        <v>69</v>
      </c>
      <c r="D3" s="49" t="s">
        <v>69</v>
      </c>
      <c r="E3" s="49" t="s">
        <v>69</v>
      </c>
      <c r="F3" s="50" t="s">
        <v>72</v>
      </c>
      <c r="G3" s="51" t="s">
        <v>75</v>
      </c>
      <c r="H3" s="49" t="s">
        <v>69</v>
      </c>
      <c r="I3" s="49" t="s">
        <v>69</v>
      </c>
      <c r="J3" s="52" t="s">
        <v>78</v>
      </c>
      <c r="K3" s="51" t="s">
        <v>75</v>
      </c>
      <c r="L3" s="49" t="s">
        <v>69</v>
      </c>
      <c r="M3" s="51" t="s">
        <v>75</v>
      </c>
      <c r="N3" s="49" t="s">
        <v>69</v>
      </c>
      <c r="O3" s="49" t="s">
        <v>69</v>
      </c>
      <c r="P3" s="49" t="s">
        <v>69</v>
      </c>
      <c r="Q3" s="50" t="s">
        <v>72</v>
      </c>
      <c r="R3" s="49" t="s">
        <v>69</v>
      </c>
      <c r="S3" s="50" t="s">
        <v>72</v>
      </c>
      <c r="T3" s="51" t="s">
        <v>75</v>
      </c>
      <c r="U3" s="49" t="s">
        <v>69</v>
      </c>
      <c r="V3" s="49" t="s">
        <v>69</v>
      </c>
    </row>
    <row r="4" spans="1:22" x14ac:dyDescent="0.25">
      <c r="A4" s="2">
        <v>2</v>
      </c>
      <c r="B4" s="6" t="str">
        <f>IFERROR(INDEX(Ejecutivos!$B$2:$B$100,2),"")</f>
        <v>ALEJANDRA ORELLANA</v>
      </c>
      <c r="C4" s="49" t="s">
        <v>69</v>
      </c>
      <c r="D4" s="52" t="s">
        <v>78</v>
      </c>
      <c r="E4" s="49" t="s">
        <v>69</v>
      </c>
      <c r="F4" s="49" t="s">
        <v>69</v>
      </c>
      <c r="G4" s="51" t="s">
        <v>75</v>
      </c>
      <c r="H4" s="49" t="s">
        <v>69</v>
      </c>
      <c r="I4" s="51" t="s">
        <v>75</v>
      </c>
      <c r="J4" s="50" t="s">
        <v>72</v>
      </c>
      <c r="K4" s="49" t="s">
        <v>69</v>
      </c>
      <c r="L4" s="49" t="s">
        <v>69</v>
      </c>
      <c r="M4" s="49" t="s">
        <v>69</v>
      </c>
      <c r="N4" s="49" t="s">
        <v>69</v>
      </c>
      <c r="O4" s="49" t="s">
        <v>69</v>
      </c>
      <c r="P4" s="51" t="s">
        <v>75</v>
      </c>
      <c r="Q4" s="50" t="s">
        <v>72</v>
      </c>
      <c r="R4" s="49" t="s">
        <v>69</v>
      </c>
      <c r="S4" s="51" t="s">
        <v>75</v>
      </c>
      <c r="T4" s="49" t="s">
        <v>69</v>
      </c>
      <c r="U4" s="52" t="s">
        <v>78</v>
      </c>
      <c r="V4" s="49" t="s">
        <v>69</v>
      </c>
    </row>
    <row r="5" spans="1:22" x14ac:dyDescent="0.25">
      <c r="A5" s="2">
        <v>3</v>
      </c>
      <c r="B5" s="6" t="str">
        <f>IFERROR(INDEX(Ejecutivos!$B$2:$B$100,3),"")</f>
        <v>ANA ASTORGA</v>
      </c>
      <c r="C5" s="49" t="s">
        <v>69</v>
      </c>
      <c r="D5" s="51" t="s">
        <v>75</v>
      </c>
      <c r="E5" s="50" t="s">
        <v>72</v>
      </c>
      <c r="F5" s="49" t="s">
        <v>69</v>
      </c>
      <c r="G5" s="49" t="s">
        <v>69</v>
      </c>
      <c r="H5" s="49" t="s">
        <v>69</v>
      </c>
      <c r="I5" s="49" t="s">
        <v>69</v>
      </c>
      <c r="J5" s="49" t="s">
        <v>69</v>
      </c>
      <c r="K5" s="50" t="s">
        <v>72</v>
      </c>
      <c r="L5" s="53" t="s">
        <v>131</v>
      </c>
      <c r="M5" s="51" t="s">
        <v>75</v>
      </c>
      <c r="N5" s="49" t="s">
        <v>69</v>
      </c>
      <c r="O5" s="49" t="s">
        <v>69</v>
      </c>
      <c r="P5" s="49" t="s">
        <v>69</v>
      </c>
      <c r="Q5" s="52" t="s">
        <v>78</v>
      </c>
      <c r="R5" s="50" t="s">
        <v>72</v>
      </c>
      <c r="S5" s="49" t="s">
        <v>69</v>
      </c>
      <c r="T5" s="49" t="s">
        <v>69</v>
      </c>
      <c r="U5" s="51" t="s">
        <v>75</v>
      </c>
      <c r="V5" s="49" t="s">
        <v>69</v>
      </c>
    </row>
    <row r="6" spans="1:22" x14ac:dyDescent="0.25">
      <c r="A6" s="2">
        <v>4</v>
      </c>
      <c r="B6" s="6" t="str">
        <f>IFERROR(INDEX(Ejecutivos!$B$2:$B$100,4),"")</f>
        <v>ATALY GARCIA</v>
      </c>
      <c r="C6" s="49" t="s">
        <v>69</v>
      </c>
      <c r="D6" s="51" t="s">
        <v>75</v>
      </c>
      <c r="E6" s="49" t="s">
        <v>69</v>
      </c>
      <c r="F6" s="52" t="s">
        <v>78</v>
      </c>
      <c r="G6" s="49" t="s">
        <v>69</v>
      </c>
      <c r="H6" s="50" t="s">
        <v>72</v>
      </c>
      <c r="I6" s="49" t="s">
        <v>69</v>
      </c>
      <c r="J6" s="49" t="s">
        <v>69</v>
      </c>
      <c r="K6" s="49" t="s">
        <v>69</v>
      </c>
      <c r="L6" s="51" t="s">
        <v>75</v>
      </c>
      <c r="M6" s="49" t="s">
        <v>69</v>
      </c>
      <c r="N6" s="51" t="s">
        <v>75</v>
      </c>
      <c r="O6" s="50" t="s">
        <v>72</v>
      </c>
      <c r="P6" s="49" t="s">
        <v>69</v>
      </c>
      <c r="Q6" s="49" t="s">
        <v>69</v>
      </c>
      <c r="R6" s="49" t="s">
        <v>69</v>
      </c>
      <c r="S6" s="49" t="s">
        <v>69</v>
      </c>
      <c r="T6" s="49" t="s">
        <v>69</v>
      </c>
      <c r="U6" s="51" t="s">
        <v>75</v>
      </c>
      <c r="V6" s="50" t="s">
        <v>72</v>
      </c>
    </row>
    <row r="7" spans="1:22" x14ac:dyDescent="0.25">
      <c r="A7" s="2">
        <v>5</v>
      </c>
      <c r="B7" s="6" t="str">
        <f>IFERROR(INDEX(Ejecutivos!$B$2:$B$100,5),"")</f>
        <v>CATHERINE AEDO</v>
      </c>
      <c r="C7" s="49" t="s">
        <v>69</v>
      </c>
      <c r="D7" s="51" t="s">
        <v>75</v>
      </c>
      <c r="E7" s="50" t="s">
        <v>72</v>
      </c>
      <c r="F7" s="49" t="s">
        <v>69</v>
      </c>
      <c r="G7" s="49" t="s">
        <v>69</v>
      </c>
      <c r="H7" s="49" t="s">
        <v>69</v>
      </c>
      <c r="I7" s="49" t="s">
        <v>69</v>
      </c>
      <c r="J7" s="49" t="s">
        <v>69</v>
      </c>
      <c r="K7" s="51" t="s">
        <v>75</v>
      </c>
      <c r="L7" s="50" t="s">
        <v>72</v>
      </c>
      <c r="M7" s="49" t="s">
        <v>69</v>
      </c>
      <c r="N7" s="51" t="s">
        <v>75</v>
      </c>
      <c r="O7" s="49" t="s">
        <v>69</v>
      </c>
      <c r="P7" s="52" t="s">
        <v>78</v>
      </c>
      <c r="Q7" s="49" t="s">
        <v>69</v>
      </c>
      <c r="R7" s="50" t="s">
        <v>72</v>
      </c>
      <c r="S7" s="49" t="s">
        <v>69</v>
      </c>
      <c r="T7" s="49" t="s">
        <v>69</v>
      </c>
      <c r="U7" s="49" t="s">
        <v>69</v>
      </c>
      <c r="V7" s="51" t="s">
        <v>75</v>
      </c>
    </row>
    <row r="8" spans="1:22" x14ac:dyDescent="0.25">
      <c r="A8" s="2">
        <v>6</v>
      </c>
      <c r="B8" s="6" t="str">
        <f>IFERROR(INDEX(Ejecutivos!$B$2:$B$100,6),"")</f>
        <v>DANIELA RODRIGUEZ</v>
      </c>
      <c r="C8" s="51" t="s">
        <v>75</v>
      </c>
      <c r="D8" s="49" t="s">
        <v>69</v>
      </c>
      <c r="E8" s="49" t="s">
        <v>69</v>
      </c>
      <c r="F8" s="49" t="s">
        <v>69</v>
      </c>
      <c r="G8" s="50" t="s">
        <v>72</v>
      </c>
      <c r="H8" s="49" t="s">
        <v>69</v>
      </c>
      <c r="I8" s="50" t="s">
        <v>72</v>
      </c>
      <c r="J8" s="51" t="s">
        <v>75</v>
      </c>
      <c r="K8" s="49" t="s">
        <v>69</v>
      </c>
      <c r="L8" s="49" t="s">
        <v>69</v>
      </c>
      <c r="M8" s="49" t="s">
        <v>69</v>
      </c>
      <c r="N8" s="49" t="s">
        <v>69</v>
      </c>
      <c r="O8" s="49" t="s">
        <v>69</v>
      </c>
      <c r="P8" s="50" t="s">
        <v>72</v>
      </c>
      <c r="Q8" s="51" t="s">
        <v>75</v>
      </c>
      <c r="R8" s="49" t="s">
        <v>69</v>
      </c>
      <c r="S8" s="49" t="s">
        <v>69</v>
      </c>
      <c r="T8" s="52" t="s">
        <v>78</v>
      </c>
      <c r="U8" s="51" t="s">
        <v>75</v>
      </c>
      <c r="V8" s="49" t="s">
        <v>69</v>
      </c>
    </row>
    <row r="9" spans="1:22" x14ac:dyDescent="0.25">
      <c r="A9" s="2">
        <v>7</v>
      </c>
      <c r="B9" s="6" t="str">
        <f>IFERROR(INDEX(Ejecutivos!$B$2:$B$100,7),"")</f>
        <v>ELSA GONGORA</v>
      </c>
      <c r="C9" s="64" t="s">
        <v>69</v>
      </c>
      <c r="D9" s="64" t="s">
        <v>69</v>
      </c>
      <c r="E9" s="65" t="s">
        <v>78</v>
      </c>
      <c r="F9" s="66" t="s">
        <v>75</v>
      </c>
      <c r="G9" s="64" t="s">
        <v>69</v>
      </c>
      <c r="H9" s="51" t="s">
        <v>75</v>
      </c>
      <c r="I9" s="49" t="s">
        <v>69</v>
      </c>
      <c r="J9" s="49" t="s">
        <v>69</v>
      </c>
      <c r="K9" s="49" t="s">
        <v>69</v>
      </c>
      <c r="L9" s="50" t="s">
        <v>72</v>
      </c>
      <c r="M9" s="64" t="s">
        <v>69</v>
      </c>
      <c r="N9" s="64" t="s">
        <v>72</v>
      </c>
      <c r="O9" s="66" t="s">
        <v>75</v>
      </c>
      <c r="P9" s="64" t="s">
        <v>69</v>
      </c>
      <c r="Q9" s="64" t="s">
        <v>69</v>
      </c>
      <c r="R9" s="49" t="s">
        <v>69</v>
      </c>
      <c r="S9" s="49" t="s">
        <v>69</v>
      </c>
      <c r="T9" s="49" t="s">
        <v>69</v>
      </c>
      <c r="U9" s="50" t="s">
        <v>72</v>
      </c>
      <c r="V9" s="51" t="s">
        <v>75</v>
      </c>
    </row>
    <row r="10" spans="1:22" x14ac:dyDescent="0.25">
      <c r="A10" s="2">
        <v>8</v>
      </c>
      <c r="B10" s="6" t="str">
        <f>IFERROR(INDEX(Ejecutivos!$B$2:$B$100,8),"")</f>
        <v>JOHANA LLANCAPICHUN</v>
      </c>
      <c r="C10" s="49" t="s">
        <v>69</v>
      </c>
      <c r="D10" s="49" t="s">
        <v>69</v>
      </c>
      <c r="E10" s="49" t="s">
        <v>69</v>
      </c>
      <c r="F10" s="50" t="s">
        <v>72</v>
      </c>
      <c r="G10" s="51" t="s">
        <v>75</v>
      </c>
      <c r="H10" s="49" t="s">
        <v>69</v>
      </c>
      <c r="I10" s="52" t="s">
        <v>78</v>
      </c>
      <c r="J10" s="51" t="s">
        <v>75</v>
      </c>
      <c r="K10" s="49" t="s">
        <v>69</v>
      </c>
      <c r="L10" s="49" t="s">
        <v>69</v>
      </c>
      <c r="M10" s="49" t="s">
        <v>69</v>
      </c>
      <c r="N10" s="49" t="s">
        <v>69</v>
      </c>
      <c r="O10" s="49" t="s">
        <v>69</v>
      </c>
      <c r="P10" s="50" t="s">
        <v>72</v>
      </c>
      <c r="Q10" s="53" t="s">
        <v>131</v>
      </c>
      <c r="R10" s="49" t="s">
        <v>69</v>
      </c>
      <c r="S10" s="50" t="s">
        <v>72</v>
      </c>
      <c r="T10" s="51" t="s">
        <v>75</v>
      </c>
      <c r="U10" s="49" t="s">
        <v>69</v>
      </c>
      <c r="V10" s="49" t="s">
        <v>69</v>
      </c>
    </row>
    <row r="11" spans="1:22" x14ac:dyDescent="0.25">
      <c r="A11" s="2">
        <v>9</v>
      </c>
      <c r="B11" s="6" t="str">
        <f>IFERROR(INDEX(Ejecutivos!$B$2:$B$100,9),"")</f>
        <v>KATIA HALD</v>
      </c>
      <c r="C11" s="49" t="s">
        <v>69</v>
      </c>
      <c r="D11" s="49" t="s">
        <v>69</v>
      </c>
      <c r="E11" s="49" t="s">
        <v>69</v>
      </c>
      <c r="F11" s="50" t="s">
        <v>72</v>
      </c>
      <c r="G11" s="51" t="s">
        <v>75</v>
      </c>
      <c r="H11" s="49" t="s">
        <v>69</v>
      </c>
      <c r="I11" s="50" t="s">
        <v>72</v>
      </c>
      <c r="J11" s="51" t="s">
        <v>75</v>
      </c>
      <c r="K11" s="49" t="s">
        <v>69</v>
      </c>
      <c r="L11" s="49" t="s">
        <v>69</v>
      </c>
      <c r="M11" s="49" t="s">
        <v>69</v>
      </c>
      <c r="N11" s="49" t="s">
        <v>69</v>
      </c>
      <c r="O11" s="49" t="s">
        <v>69</v>
      </c>
      <c r="P11" s="50" t="s">
        <v>72</v>
      </c>
      <c r="Q11" s="51" t="s">
        <v>75</v>
      </c>
      <c r="R11" s="49" t="s">
        <v>69</v>
      </c>
      <c r="S11" s="52" t="s">
        <v>78</v>
      </c>
      <c r="T11" s="51" t="s">
        <v>75</v>
      </c>
      <c r="U11" s="49" t="s">
        <v>69</v>
      </c>
      <c r="V11" s="49" t="s">
        <v>69</v>
      </c>
    </row>
    <row r="12" spans="1:22" x14ac:dyDescent="0.25">
      <c r="A12" s="2">
        <v>10</v>
      </c>
      <c r="B12" s="6" t="str">
        <f>IFERROR(INDEX(Ejecutivos!$B$2:$B$100,10),"")</f>
        <v>MANUEL MONSALVE</v>
      </c>
      <c r="C12" s="49" t="s">
        <v>69</v>
      </c>
      <c r="D12" s="49" t="s">
        <v>69</v>
      </c>
      <c r="E12" s="49" t="s">
        <v>69</v>
      </c>
      <c r="F12" s="51" t="s">
        <v>75</v>
      </c>
      <c r="G12" s="50" t="s">
        <v>72</v>
      </c>
      <c r="H12" s="51" t="s">
        <v>75</v>
      </c>
      <c r="I12" s="49" t="s">
        <v>69</v>
      </c>
      <c r="J12" s="49" t="s">
        <v>69</v>
      </c>
      <c r="K12" s="49" t="s">
        <v>69</v>
      </c>
      <c r="L12" s="52" t="s">
        <v>78</v>
      </c>
      <c r="M12" s="50" t="s">
        <v>72</v>
      </c>
      <c r="N12" s="49" t="s">
        <v>69</v>
      </c>
      <c r="O12" s="49" t="s">
        <v>69</v>
      </c>
      <c r="P12" s="51" t="s">
        <v>75</v>
      </c>
      <c r="Q12" s="49" t="s">
        <v>69</v>
      </c>
      <c r="R12" s="49" t="s">
        <v>69</v>
      </c>
      <c r="S12" s="51" t="s">
        <v>75</v>
      </c>
      <c r="T12" s="50" t="s">
        <v>72</v>
      </c>
      <c r="U12" s="49" t="s">
        <v>69</v>
      </c>
      <c r="V12" s="49" t="s">
        <v>69</v>
      </c>
    </row>
    <row r="13" spans="1:22" x14ac:dyDescent="0.25">
      <c r="A13" s="2">
        <v>11</v>
      </c>
      <c r="B13" s="6" t="str">
        <f>IFERROR(INDEX(Ejecutivos!$B$2:$B$100,11),"")</f>
        <v>MANUELA ASTUDILLO</v>
      </c>
      <c r="C13" s="49" t="s">
        <v>69</v>
      </c>
      <c r="D13" s="49" t="s">
        <v>69</v>
      </c>
      <c r="E13" s="49" t="s">
        <v>69</v>
      </c>
      <c r="F13" s="51" t="s">
        <v>75</v>
      </c>
      <c r="G13" s="50" t="s">
        <v>72</v>
      </c>
      <c r="H13" s="49" t="s">
        <v>69</v>
      </c>
      <c r="I13" s="51" t="s">
        <v>75</v>
      </c>
      <c r="J13" s="49" t="s">
        <v>69</v>
      </c>
      <c r="K13" s="52" t="s">
        <v>78</v>
      </c>
      <c r="L13" s="49" t="s">
        <v>69</v>
      </c>
      <c r="M13" s="50" t="s">
        <v>72</v>
      </c>
      <c r="N13" s="49" t="s">
        <v>69</v>
      </c>
      <c r="O13" s="49" t="s">
        <v>69</v>
      </c>
      <c r="P13" s="49" t="s">
        <v>69</v>
      </c>
      <c r="Q13" s="51" t="s">
        <v>75</v>
      </c>
      <c r="R13" s="49" t="s">
        <v>69</v>
      </c>
      <c r="S13" s="51" t="s">
        <v>75</v>
      </c>
      <c r="T13" s="50" t="s">
        <v>72</v>
      </c>
      <c r="U13" s="49" t="s">
        <v>69</v>
      </c>
      <c r="V13" s="49" t="s">
        <v>69</v>
      </c>
    </row>
    <row r="14" spans="1:22" x14ac:dyDescent="0.25">
      <c r="A14" s="2">
        <v>12</v>
      </c>
      <c r="B14" s="6" t="str">
        <f>IFERROR(INDEX(Ejecutivos!$B$2:$B$100,12),"")</f>
        <v>MARIA LORETO VELASQUEZ</v>
      </c>
      <c r="C14" s="76" t="s">
        <v>75</v>
      </c>
      <c r="D14" s="76" t="s">
        <v>69</v>
      </c>
      <c r="E14" s="76" t="s">
        <v>69</v>
      </c>
      <c r="F14" s="76" t="s">
        <v>69</v>
      </c>
      <c r="G14" s="76" t="s">
        <v>78</v>
      </c>
      <c r="H14" s="76" t="s">
        <v>72</v>
      </c>
      <c r="I14" s="76" t="s">
        <v>69</v>
      </c>
      <c r="J14" s="76" t="s">
        <v>69</v>
      </c>
      <c r="K14" s="76" t="s">
        <v>75</v>
      </c>
      <c r="L14" s="76" t="s">
        <v>69</v>
      </c>
      <c r="M14" s="76" t="s">
        <v>69</v>
      </c>
      <c r="N14" s="76" t="s">
        <v>75</v>
      </c>
      <c r="O14" s="76" t="s">
        <v>72</v>
      </c>
      <c r="P14" s="76" t="s">
        <v>69</v>
      </c>
      <c r="Q14" s="76" t="s">
        <v>69</v>
      </c>
      <c r="R14" s="76" t="s">
        <v>69</v>
      </c>
      <c r="S14" s="76" t="s">
        <v>69</v>
      </c>
      <c r="T14" s="76" t="s">
        <v>69</v>
      </c>
      <c r="U14" s="76" t="s">
        <v>75</v>
      </c>
      <c r="V14" s="76" t="s">
        <v>72</v>
      </c>
    </row>
    <row r="15" spans="1:22" x14ac:dyDescent="0.25">
      <c r="A15" s="2">
        <v>13</v>
      </c>
      <c r="B15" s="6" t="str">
        <f>IFERROR(INDEX(Ejecutivos!$B$2:$B$100,13),"")</f>
        <v>MAXIMILIANO OLIVARES</v>
      </c>
      <c r="C15" s="51" t="s">
        <v>75</v>
      </c>
      <c r="D15" s="49" t="s">
        <v>69</v>
      </c>
      <c r="E15" s="49" t="s">
        <v>69</v>
      </c>
      <c r="F15" s="49" t="s">
        <v>69</v>
      </c>
      <c r="G15" s="52" t="s">
        <v>78</v>
      </c>
      <c r="H15" s="50" t="s">
        <v>72</v>
      </c>
      <c r="I15" s="49" t="s">
        <v>69</v>
      </c>
      <c r="J15" s="49" t="s">
        <v>69</v>
      </c>
      <c r="K15" s="51" t="s">
        <v>75</v>
      </c>
      <c r="L15" s="49" t="s">
        <v>69</v>
      </c>
      <c r="M15" s="49" t="s">
        <v>69</v>
      </c>
      <c r="N15" s="51" t="s">
        <v>75</v>
      </c>
      <c r="O15" s="50" t="s">
        <v>72</v>
      </c>
      <c r="P15" s="49" t="s">
        <v>69</v>
      </c>
      <c r="Q15" s="49" t="s">
        <v>69</v>
      </c>
      <c r="R15" s="49" t="s">
        <v>69</v>
      </c>
      <c r="S15" s="49" t="s">
        <v>69</v>
      </c>
      <c r="T15" s="49" t="s">
        <v>69</v>
      </c>
      <c r="U15" s="51" t="s">
        <v>75</v>
      </c>
      <c r="V15" s="50" t="s">
        <v>72</v>
      </c>
    </row>
    <row r="16" spans="1:22" x14ac:dyDescent="0.25">
      <c r="A16" s="2">
        <v>14</v>
      </c>
      <c r="B16" s="6" t="str">
        <f>IFERROR(INDEX(Ejecutivos!$B$2:$B$100,14),"")</f>
        <v>MELISSA SALGADO</v>
      </c>
      <c r="C16" s="50" t="s">
        <v>72</v>
      </c>
      <c r="D16" s="49" t="s">
        <v>69</v>
      </c>
      <c r="E16" s="49" t="s">
        <v>69</v>
      </c>
      <c r="F16" s="51" t="s">
        <v>75</v>
      </c>
      <c r="G16" s="49" t="s">
        <v>69</v>
      </c>
      <c r="H16" s="49" t="s">
        <v>69</v>
      </c>
      <c r="I16" s="51" t="s">
        <v>75</v>
      </c>
      <c r="J16" s="50" t="s">
        <v>72</v>
      </c>
      <c r="K16" s="49" t="s">
        <v>69</v>
      </c>
      <c r="L16" s="49" t="s">
        <v>69</v>
      </c>
      <c r="M16" s="49" t="s">
        <v>69</v>
      </c>
      <c r="N16" s="49" t="s">
        <v>69</v>
      </c>
      <c r="O16" s="49" t="s">
        <v>69</v>
      </c>
      <c r="P16" s="51" t="s">
        <v>75</v>
      </c>
      <c r="Q16" s="50" t="s">
        <v>72</v>
      </c>
      <c r="R16" s="51" t="s">
        <v>75</v>
      </c>
      <c r="S16" s="49" t="s">
        <v>69</v>
      </c>
      <c r="T16" s="49" t="s">
        <v>69</v>
      </c>
      <c r="U16" s="49" t="s">
        <v>69</v>
      </c>
      <c r="V16" s="52" t="s">
        <v>78</v>
      </c>
    </row>
    <row r="17" spans="1:22" x14ac:dyDescent="0.25">
      <c r="A17" s="2">
        <v>15</v>
      </c>
      <c r="B17" s="6" t="str">
        <f>IFERROR(INDEX(Ejecutivos!$B$2:$B$100,15),"")</f>
        <v>NANCI MENDEZ</v>
      </c>
      <c r="C17" s="50" t="s">
        <v>72</v>
      </c>
      <c r="D17" s="49" t="s">
        <v>69</v>
      </c>
      <c r="E17" s="51" t="s">
        <v>75</v>
      </c>
      <c r="F17" s="49" t="s">
        <v>69</v>
      </c>
      <c r="G17" s="49" t="s">
        <v>69</v>
      </c>
      <c r="H17" s="49" t="s">
        <v>69</v>
      </c>
      <c r="I17" s="49" t="s">
        <v>69</v>
      </c>
      <c r="J17" s="49" t="s">
        <v>69</v>
      </c>
      <c r="K17" s="50" t="s">
        <v>72</v>
      </c>
      <c r="L17" s="51" t="s">
        <v>75</v>
      </c>
      <c r="M17" s="49" t="s">
        <v>69</v>
      </c>
      <c r="N17" s="50" t="s">
        <v>72</v>
      </c>
      <c r="O17" s="51" t="s">
        <v>75</v>
      </c>
      <c r="P17" s="49" t="s">
        <v>69</v>
      </c>
      <c r="Q17" s="49" t="s">
        <v>69</v>
      </c>
      <c r="R17" s="49" t="s">
        <v>69</v>
      </c>
      <c r="S17" s="49" t="s">
        <v>69</v>
      </c>
      <c r="T17" s="49" t="s">
        <v>69</v>
      </c>
      <c r="U17" s="50" t="s">
        <v>72</v>
      </c>
      <c r="V17" s="51" t="s">
        <v>75</v>
      </c>
    </row>
    <row r="18" spans="1:22" x14ac:dyDescent="0.25">
      <c r="A18" s="2">
        <v>16</v>
      </c>
      <c r="B18" s="6" t="str">
        <f>IFERROR(INDEX(Ejecutivos!$B$2:$B$100,16),"")</f>
        <v>TOMAS MAULEN</v>
      </c>
      <c r="C18" s="49" t="s">
        <v>69</v>
      </c>
      <c r="D18" s="50" t="s">
        <v>72</v>
      </c>
      <c r="E18" s="51" t="s">
        <v>75</v>
      </c>
      <c r="F18" s="49" t="s">
        <v>69</v>
      </c>
      <c r="G18" s="49" t="s">
        <v>69</v>
      </c>
      <c r="H18" s="49" t="s">
        <v>69</v>
      </c>
      <c r="I18" s="49" t="s">
        <v>69</v>
      </c>
      <c r="J18" s="49" t="s">
        <v>69</v>
      </c>
      <c r="K18" s="50" t="s">
        <v>72</v>
      </c>
      <c r="L18" s="51" t="s">
        <v>75</v>
      </c>
      <c r="M18" s="49" t="s">
        <v>69</v>
      </c>
      <c r="N18" s="52" t="s">
        <v>78</v>
      </c>
      <c r="O18" s="51" t="s">
        <v>75</v>
      </c>
      <c r="P18" s="49" t="s">
        <v>69</v>
      </c>
      <c r="Q18" s="49" t="s">
        <v>69</v>
      </c>
      <c r="R18" s="49" t="s">
        <v>69</v>
      </c>
      <c r="S18" s="49" t="s">
        <v>69</v>
      </c>
      <c r="T18" s="49" t="s">
        <v>69</v>
      </c>
      <c r="U18" s="50" t="s">
        <v>72</v>
      </c>
      <c r="V18" s="51" t="s">
        <v>75</v>
      </c>
    </row>
    <row r="19" spans="1:22" x14ac:dyDescent="0.25">
      <c r="A19" s="2">
        <v>17</v>
      </c>
      <c r="B19" s="6">
        <f>IFERROR(INDEX(Ejecutivos!$B$2:$B$100,17),"")</f>
        <v>0</v>
      </c>
      <c r="C19" s="49" t="s">
        <v>69</v>
      </c>
      <c r="D19" s="50" t="s">
        <v>72</v>
      </c>
      <c r="E19" s="51" t="s">
        <v>75</v>
      </c>
      <c r="F19" s="49" t="s">
        <v>69</v>
      </c>
      <c r="G19" s="49" t="s">
        <v>69</v>
      </c>
      <c r="H19" s="49" t="s">
        <v>69</v>
      </c>
      <c r="I19" s="49" t="s">
        <v>69</v>
      </c>
      <c r="J19" s="49" t="s">
        <v>69</v>
      </c>
      <c r="K19" s="50" t="s">
        <v>72</v>
      </c>
      <c r="L19" s="51" t="s">
        <v>75</v>
      </c>
      <c r="M19" s="49" t="s">
        <v>69</v>
      </c>
      <c r="N19" s="49" t="s">
        <v>69</v>
      </c>
      <c r="O19" s="52" t="s">
        <v>78</v>
      </c>
      <c r="P19" s="51" t="s">
        <v>75</v>
      </c>
      <c r="Q19" s="49" t="s">
        <v>69</v>
      </c>
      <c r="R19" s="51" t="s">
        <v>75</v>
      </c>
      <c r="S19" s="49" t="s">
        <v>69</v>
      </c>
      <c r="T19" s="49" t="s">
        <v>69</v>
      </c>
      <c r="U19" s="49" t="s">
        <v>69</v>
      </c>
      <c r="V19" s="50" t="s">
        <v>72</v>
      </c>
    </row>
    <row r="20" spans="1:22" x14ac:dyDescent="0.25">
      <c r="A20" s="2">
        <v>18</v>
      </c>
      <c r="B20" s="6">
        <f>IFERROR(INDEX(Ejecutivos!$B$2:$B$100,18),"")</f>
        <v>0</v>
      </c>
      <c r="C20" s="67"/>
      <c r="D20" s="67"/>
      <c r="E20" s="67"/>
      <c r="F20" s="67"/>
      <c r="G20" s="67"/>
      <c r="H20" s="5"/>
      <c r="I20" s="5"/>
      <c r="J20" s="5"/>
      <c r="K20" s="5"/>
      <c r="L20" s="5"/>
      <c r="M20" s="67"/>
      <c r="N20" s="67"/>
      <c r="O20" s="67"/>
      <c r="P20" s="67"/>
      <c r="Q20" s="67"/>
      <c r="R20" s="5"/>
      <c r="S20" s="5"/>
      <c r="T20" s="5"/>
      <c r="U20" s="5"/>
      <c r="V20" s="5"/>
    </row>
    <row r="21" spans="1:22" x14ac:dyDescent="0.25">
      <c r="A21" s="2">
        <v>19</v>
      </c>
      <c r="B21" s="6">
        <f>IFERROR(INDEX(Ejecutivos!$B$2:$B$100,19),"")</f>
        <v>0</v>
      </c>
      <c r="C21" s="67"/>
      <c r="D21" s="67"/>
      <c r="E21" s="67"/>
      <c r="F21" s="67"/>
      <c r="G21" s="67"/>
      <c r="H21" s="5"/>
      <c r="I21" s="5"/>
      <c r="J21" s="5"/>
      <c r="K21" s="5"/>
      <c r="L21" s="5"/>
      <c r="M21" s="67"/>
      <c r="N21" s="67"/>
      <c r="O21" s="67"/>
      <c r="P21" s="67"/>
      <c r="Q21" s="67"/>
      <c r="R21" s="5"/>
      <c r="S21" s="5"/>
      <c r="T21" s="5"/>
      <c r="U21" s="5"/>
      <c r="V21" s="5"/>
    </row>
    <row r="22" spans="1:22" x14ac:dyDescent="0.25">
      <c r="A22" s="2">
        <v>20</v>
      </c>
      <c r="B22" s="6">
        <f>IFERROR(INDEX(Ejecutivos!$B$2:$B$100,20),"")</f>
        <v>0</v>
      </c>
      <c r="C22" s="67"/>
      <c r="D22" s="67"/>
      <c r="E22" s="67"/>
      <c r="F22" s="67"/>
      <c r="G22" s="67"/>
      <c r="H22" s="5"/>
      <c r="I22" s="5"/>
      <c r="J22" s="5"/>
      <c r="K22" s="5"/>
      <c r="L22" s="5"/>
      <c r="M22" s="67"/>
      <c r="N22" s="67"/>
      <c r="O22" s="67"/>
      <c r="P22" s="67"/>
      <c r="Q22" s="67"/>
      <c r="R22" s="5"/>
      <c r="S22" s="5"/>
      <c r="T22" s="5"/>
      <c r="U22" s="5"/>
      <c r="V22" s="5"/>
    </row>
    <row r="23" spans="1:22" x14ac:dyDescent="0.25">
      <c r="A23" s="2">
        <v>21</v>
      </c>
      <c r="B23" s="6">
        <f>IFERROR(INDEX(Ejecutivos!$B$2:$B$100,21),"")</f>
        <v>0</v>
      </c>
      <c r="C23" s="67"/>
      <c r="D23" s="67"/>
      <c r="E23" s="67"/>
      <c r="F23" s="67"/>
      <c r="G23" s="67"/>
      <c r="H23" s="5"/>
      <c r="I23" s="5"/>
      <c r="J23" s="5"/>
      <c r="K23" s="5"/>
      <c r="L23" s="5"/>
      <c r="M23" s="67"/>
      <c r="N23" s="67"/>
      <c r="O23" s="67"/>
      <c r="P23" s="67"/>
      <c r="Q23" s="67"/>
      <c r="R23" s="5"/>
      <c r="S23" s="5"/>
      <c r="T23" s="5"/>
      <c r="U23" s="5"/>
      <c r="V23" s="5"/>
    </row>
    <row r="24" spans="1:22" x14ac:dyDescent="0.25">
      <c r="A24" s="2">
        <v>22</v>
      </c>
      <c r="B24" s="6">
        <f>IFERROR(INDEX(Ejecutivos!$B$2:$B$100,22),"")</f>
        <v>0</v>
      </c>
      <c r="C24" s="67"/>
      <c r="D24" s="67"/>
      <c r="E24" s="67"/>
      <c r="F24" s="67"/>
      <c r="G24" s="67"/>
      <c r="H24" s="5"/>
      <c r="I24" s="5"/>
      <c r="J24" s="5"/>
      <c r="K24" s="5"/>
      <c r="L24" s="5"/>
      <c r="M24" s="67"/>
      <c r="N24" s="67"/>
      <c r="O24" s="67"/>
      <c r="P24" s="67"/>
      <c r="Q24" s="67"/>
      <c r="R24" s="5"/>
      <c r="S24" s="5"/>
      <c r="T24" s="5"/>
      <c r="U24" s="5"/>
      <c r="V24" s="5"/>
    </row>
    <row r="25" spans="1:22" x14ac:dyDescent="0.25">
      <c r="A25" s="2">
        <v>23</v>
      </c>
      <c r="B25" s="6">
        <f>IFERROR(INDEX(Ejecutivos!$B$2:$B$100,23),"")</f>
        <v>0</v>
      </c>
      <c r="C25" s="67"/>
      <c r="D25" s="67"/>
      <c r="E25" s="67"/>
      <c r="F25" s="67"/>
      <c r="G25" s="67"/>
      <c r="H25" s="5"/>
      <c r="I25" s="5"/>
      <c r="J25" s="5"/>
      <c r="K25" s="5"/>
      <c r="L25" s="5"/>
      <c r="M25" s="67"/>
      <c r="N25" s="67"/>
      <c r="O25" s="67"/>
      <c r="P25" s="67"/>
      <c r="Q25" s="67"/>
      <c r="R25" s="5"/>
      <c r="S25" s="5"/>
      <c r="T25" s="5"/>
      <c r="U25" s="5"/>
      <c r="V25" s="5"/>
    </row>
    <row r="26" spans="1:22" x14ac:dyDescent="0.25">
      <c r="A26" s="2">
        <v>24</v>
      </c>
      <c r="B26" s="6">
        <f>IFERROR(INDEX(Ejecutivos!$B$2:$B$100,24),"")</f>
        <v>0</v>
      </c>
      <c r="C26" s="67"/>
      <c r="D26" s="67"/>
      <c r="E26" s="67"/>
      <c r="F26" s="67"/>
      <c r="G26" s="67"/>
      <c r="H26" s="5"/>
      <c r="I26" s="5"/>
      <c r="J26" s="5"/>
      <c r="K26" s="5"/>
      <c r="L26" s="5"/>
      <c r="M26" s="67"/>
      <c r="N26" s="67"/>
      <c r="O26" s="67"/>
      <c r="P26" s="67"/>
      <c r="Q26" s="67"/>
      <c r="R26" s="5"/>
      <c r="S26" s="5"/>
      <c r="T26" s="5"/>
      <c r="U26" s="5"/>
      <c r="V26" s="5"/>
    </row>
    <row r="27" spans="1:22" x14ac:dyDescent="0.25">
      <c r="A27" s="2">
        <v>25</v>
      </c>
      <c r="B27" s="6">
        <f>IFERROR(INDEX(Ejecutivos!$B$2:$B$100,25),"")</f>
        <v>0</v>
      </c>
      <c r="C27" s="67"/>
      <c r="D27" s="67"/>
      <c r="E27" s="67"/>
      <c r="F27" s="67"/>
      <c r="G27" s="67"/>
      <c r="H27" s="5"/>
      <c r="I27" s="5"/>
      <c r="J27" s="5"/>
      <c r="K27" s="5"/>
      <c r="L27" s="5"/>
      <c r="M27" s="67"/>
      <c r="N27" s="67"/>
      <c r="O27" s="67"/>
      <c r="P27" s="67"/>
      <c r="Q27" s="67"/>
      <c r="R27" s="5"/>
      <c r="S27" s="5"/>
      <c r="T27" s="5"/>
      <c r="U27" s="5"/>
      <c r="V27" s="5"/>
    </row>
    <row r="28" spans="1:22" x14ac:dyDescent="0.25">
      <c r="A28" s="2">
        <v>26</v>
      </c>
      <c r="B28" s="6">
        <f>IFERROR(INDEX(Ejecutivos!$B$2:$B$100,26),"")</f>
        <v>0</v>
      </c>
      <c r="C28" s="67"/>
      <c r="D28" s="67"/>
      <c r="E28" s="67"/>
      <c r="F28" s="67"/>
      <c r="G28" s="67"/>
      <c r="H28" s="5"/>
      <c r="I28" s="5"/>
      <c r="J28" s="5"/>
      <c r="K28" s="5"/>
      <c r="L28" s="5"/>
      <c r="M28" s="67"/>
      <c r="N28" s="67"/>
      <c r="O28" s="67"/>
      <c r="P28" s="67"/>
      <c r="Q28" s="67"/>
      <c r="R28" s="5"/>
      <c r="S28" s="5"/>
      <c r="T28" s="5"/>
      <c r="U28" s="5"/>
      <c r="V28" s="5"/>
    </row>
    <row r="29" spans="1:22" x14ac:dyDescent="0.25">
      <c r="A29" s="2">
        <v>27</v>
      </c>
      <c r="B29" s="6">
        <f>IFERROR(INDEX(Ejecutivos!$B$2:$B$100,27),"")</f>
        <v>0</v>
      </c>
      <c r="C29" s="67"/>
      <c r="D29" s="67"/>
      <c r="E29" s="67"/>
      <c r="F29" s="67"/>
      <c r="G29" s="67"/>
      <c r="H29" s="5"/>
      <c r="I29" s="5"/>
      <c r="J29" s="5"/>
      <c r="K29" s="5"/>
      <c r="L29" s="5"/>
      <c r="M29" s="67"/>
      <c r="N29" s="67"/>
      <c r="O29" s="67"/>
      <c r="P29" s="67"/>
      <c r="Q29" s="67"/>
      <c r="R29" s="5"/>
      <c r="S29" s="5"/>
      <c r="T29" s="5"/>
      <c r="U29" s="5"/>
      <c r="V29" s="5"/>
    </row>
    <row r="30" spans="1:22" x14ac:dyDescent="0.25">
      <c r="A30" s="2">
        <v>28</v>
      </c>
      <c r="B30" s="6">
        <f>IFERROR(INDEX(Ejecutivos!$B$2:$B$100,28),"")</f>
        <v>0</v>
      </c>
      <c r="C30" s="67"/>
      <c r="D30" s="67"/>
      <c r="E30" s="67"/>
      <c r="F30" s="67"/>
      <c r="G30" s="67"/>
      <c r="H30" s="5"/>
      <c r="I30" s="5"/>
      <c r="J30" s="5"/>
      <c r="K30" s="5"/>
      <c r="L30" s="5"/>
      <c r="M30" s="67"/>
      <c r="N30" s="67"/>
      <c r="O30" s="67"/>
      <c r="P30" s="67"/>
      <c r="Q30" s="67"/>
      <c r="R30" s="5"/>
      <c r="S30" s="5"/>
      <c r="T30" s="5"/>
      <c r="U30" s="5"/>
      <c r="V30" s="5"/>
    </row>
    <row r="31" spans="1:22" x14ac:dyDescent="0.25">
      <c r="A31" s="2">
        <v>29</v>
      </c>
      <c r="B31" s="6">
        <f>IFERROR(INDEX(Ejecutivos!$B$2:$B$100,29),"")</f>
        <v>0</v>
      </c>
      <c r="C31" s="67"/>
      <c r="D31" s="67"/>
      <c r="E31" s="67"/>
      <c r="F31" s="67"/>
      <c r="G31" s="67"/>
      <c r="H31" s="5"/>
      <c r="I31" s="5"/>
      <c r="J31" s="5"/>
      <c r="K31" s="5"/>
      <c r="L31" s="5"/>
      <c r="M31" s="67"/>
      <c r="N31" s="67"/>
      <c r="O31" s="67"/>
      <c r="P31" s="67"/>
      <c r="Q31" s="67"/>
      <c r="R31" s="5"/>
      <c r="S31" s="5"/>
      <c r="T31" s="5"/>
      <c r="U31" s="5"/>
      <c r="V31" s="5"/>
    </row>
    <row r="32" spans="1:22" x14ac:dyDescent="0.25">
      <c r="A32" s="2">
        <v>30</v>
      </c>
      <c r="B32" s="6">
        <f>IFERROR(INDEX(Ejecutivos!$B$2:$B$100,30),"")</f>
        <v>0</v>
      </c>
      <c r="C32" s="67"/>
      <c r="D32" s="67"/>
      <c r="E32" s="67"/>
      <c r="F32" s="67"/>
      <c r="G32" s="67"/>
      <c r="H32" s="5"/>
      <c r="I32" s="5"/>
      <c r="J32" s="5"/>
      <c r="K32" s="5"/>
      <c r="L32" s="5"/>
      <c r="M32" s="67"/>
      <c r="N32" s="67"/>
      <c r="O32" s="67"/>
      <c r="P32" s="67"/>
      <c r="Q32" s="67"/>
      <c r="R32" s="5"/>
      <c r="S32" s="5"/>
      <c r="T32" s="5"/>
      <c r="U32" s="5"/>
      <c r="V32" s="5"/>
    </row>
  </sheetData>
  <autoFilter ref="A1:V32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topLeftCell="A4"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4" width="24" customWidth="1"/>
    <col min="5" max="5" width="22" customWidth="1"/>
    <col min="6" max="6" width="12" customWidth="1"/>
    <col min="7" max="7" width="26" customWidth="1"/>
  </cols>
  <sheetData>
    <row r="2" spans="2:7" ht="16.5" x14ac:dyDescent="0.25">
      <c r="B2" s="7" t="s">
        <v>53</v>
      </c>
    </row>
    <row r="4" spans="2:7" x14ac:dyDescent="0.25">
      <c r="B4" s="8" t="s">
        <v>54</v>
      </c>
    </row>
    <row r="5" spans="2:7" x14ac:dyDescent="0.25">
      <c r="B5" s="8" t="s">
        <v>55</v>
      </c>
      <c r="C5" s="8" t="s">
        <v>56</v>
      </c>
    </row>
    <row r="6" spans="2:7" x14ac:dyDescent="0.25">
      <c r="B6" s="2" t="s">
        <v>57</v>
      </c>
      <c r="C6" s="9">
        <v>0.85</v>
      </c>
    </row>
    <row r="7" spans="2:7" x14ac:dyDescent="0.25">
      <c r="B7" s="2" t="s">
        <v>58</v>
      </c>
      <c r="C7" s="4">
        <v>95</v>
      </c>
    </row>
    <row r="8" spans="2:7" x14ac:dyDescent="0.25">
      <c r="B8" s="2" t="s">
        <v>59</v>
      </c>
      <c r="C8" s="4">
        <v>95</v>
      </c>
    </row>
    <row r="9" spans="2:7" x14ac:dyDescent="0.25">
      <c r="B9" s="2" t="s">
        <v>60</v>
      </c>
      <c r="C9" s="9">
        <v>0.92</v>
      </c>
    </row>
    <row r="10" spans="2:7" x14ac:dyDescent="0.25">
      <c r="B10" s="2" t="s">
        <v>61</v>
      </c>
      <c r="C10" s="4">
        <v>300</v>
      </c>
    </row>
    <row r="13" spans="2:7" x14ac:dyDescent="0.25">
      <c r="B13" s="8" t="s">
        <v>62</v>
      </c>
    </row>
    <row r="14" spans="2:7" x14ac:dyDescent="0.25">
      <c r="B14" s="8" t="s">
        <v>63</v>
      </c>
      <c r="C14" s="8" t="s">
        <v>64</v>
      </c>
      <c r="D14" s="8" t="s">
        <v>65</v>
      </c>
      <c r="E14" s="8" t="s">
        <v>66</v>
      </c>
      <c r="F14" s="8" t="s">
        <v>67</v>
      </c>
      <c r="G14" s="8" t="s">
        <v>68</v>
      </c>
    </row>
    <row r="15" spans="2:7" x14ac:dyDescent="0.25">
      <c r="B15" s="4" t="s">
        <v>69</v>
      </c>
      <c r="C15" s="10">
        <v>0.35416666666666702</v>
      </c>
      <c r="D15" s="10">
        <v>0.77083333333333304</v>
      </c>
      <c r="E15" s="4">
        <v>60</v>
      </c>
      <c r="F15" s="4" t="s">
        <v>70</v>
      </c>
      <c r="G15" s="4" t="s">
        <v>71</v>
      </c>
    </row>
    <row r="16" spans="2:7" x14ac:dyDescent="0.25">
      <c r="B16" s="4" t="s">
        <v>72</v>
      </c>
      <c r="C16" s="10">
        <v>0.35416666666666702</v>
      </c>
      <c r="D16" s="10">
        <v>0.72916666666666696</v>
      </c>
      <c r="E16" s="4">
        <v>60</v>
      </c>
      <c r="F16" s="4" t="s">
        <v>73</v>
      </c>
      <c r="G16" s="4" t="s">
        <v>74</v>
      </c>
    </row>
    <row r="17" spans="2:7" x14ac:dyDescent="0.25">
      <c r="B17" s="4" t="s">
        <v>75</v>
      </c>
      <c r="C17" s="10">
        <v>0.35416666666666702</v>
      </c>
      <c r="D17" s="10">
        <v>0.6875</v>
      </c>
      <c r="E17" s="4">
        <v>60</v>
      </c>
      <c r="F17" s="4" t="s">
        <v>76</v>
      </c>
      <c r="G17" s="4" t="s">
        <v>77</v>
      </c>
    </row>
    <row r="18" spans="2:7" x14ac:dyDescent="0.25">
      <c r="B18" s="4" t="s">
        <v>78</v>
      </c>
      <c r="C18" s="10">
        <v>0.39583333333333298</v>
      </c>
      <c r="D18" s="10">
        <v>0.77083333333333304</v>
      </c>
      <c r="E18" s="4">
        <v>60</v>
      </c>
      <c r="F18" s="4" t="s">
        <v>73</v>
      </c>
      <c r="G18" s="4" t="s">
        <v>79</v>
      </c>
    </row>
    <row r="20" spans="2:7" x14ac:dyDescent="0.25">
      <c r="B20" s="8" t="s">
        <v>80</v>
      </c>
    </row>
    <row r="21" spans="2:7" x14ac:dyDescent="0.25">
      <c r="B21" s="8" t="s">
        <v>55</v>
      </c>
      <c r="C21" s="8" t="s">
        <v>56</v>
      </c>
    </row>
    <row r="22" spans="2:7" x14ac:dyDescent="0.25">
      <c r="B22" s="2" t="s">
        <v>81</v>
      </c>
      <c r="C22" s="9">
        <v>0.95</v>
      </c>
    </row>
    <row r="23" spans="2:7" x14ac:dyDescent="0.25">
      <c r="B23" s="2" t="s">
        <v>82</v>
      </c>
      <c r="C23" s="9">
        <v>0.9</v>
      </c>
    </row>
    <row r="24" spans="2:7" x14ac:dyDescent="0.25">
      <c r="B24" s="2" t="s">
        <v>83</v>
      </c>
      <c r="C24" s="9">
        <v>0.95</v>
      </c>
    </row>
    <row r="25" spans="2:7" x14ac:dyDescent="0.25">
      <c r="B25" s="2" t="s">
        <v>84</v>
      </c>
      <c r="C25" s="9">
        <v>0.9</v>
      </c>
    </row>
    <row r="28" spans="2:7" x14ac:dyDescent="0.25">
      <c r="B28" s="8" t="s">
        <v>85</v>
      </c>
    </row>
    <row r="29" spans="2:7" x14ac:dyDescent="0.25">
      <c r="B29" s="8" t="s">
        <v>55</v>
      </c>
      <c r="C29" s="8" t="s">
        <v>56</v>
      </c>
    </row>
    <row r="30" spans="2:7" x14ac:dyDescent="0.25">
      <c r="B30" s="2" t="s">
        <v>86</v>
      </c>
      <c r="C30" s="9">
        <v>0.95</v>
      </c>
    </row>
    <row r="31" spans="2:7" x14ac:dyDescent="0.25">
      <c r="B31" s="2" t="s">
        <v>87</v>
      </c>
      <c r="C31" s="9">
        <v>0.85</v>
      </c>
    </row>
    <row r="32" spans="2:7" x14ac:dyDescent="0.25">
      <c r="B32" s="2" t="s">
        <v>88</v>
      </c>
      <c r="C32" s="9">
        <v>0.85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92"/>
  <sheetViews>
    <sheetView zoomScale="85" zoomScaleNormal="85" workbookViewId="0">
      <pane ySplit="1" topLeftCell="A2" activePane="bottomLeft" state="frozen"/>
      <selection pane="bottomLeft" activeCell="C11" sqref="C11"/>
    </sheetView>
  </sheetViews>
  <sheetFormatPr baseColWidth="10" defaultColWidth="8.7109375" defaultRowHeight="15" x14ac:dyDescent="0.25"/>
  <cols>
    <col min="1" max="1" width="11" customWidth="1"/>
    <col min="2" max="2" width="13" customWidth="1"/>
    <col min="3" max="3" width="30.42578125" customWidth="1"/>
    <col min="4" max="9" width="10" customWidth="1"/>
    <col min="10" max="10" width="7" customWidth="1"/>
    <col min="11" max="11" width="9" customWidth="1"/>
    <col min="12" max="12" width="11" customWidth="1"/>
    <col min="13" max="15" width="10" customWidth="1"/>
    <col min="16" max="16" width="12" customWidth="1"/>
    <col min="17" max="17" width="11" customWidth="1"/>
    <col min="18" max="19" width="10" customWidth="1"/>
    <col min="20" max="20" width="12" customWidth="1"/>
    <col min="21" max="21" width="10" customWidth="1"/>
    <col min="22" max="22" width="26" customWidth="1"/>
  </cols>
  <sheetData>
    <row r="1" spans="1:22" ht="30" customHeight="1" x14ac:dyDescent="0.25">
      <c r="A1" s="1" t="s">
        <v>89</v>
      </c>
      <c r="B1" s="1" t="s">
        <v>0</v>
      </c>
      <c r="C1" s="1" t="s">
        <v>52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7</v>
      </c>
      <c r="S1" s="1" t="s">
        <v>104</v>
      </c>
      <c r="T1" s="1" t="s">
        <v>105</v>
      </c>
      <c r="U1" s="1" t="s">
        <v>106</v>
      </c>
      <c r="V1" s="1" t="s">
        <v>10</v>
      </c>
    </row>
    <row r="2" spans="1:22" x14ac:dyDescent="0.25">
      <c r="A2" s="11">
        <v>46237</v>
      </c>
      <c r="B2" s="2" t="s">
        <v>11</v>
      </c>
      <c r="C2" t="str">
        <f>IFERROR(INDEX(Ejecutivos!$B$2:$B$100,MATCH(B2,Ejecutivos!$A$2:$A$100,0)),"")</f>
        <v>ALEJANDRA CHACON</v>
      </c>
      <c r="D2" s="69" t="s">
        <v>158</v>
      </c>
      <c r="E2" s="69" t="s">
        <v>135</v>
      </c>
      <c r="F2" s="69" t="s">
        <v>141</v>
      </c>
      <c r="G2" s="69" t="s">
        <v>148</v>
      </c>
      <c r="H2" s="70">
        <v>17</v>
      </c>
      <c r="I2" s="70">
        <v>16</v>
      </c>
      <c r="J2" s="71">
        <v>22</v>
      </c>
      <c r="K2" s="69">
        <v>3</v>
      </c>
      <c r="L2" s="18">
        <v>0</v>
      </c>
      <c r="M2">
        <f t="shared" ref="M2:M55" si="0">IF(OR(D2="",E2=""),"",ROUND(((E2-D2)*24)-((G2-F2)*24)-((H2+I2)/60),2))</f>
        <v>8.27</v>
      </c>
      <c r="N2">
        <f>IF(OR($D2="",$S2=""),"",IFERROR(MAX(0,ROUND(($D2-INDEX(Config!$C$15:$C$18,MATCH($S2,Config!$B$15:$B$18,0)))*24*60,0)),""))</f>
        <v>11</v>
      </c>
      <c r="O2">
        <f t="shared" ref="O2:O55" si="1">IF(OR(F2="",G2=""),"",ROUND((G2-F2)*24*60,0))</f>
        <v>60</v>
      </c>
      <c r="P2">
        <f t="shared" ref="P2:P55" si="2">IF(O2="","",O2+H2+I2)</f>
        <v>93</v>
      </c>
      <c r="Q2">
        <f>IF(OR($P2="",$S2=""),"",IFERROR($P2-INDEX(Config!$E$15:$E$18,MATCH($S2,Config!$B$15:$B$18,0)),""))</f>
        <v>33</v>
      </c>
      <c r="R2" t="str">
        <f t="shared" ref="R2:R55" si="3">IF($A2="","",IF($D2="","Ausente",IF($N2="","",IF($N2&gt;0,"Atrasado","Puntual"))))</f>
        <v>Atrasado</v>
      </c>
      <c r="S2" s="6" t="str">
        <f>IF(OR($A2="",$C2=""),"",IFERROR(INDEX(Turno!$C$3:$V$32,MATCH($C2,Turno!$B$3:$B$32,0),MATCH(DAY($A2),Turno!$C$1:$V$1,0)),""))</f>
        <v>A</v>
      </c>
      <c r="T2">
        <f>IF(OR($E2="",$S2=""),"",IFERROR(MAX(0,ROUND((INDEX(Config!$D$15:$D$18,MATCH($S2,Config!$B$15:$B$18,0))-$E2)*1440,0)),""))</f>
        <v>0</v>
      </c>
      <c r="U2" s="13">
        <f>IF(OR($N2="",$T2=""),"",IFERROR(MAX(0,1-($N2+$T2+MAX(0,N($Q2)))/ROUND((INDEX(Config!$D$15:$D$18,MATCH($S2,Config!$B$15:$B$18,0))-INDEX(Config!$C$15:$C$18,MATCH($S2,Config!$B$15:$B$18,0)))*1440,0)),""))</f>
        <v>0.92666666666666664</v>
      </c>
      <c r="V2" s="5"/>
    </row>
    <row r="3" spans="1:22" x14ac:dyDescent="0.25">
      <c r="A3" s="11">
        <v>46237</v>
      </c>
      <c r="B3" s="2" t="s">
        <v>18</v>
      </c>
      <c r="C3" t="str">
        <f>IFERROR(INDEX(Ejecutivos!$B$2:$B$100,MATCH(B3,Ejecutivos!$A$2:$A$100,0)),"")</f>
        <v>ALEJANDRA ORELLANA</v>
      </c>
      <c r="D3" s="69" t="s">
        <v>137</v>
      </c>
      <c r="E3" s="69" t="s">
        <v>171</v>
      </c>
      <c r="F3" s="69">
        <v>0</v>
      </c>
      <c r="G3" s="69">
        <v>0</v>
      </c>
      <c r="H3" s="70">
        <v>15</v>
      </c>
      <c r="I3" s="70">
        <v>8</v>
      </c>
      <c r="J3" s="70">
        <v>2</v>
      </c>
      <c r="K3" s="69">
        <v>1</v>
      </c>
      <c r="L3" s="18">
        <v>0</v>
      </c>
      <c r="M3">
        <f t="shared" si="0"/>
        <v>8.6199999999999992</v>
      </c>
      <c r="N3">
        <f>IF(OR($D3="",$S3=""),"",IFERROR(MAX(0,ROUND(($D3-INDEX(Config!$C$15:$C$18,MATCH($S3,Config!$B$15:$B$18,0)))*24*60,0)),""))</f>
        <v>0</v>
      </c>
      <c r="O3">
        <f t="shared" si="1"/>
        <v>0</v>
      </c>
      <c r="P3">
        <f t="shared" si="2"/>
        <v>23</v>
      </c>
      <c r="Q3">
        <f>IF(OR($P3="",$S3=""),"",IFERROR($P3-INDEX(Config!$E$15:$E$18,MATCH($S3,Config!$B$15:$B$18,0)),""))</f>
        <v>-37</v>
      </c>
      <c r="R3" t="str">
        <f t="shared" si="3"/>
        <v>Puntual</v>
      </c>
      <c r="S3" s="6" t="str">
        <f>IF(OR($A3="",$C3=""),"",IFERROR(INDEX(Turno!$C$3:$V$32,MATCH($C3,Turno!$B$3:$B$32,0),MATCH(DAY($A3),Turno!$C$1:$V$1,0)),""))</f>
        <v>A</v>
      </c>
      <c r="T3">
        <f>IF(OR($E3="",$S3=""),"",IFERROR(MAX(0,ROUND((INDEX(Config!$D$15:$D$18,MATCH($S3,Config!$B$15:$B$18,0))-$E3)*1440,0)),""))</f>
        <v>60</v>
      </c>
      <c r="U3" s="13">
        <f>IF(OR($N3="",$T3=""),"",IFERROR(MAX(0,1-($N3+$T3+MAX(0,N($Q3)))/ROUND((INDEX(Config!$D$15:$D$18,MATCH($S3,Config!$B$15:$B$18,0))-INDEX(Config!$C$15:$C$18,MATCH($S3,Config!$B$15:$B$18,0)))*1440,0)),""))</f>
        <v>0.9</v>
      </c>
      <c r="V3" s="5"/>
    </row>
    <row r="4" spans="1:22" x14ac:dyDescent="0.25">
      <c r="A4" s="11">
        <v>46237</v>
      </c>
      <c r="B4" s="2" t="s">
        <v>23</v>
      </c>
      <c r="C4" t="str">
        <f>IFERROR(INDEX(Ejecutivos!$B$2:$B$100,MATCH(B4,Ejecutivos!$A$2:$A$100,0)),"")</f>
        <v>ATALY GARCIA</v>
      </c>
      <c r="D4" s="72" t="s">
        <v>152</v>
      </c>
      <c r="E4" s="69" t="s">
        <v>156</v>
      </c>
      <c r="F4" s="69" t="s">
        <v>139</v>
      </c>
      <c r="G4" s="69" t="s">
        <v>143</v>
      </c>
      <c r="H4" s="70">
        <v>15</v>
      </c>
      <c r="I4" s="70">
        <v>15</v>
      </c>
      <c r="J4" s="71">
        <v>23</v>
      </c>
      <c r="K4" s="69">
        <v>3</v>
      </c>
      <c r="L4" s="18">
        <v>0</v>
      </c>
      <c r="M4">
        <f t="shared" si="0"/>
        <v>8.6999999999999993</v>
      </c>
      <c r="N4">
        <f>IF(OR($D4="",$S4=""),"",IFERROR(MAX(0,ROUND(($D4-INDEX(Config!$C$15:$C$18,MATCH($S4,Config!$B$15:$B$18,0)))*24*60,0)),""))</f>
        <v>0</v>
      </c>
      <c r="O4">
        <f t="shared" si="1"/>
        <v>30</v>
      </c>
      <c r="P4">
        <f t="shared" si="2"/>
        <v>60</v>
      </c>
      <c r="Q4">
        <f>IF(OR($P4="",$S4=""),"",IFERROR($P4-INDEX(Config!$E$15:$E$18,MATCH($S4,Config!$B$15:$B$18,0)),""))</f>
        <v>0</v>
      </c>
      <c r="R4" t="str">
        <f t="shared" si="3"/>
        <v>Puntual</v>
      </c>
      <c r="S4" s="6" t="str">
        <f>IF(OR($A4="",$C4=""),"",IFERROR(INDEX(Turno!$C$3:$V$32,MATCH($C4,Turno!$B$3:$B$32,0),MATCH(DAY($A4),Turno!$C$1:$V$1,0)),""))</f>
        <v>A</v>
      </c>
      <c r="T4">
        <f>IF(OR($E4="",$S4=""),"",IFERROR(MAX(0,ROUND((INDEX(Config!$D$15:$D$18,MATCH($S4,Config!$B$15:$B$18,0))-$E4)*1440,0)),""))</f>
        <v>20</v>
      </c>
      <c r="U4" s="13">
        <f>IF(OR($N4="",$T4=""),"",IFERROR(MAX(0,1-($N4+$T4+MAX(0,N($Q4)))/ROUND((INDEX(Config!$D$15:$D$18,MATCH($S4,Config!$B$15:$B$18,0))-INDEX(Config!$C$15:$C$18,MATCH($S4,Config!$B$15:$B$18,0)))*1440,0)),""))</f>
        <v>0.96666666666666667</v>
      </c>
      <c r="V4" s="5"/>
    </row>
    <row r="5" spans="1:22" x14ac:dyDescent="0.25">
      <c r="A5" s="11">
        <v>46237</v>
      </c>
      <c r="B5" s="2" t="s">
        <v>25</v>
      </c>
      <c r="C5" t="str">
        <f>IFERROR(INDEX(Ejecutivos!$B$2:$B$100,MATCH(B5,Ejecutivos!$A$2:$A$100,0)),"")</f>
        <v>CATHERINE AEDO</v>
      </c>
      <c r="D5" s="72" t="s">
        <v>159</v>
      </c>
      <c r="E5" s="72" t="s">
        <v>172</v>
      </c>
      <c r="F5" s="72" t="s">
        <v>144</v>
      </c>
      <c r="G5" s="72" t="s">
        <v>165</v>
      </c>
      <c r="H5" s="73">
        <v>17</v>
      </c>
      <c r="I5" s="70">
        <v>19</v>
      </c>
      <c r="J5" s="71">
        <v>41</v>
      </c>
      <c r="K5" s="69">
        <v>5</v>
      </c>
      <c r="L5" s="18">
        <v>0</v>
      </c>
      <c r="M5">
        <f t="shared" si="0"/>
        <v>8.83</v>
      </c>
      <c r="N5">
        <f>IF(OR($D5="",$S5=""),"",IFERROR(MAX(0,ROUND(($D5-INDEX(Config!$C$15:$C$18,MATCH($S5,Config!$B$15:$B$18,0)))*24*60,0)),""))</f>
        <v>0</v>
      </c>
      <c r="O5">
        <f t="shared" si="1"/>
        <v>63</v>
      </c>
      <c r="P5">
        <f t="shared" si="2"/>
        <v>99</v>
      </c>
      <c r="Q5">
        <f>IF(OR($P5="",$S5=""),"",IFERROR($P5-INDEX(Config!$E$15:$E$18,MATCH($S5,Config!$B$15:$B$18,0)),""))</f>
        <v>39</v>
      </c>
      <c r="R5" t="str">
        <f t="shared" si="3"/>
        <v>Puntual</v>
      </c>
      <c r="S5" s="6" t="str">
        <f>IF(OR($A5="",$C5=""),"",IFERROR(INDEX(Turno!$C$3:$V$32,MATCH($C5,Turno!$B$3:$B$32,0),MATCH(DAY($A5),Turno!$C$1:$V$1,0)),""))</f>
        <v>A</v>
      </c>
      <c r="T5">
        <f>IF(OR($E5="",$S5=""),"",IFERROR(MAX(0,ROUND((INDEX(Config!$D$15:$D$18,MATCH($S5,Config!$B$15:$B$18,0))-$E5)*1440,0)),""))</f>
        <v>0</v>
      </c>
      <c r="U5" s="13">
        <f>IF(OR($N5="",$T5=""),"",IFERROR(MAX(0,1-($N5+$T5+MAX(0,N($Q5)))/ROUND((INDEX(Config!$D$15:$D$18,MATCH($S5,Config!$B$15:$B$18,0))-INDEX(Config!$C$15:$C$18,MATCH($S5,Config!$B$15:$B$18,0)))*1440,0)),""))</f>
        <v>0.93500000000000005</v>
      </c>
      <c r="V5" s="5"/>
    </row>
    <row r="6" spans="1:22" x14ac:dyDescent="0.25">
      <c r="A6" s="11">
        <v>46237</v>
      </c>
      <c r="B6" s="2" t="s">
        <v>27</v>
      </c>
      <c r="C6" t="str">
        <f>IFERROR(INDEX(Ejecutivos!$B$2:$B$100,MATCH(B6,Ejecutivos!$A$2:$A$100,0)),"")</f>
        <v>DANIELA RODRIGUEZ</v>
      </c>
      <c r="D6" s="72" t="s">
        <v>134</v>
      </c>
      <c r="E6" s="69" t="s">
        <v>133</v>
      </c>
      <c r="F6" s="69" t="s">
        <v>160</v>
      </c>
      <c r="G6" s="69" t="s">
        <v>154</v>
      </c>
      <c r="H6" s="70">
        <v>16</v>
      </c>
      <c r="I6" s="70">
        <v>16</v>
      </c>
      <c r="J6" s="71">
        <v>21</v>
      </c>
      <c r="K6" s="69">
        <v>4</v>
      </c>
      <c r="L6" s="18">
        <v>0</v>
      </c>
      <c r="M6">
        <f t="shared" si="0"/>
        <v>9.02</v>
      </c>
      <c r="N6">
        <f>IF(OR($D6="",$S6=""),"",IFERROR(MAX(0,ROUND(($D6-INDEX(Config!$C$15:$C$18,MATCH($S6,Config!$B$15:$B$18,0)))*24*60,0)),""))</f>
        <v>1</v>
      </c>
      <c r="O6">
        <f t="shared" si="1"/>
        <v>27</v>
      </c>
      <c r="P6">
        <f t="shared" si="2"/>
        <v>59</v>
      </c>
      <c r="Q6">
        <f>IF(OR($P6="",$S6=""),"",IFERROR($P6-INDEX(Config!$E$15:$E$18,MATCH($S6,Config!$B$15:$B$18,0)),""))</f>
        <v>-1</v>
      </c>
      <c r="R6" t="str">
        <f t="shared" si="3"/>
        <v>Atrasado</v>
      </c>
      <c r="S6" s="6" t="str">
        <f>IF(OR($A6="",$C6=""),"",IFERROR(INDEX(Turno!$C$3:$V$32,MATCH($C6,Turno!$B$3:$B$32,0),MATCH(DAY($A6),Turno!$C$1:$V$1,0)),""))</f>
        <v>C</v>
      </c>
      <c r="T6">
        <f>IF(OR($E6="",$S6=""),"",IFERROR(MAX(0,ROUND((INDEX(Config!$D$15:$D$18,MATCH($S6,Config!$B$15:$B$18,0))-$E6)*1440,0)),""))</f>
        <v>0</v>
      </c>
      <c r="U6" s="13">
        <f>IF(OR($N6="",$T6=""),"",IFERROR(MAX(0,1-($N6+$T6+MAX(0,N($Q6)))/ROUND((INDEX(Config!$D$15:$D$18,MATCH($S6,Config!$B$15:$B$18,0))-INDEX(Config!$C$15:$C$18,MATCH($S6,Config!$B$15:$B$18,0)))*1440,0)),""))</f>
        <v>0.99791666666666667</v>
      </c>
      <c r="V6" s="5"/>
    </row>
    <row r="7" spans="1:22" x14ac:dyDescent="0.25">
      <c r="A7" s="11">
        <v>46237</v>
      </c>
      <c r="B7" s="2" t="s">
        <v>29</v>
      </c>
      <c r="C7" t="str">
        <f>IFERROR(INDEX(Ejecutivos!$B$2:$B$100,MATCH(B7,Ejecutivos!$A$2:$A$100,0)),"")</f>
        <v>ELSA GONGORA</v>
      </c>
      <c r="D7" s="69" t="s">
        <v>137</v>
      </c>
      <c r="E7" s="69" t="s">
        <v>133</v>
      </c>
      <c r="F7" s="69" t="s">
        <v>150</v>
      </c>
      <c r="G7" s="69" t="s">
        <v>166</v>
      </c>
      <c r="H7" s="70">
        <v>15</v>
      </c>
      <c r="I7" s="70">
        <v>15</v>
      </c>
      <c r="J7" s="70">
        <v>11</v>
      </c>
      <c r="K7" s="69">
        <v>3</v>
      </c>
      <c r="L7" s="18">
        <v>0</v>
      </c>
      <c r="M7">
        <f t="shared" si="0"/>
        <v>8.52</v>
      </c>
      <c r="N7">
        <f>IF(OR($D7="",$S7=""),"",IFERROR(MAX(0,ROUND(($D7-INDEX(Config!$C$15:$C$18,MATCH($S7,Config!$B$15:$B$18,0)))*24*60,0)),""))</f>
        <v>0</v>
      </c>
      <c r="O7">
        <f t="shared" si="1"/>
        <v>60</v>
      </c>
      <c r="P7">
        <f t="shared" si="2"/>
        <v>90</v>
      </c>
      <c r="Q7">
        <f>IF(OR($P7="",$S7=""),"",IFERROR($P7-INDEX(Config!$E$15:$E$18,MATCH($S7,Config!$B$15:$B$18,0)),""))</f>
        <v>30</v>
      </c>
      <c r="R7" t="str">
        <f t="shared" si="3"/>
        <v>Puntual</v>
      </c>
      <c r="S7" s="6" t="str">
        <f>IF(OR($A7="",$C7=""),"",IFERROR(INDEX(Turno!$C$3:$V$32,MATCH($C7,Turno!$B$3:$B$32,0),MATCH(DAY($A7),Turno!$C$1:$V$1,0)),""))</f>
        <v>A</v>
      </c>
      <c r="T7">
        <f>IF(OR($E7="",$S7=""),"",IFERROR(MAX(0,ROUND((INDEX(Config!$D$15:$D$18,MATCH($S7,Config!$B$15:$B$18,0))-$E7)*1440,0)),""))</f>
        <v>0</v>
      </c>
      <c r="U7" s="13">
        <f>IF(OR($N7="",$T7=""),"",IFERROR(MAX(0,1-($N7+$T7+MAX(0,N($Q7)))/ROUND((INDEX(Config!$D$15:$D$18,MATCH($S7,Config!$B$15:$B$18,0))-INDEX(Config!$C$15:$C$18,MATCH($S7,Config!$B$15:$B$18,0)))*1440,0)),""))</f>
        <v>0.95</v>
      </c>
      <c r="V7" s="5"/>
    </row>
    <row r="8" spans="1:22" x14ac:dyDescent="0.25">
      <c r="A8" s="11">
        <v>46237</v>
      </c>
      <c r="B8" s="2" t="s">
        <v>31</v>
      </c>
      <c r="C8" t="str">
        <f>IFERROR(INDEX(Ejecutivos!$B$2:$B$100,MATCH(B8,Ejecutivos!$A$2:$A$100,0)),"")</f>
        <v>JOHANA LLANCAPICHUN</v>
      </c>
      <c r="D8" s="69" t="s">
        <v>137</v>
      </c>
      <c r="E8" s="69" t="s">
        <v>151</v>
      </c>
      <c r="F8" s="69" t="s">
        <v>161</v>
      </c>
      <c r="G8" s="69" t="s">
        <v>136</v>
      </c>
      <c r="H8" s="70">
        <v>15</v>
      </c>
      <c r="I8" s="70">
        <v>15</v>
      </c>
      <c r="J8" s="70">
        <v>6</v>
      </c>
      <c r="K8" s="69">
        <v>1</v>
      </c>
      <c r="L8" s="18">
        <v>0</v>
      </c>
      <c r="M8">
        <f t="shared" si="0"/>
        <v>9.57</v>
      </c>
      <c r="N8">
        <f>IF(OR($D8="",$S8=""),"",IFERROR(MAX(0,ROUND(($D8-INDEX(Config!$C$15:$C$18,MATCH($S8,Config!$B$15:$B$18,0)))*24*60,0)),""))</f>
        <v>0</v>
      </c>
      <c r="O8">
        <f t="shared" si="1"/>
        <v>6</v>
      </c>
      <c r="P8">
        <f t="shared" si="2"/>
        <v>36</v>
      </c>
      <c r="Q8">
        <f>IF(OR($P8="",$S8=""),"",IFERROR($P8-INDEX(Config!$E$15:$E$18,MATCH($S8,Config!$B$15:$B$18,0)),""))</f>
        <v>-24</v>
      </c>
      <c r="R8" t="str">
        <f t="shared" si="3"/>
        <v>Puntual</v>
      </c>
      <c r="S8" s="6" t="str">
        <f>IF(OR($A8="",$C8=""),"",IFERROR(INDEX(Turno!$C$3:$V$32,MATCH($C8,Turno!$B$3:$B$32,0),MATCH(DAY($A8),Turno!$C$1:$V$1,0)),""))</f>
        <v>A</v>
      </c>
      <c r="T8">
        <f>IF(OR($E8="",$S8=""),"",IFERROR(MAX(0,ROUND((INDEX(Config!$D$15:$D$18,MATCH($S8,Config!$B$15:$B$18,0))-$E8)*1440,0)),""))</f>
        <v>0</v>
      </c>
      <c r="U8" s="13">
        <f>IF(OR($N8="",$T8=""),"",IFERROR(MAX(0,1-($N8+$T8+MAX(0,N($Q8)))/ROUND((INDEX(Config!$D$15:$D$18,MATCH($S8,Config!$B$15:$B$18,0))-INDEX(Config!$C$15:$C$18,MATCH($S8,Config!$B$15:$B$18,0)))*1440,0)),""))</f>
        <v>1</v>
      </c>
      <c r="V8" s="5"/>
    </row>
    <row r="9" spans="1:22" x14ac:dyDescent="0.25">
      <c r="A9" s="11">
        <v>46237</v>
      </c>
      <c r="B9" s="2" t="s">
        <v>33</v>
      </c>
      <c r="C9" t="str">
        <f>IFERROR(INDEX(Ejecutivos!$B$2:$B$100,MATCH(B9,Ejecutivos!$A$2:$A$100,0)),"")</f>
        <v>KATIA HALD</v>
      </c>
      <c r="D9" s="69" t="s">
        <v>137</v>
      </c>
      <c r="E9" s="69" t="s">
        <v>173</v>
      </c>
      <c r="F9" s="69" t="s">
        <v>162</v>
      </c>
      <c r="G9" s="69" t="s">
        <v>167</v>
      </c>
      <c r="H9" s="70">
        <v>18</v>
      </c>
      <c r="I9" s="70">
        <v>16</v>
      </c>
      <c r="J9" s="70">
        <v>10</v>
      </c>
      <c r="K9" s="69">
        <v>1</v>
      </c>
      <c r="L9" s="18">
        <v>0</v>
      </c>
      <c r="M9">
        <f t="shared" si="0"/>
        <v>8.5500000000000007</v>
      </c>
      <c r="N9">
        <f>IF(OR($D9="",$S9=""),"",IFERROR(MAX(0,ROUND(($D9-INDEX(Config!$C$15:$C$18,MATCH($S9,Config!$B$15:$B$18,0)))*24*60,0)),""))</f>
        <v>0</v>
      </c>
      <c r="O9">
        <f t="shared" si="1"/>
        <v>60</v>
      </c>
      <c r="P9">
        <f t="shared" si="2"/>
        <v>94</v>
      </c>
      <c r="Q9">
        <f>IF(OR($P9="",$S9=""),"",IFERROR($P9-INDEX(Config!$E$15:$E$18,MATCH($S9,Config!$B$15:$B$18,0)),""))</f>
        <v>34</v>
      </c>
      <c r="R9" t="str">
        <f t="shared" si="3"/>
        <v>Puntual</v>
      </c>
      <c r="S9" s="6" t="str">
        <f>IF(OR($A9="",$C9=""),"",IFERROR(INDEX(Turno!$C$3:$V$32,MATCH($C9,Turno!$B$3:$B$32,0),MATCH(DAY($A9),Turno!$C$1:$V$1,0)),""))</f>
        <v>A</v>
      </c>
      <c r="T9">
        <f>IF(OR($E9="",$S9=""),"",IFERROR(MAX(0,ROUND((INDEX(Config!$D$15:$D$18,MATCH($S9,Config!$B$15:$B$18,0))-$E9)*1440,0)),""))</f>
        <v>0</v>
      </c>
      <c r="U9" s="13">
        <f>IF(OR($N9="",$T9=""),"",IFERROR(MAX(0,1-($N9+$T9+MAX(0,N($Q9)))/ROUND((INDEX(Config!$D$15:$D$18,MATCH($S9,Config!$B$15:$B$18,0))-INDEX(Config!$C$15:$C$18,MATCH($S9,Config!$B$15:$B$18,0)))*1440,0)),""))</f>
        <v>0.94333333333333336</v>
      </c>
      <c r="V9" s="5"/>
    </row>
    <row r="10" spans="1:22" x14ac:dyDescent="0.25">
      <c r="A10" s="11">
        <v>46237</v>
      </c>
      <c r="B10" s="2" t="s">
        <v>35</v>
      </c>
      <c r="C10" t="str">
        <f>IFERROR(INDEX(Ejecutivos!$B$2:$B$100,MATCH(B10,Ejecutivos!$A$2:$A$100,0)),"")</f>
        <v>MANUEL MONSALVE</v>
      </c>
      <c r="D10" s="69" t="s">
        <v>152</v>
      </c>
      <c r="E10" s="69" t="s">
        <v>174</v>
      </c>
      <c r="F10" s="69" t="s">
        <v>163</v>
      </c>
      <c r="G10" s="69" t="s">
        <v>168</v>
      </c>
      <c r="H10" s="69">
        <v>0</v>
      </c>
      <c r="I10" s="69">
        <v>0</v>
      </c>
      <c r="J10" s="70">
        <v>0</v>
      </c>
      <c r="K10" s="69">
        <v>0</v>
      </c>
      <c r="L10" s="18">
        <v>0</v>
      </c>
      <c r="M10">
        <f t="shared" si="0"/>
        <v>9.6199999999999992</v>
      </c>
      <c r="N10">
        <f>IF(OR($D10="",$S10=""),"",IFERROR(MAX(0,ROUND(($D10-INDEX(Config!$C$15:$C$18,MATCH($S10,Config!$B$15:$B$18,0)))*24*60,0)),""))</f>
        <v>0</v>
      </c>
      <c r="O10">
        <f t="shared" si="1"/>
        <v>18</v>
      </c>
      <c r="P10">
        <f t="shared" si="2"/>
        <v>18</v>
      </c>
      <c r="Q10">
        <f>IF(OR($P10="",$S10=""),"",IFERROR($P10-INDEX(Config!$E$15:$E$18,MATCH($S10,Config!$B$15:$B$18,0)),""))</f>
        <v>-42</v>
      </c>
      <c r="R10" t="str">
        <f t="shared" si="3"/>
        <v>Puntual</v>
      </c>
      <c r="S10" s="6" t="str">
        <f>IF(OR($A10="",$C10=""),"",IFERROR(INDEX(Turno!$C$3:$V$32,MATCH($C10,Turno!$B$3:$B$32,0),MATCH(DAY($A10),Turno!$C$1:$V$1,0)),""))</f>
        <v>A</v>
      </c>
      <c r="T10">
        <f>IF(OR($E10="",$S10=""),"",IFERROR(MAX(0,ROUND((INDEX(Config!$D$15:$D$18,MATCH($S10,Config!$B$15:$B$18,0))-$E10)*1440,0)),""))</f>
        <v>7</v>
      </c>
      <c r="U10" s="13">
        <f>IF(OR($N10="",$T10=""),"",IFERROR(MAX(0,1-($N10+$T10+MAX(0,N($Q10)))/ROUND((INDEX(Config!$D$15:$D$18,MATCH($S10,Config!$B$15:$B$18,0))-INDEX(Config!$C$15:$C$18,MATCH($S10,Config!$B$15:$B$18,0)))*1440,0)),""))</f>
        <v>0.98833333333333329</v>
      </c>
      <c r="V10" s="5"/>
    </row>
    <row r="11" spans="1:22" x14ac:dyDescent="0.25">
      <c r="A11" s="11">
        <v>46237</v>
      </c>
      <c r="B11" s="2" t="s">
        <v>37</v>
      </c>
      <c r="C11" t="str">
        <f>IFERROR(INDEX(Ejecutivos!$B$2:$B$100,MATCH(B11,Ejecutivos!$A$2:$A$100,0)),"")</f>
        <v>MANUELA ASTUDILLO</v>
      </c>
      <c r="D11" s="69" t="s">
        <v>134</v>
      </c>
      <c r="E11" s="69" t="s">
        <v>175</v>
      </c>
      <c r="F11" s="69" t="s">
        <v>153</v>
      </c>
      <c r="G11" s="69" t="s">
        <v>136</v>
      </c>
      <c r="H11" s="70">
        <v>15</v>
      </c>
      <c r="I11" s="70">
        <v>16</v>
      </c>
      <c r="J11" s="71">
        <v>22</v>
      </c>
      <c r="K11" s="69">
        <v>3</v>
      </c>
      <c r="L11" s="18">
        <v>0</v>
      </c>
      <c r="M11">
        <f t="shared" si="0"/>
        <v>8.48</v>
      </c>
      <c r="N11">
        <f>IF(OR($D11="",$S11=""),"",IFERROR(MAX(0,ROUND(($D11-INDEX(Config!$C$15:$C$18,MATCH($S11,Config!$B$15:$B$18,0)))*24*60,0)),""))</f>
        <v>1</v>
      </c>
      <c r="O11">
        <f t="shared" si="1"/>
        <v>30</v>
      </c>
      <c r="P11">
        <f t="shared" si="2"/>
        <v>61</v>
      </c>
      <c r="Q11">
        <f>IF(OR($P11="",$S11=""),"",IFERROR($P11-INDEX(Config!$E$15:$E$18,MATCH($S11,Config!$B$15:$B$18,0)),""))</f>
        <v>1</v>
      </c>
      <c r="R11" t="str">
        <f t="shared" si="3"/>
        <v>Atrasado</v>
      </c>
      <c r="S11" s="6" t="str">
        <f>IF(OR($A11="",$C11=""),"",IFERROR(INDEX(Turno!$C$3:$V$32,MATCH($C11,Turno!$B$3:$B$32,0),MATCH(DAY($A11),Turno!$C$1:$V$1,0)),""))</f>
        <v>A</v>
      </c>
      <c r="T11">
        <f>IF(OR($E11="",$S11=""),"",IFERROR(MAX(0,ROUND((INDEX(Config!$D$15:$D$18,MATCH($S11,Config!$B$15:$B$18,0))-$E11)*1440,0)),""))</f>
        <v>29</v>
      </c>
      <c r="U11" s="13">
        <f>IF(OR($N11="",$T11=""),"",IFERROR(MAX(0,1-($N11+$T11+MAX(0,N($Q11)))/ROUND((INDEX(Config!$D$15:$D$18,MATCH($S11,Config!$B$15:$B$18,0))-INDEX(Config!$C$15:$C$18,MATCH($S11,Config!$B$15:$B$18,0)))*1440,0)),""))</f>
        <v>0.94833333333333336</v>
      </c>
      <c r="V11" s="5"/>
    </row>
    <row r="12" spans="1:22" x14ac:dyDescent="0.25">
      <c r="A12" s="11">
        <v>46237</v>
      </c>
      <c r="B12" s="2" t="s">
        <v>42</v>
      </c>
      <c r="C12" t="str">
        <f>IFERROR(INDEX(Ejecutivos!$B$2:$B$100,MATCH(B12,Ejecutivos!$A$2:$A$100,0)),"")</f>
        <v>MAXIMILIANO OLIVARES</v>
      </c>
      <c r="D12" s="69" t="s">
        <v>134</v>
      </c>
      <c r="E12" s="69" t="s">
        <v>176</v>
      </c>
      <c r="F12" s="69">
        <v>0</v>
      </c>
      <c r="G12" s="69">
        <v>0</v>
      </c>
      <c r="H12" s="70">
        <v>15</v>
      </c>
      <c r="I12" s="70">
        <v>7</v>
      </c>
      <c r="J12" s="70">
        <v>12</v>
      </c>
      <c r="K12" s="69">
        <v>4</v>
      </c>
      <c r="L12" s="18">
        <v>0</v>
      </c>
      <c r="M12">
        <f t="shared" si="0"/>
        <v>7.68</v>
      </c>
      <c r="N12">
        <f>IF(OR($D12="",$S12=""),"",IFERROR(MAX(0,ROUND(($D12-INDEX(Config!$C$15:$C$18,MATCH($S12,Config!$B$15:$B$18,0)))*24*60,0)),""))</f>
        <v>1</v>
      </c>
      <c r="O12">
        <f t="shared" si="1"/>
        <v>0</v>
      </c>
      <c r="P12">
        <f t="shared" si="2"/>
        <v>22</v>
      </c>
      <c r="Q12">
        <f>IF(OR($P12="",$S12=""),"",IFERROR($P12-INDEX(Config!$E$15:$E$18,MATCH($S12,Config!$B$15:$B$18,0)),""))</f>
        <v>-38</v>
      </c>
      <c r="R12" t="str">
        <f t="shared" si="3"/>
        <v>Atrasado</v>
      </c>
      <c r="S12" s="6" t="str">
        <f>IF(OR($A12="",$C12=""),"",IFERROR(INDEX(Turno!$C$3:$V$32,MATCH($C12,Turno!$B$3:$B$32,0),MATCH(DAY($A12),Turno!$C$1:$V$1,0)),""))</f>
        <v>C</v>
      </c>
      <c r="T12">
        <f>IF(OR($E12="",$S12=""),"",IFERROR(MAX(0,ROUND((INDEX(Config!$D$15:$D$18,MATCH($S12,Config!$B$15:$B$18,0))-$E12)*1440,0)),""))</f>
        <v>0</v>
      </c>
      <c r="U12" s="13">
        <f>IF(OR($N12="",$T12=""),"",IFERROR(MAX(0,1-($N12+$T12+MAX(0,N($Q12)))/ROUND((INDEX(Config!$D$15:$D$18,MATCH($S12,Config!$B$15:$B$18,0))-INDEX(Config!$C$15:$C$18,MATCH($S12,Config!$B$15:$B$18,0)))*1440,0)),""))</f>
        <v>0.99791666666666667</v>
      </c>
      <c r="V12" s="5"/>
    </row>
    <row r="13" spans="1:22" x14ac:dyDescent="0.25">
      <c r="A13" s="11">
        <v>46237</v>
      </c>
      <c r="B13" s="2" t="s">
        <v>44</v>
      </c>
      <c r="C13" t="str">
        <f>IFERROR(INDEX(Ejecutivos!$B$2:$B$100,MATCH(B13,Ejecutivos!$A$2:$A$100,0)),"")</f>
        <v>MELISSA SALGADO</v>
      </c>
      <c r="D13" s="69" t="s">
        <v>155</v>
      </c>
      <c r="E13" s="69" t="s">
        <v>146</v>
      </c>
      <c r="F13" s="69" t="s">
        <v>157</v>
      </c>
      <c r="G13" s="69" t="s">
        <v>169</v>
      </c>
      <c r="H13" s="70">
        <v>15</v>
      </c>
      <c r="I13" s="70">
        <v>16</v>
      </c>
      <c r="J13" s="71">
        <v>30</v>
      </c>
      <c r="K13" s="69">
        <v>5</v>
      </c>
      <c r="L13" s="18">
        <v>0</v>
      </c>
      <c r="M13">
        <f t="shared" si="0"/>
        <v>7.52</v>
      </c>
      <c r="N13">
        <f>IF(OR($D13="",$S13=""),"",IFERROR(MAX(0,ROUND(($D13-INDEX(Config!$C$15:$C$18,MATCH($S13,Config!$B$15:$B$18,0)))*24*60,0)),""))</f>
        <v>2</v>
      </c>
      <c r="O13">
        <f t="shared" si="1"/>
        <v>30</v>
      </c>
      <c r="P13">
        <f t="shared" si="2"/>
        <v>61</v>
      </c>
      <c r="Q13">
        <f>IF(OR($P13="",$S13=""),"",IFERROR($P13-INDEX(Config!$E$15:$E$18,MATCH($S13,Config!$B$15:$B$18,0)),""))</f>
        <v>1</v>
      </c>
      <c r="R13" t="str">
        <f t="shared" si="3"/>
        <v>Atrasado</v>
      </c>
      <c r="S13" s="6" t="str">
        <f>IF(OR($A13="",$C13=""),"",IFERROR(INDEX(Turno!$C$3:$V$32,MATCH($C13,Turno!$B$3:$B$32,0),MATCH(DAY($A13),Turno!$C$1:$V$1,0)),""))</f>
        <v>B</v>
      </c>
      <c r="T13">
        <f>IF(OR($E13="",$S13=""),"",IFERROR(MAX(0,ROUND((INDEX(Config!$D$15:$D$18,MATCH($S13,Config!$B$15:$B$18,0))-$E13)*1440,0)),""))</f>
        <v>26</v>
      </c>
      <c r="U13" s="13">
        <f>IF(OR($N13="",$T13=""),"",IFERROR(MAX(0,1-($N13+$T13+MAX(0,N($Q13)))/ROUND((INDEX(Config!$D$15:$D$18,MATCH($S13,Config!$B$15:$B$18,0))-INDEX(Config!$C$15:$C$18,MATCH($S13,Config!$B$15:$B$18,0)))*1440,0)),""))</f>
        <v>0.9462962962962963</v>
      </c>
      <c r="V13" s="5"/>
    </row>
    <row r="14" spans="1:22" x14ac:dyDescent="0.25">
      <c r="A14" s="11">
        <v>46237</v>
      </c>
      <c r="B14" s="2" t="s">
        <v>46</v>
      </c>
      <c r="C14" t="str">
        <f>IFERROR(INDEX(Ejecutivos!$B$2:$B$100,MATCH(B14,Ejecutivos!$A$2:$A$100,0)),"")</f>
        <v>NANCI MENDEZ</v>
      </c>
      <c r="D14" s="69" t="s">
        <v>145</v>
      </c>
      <c r="E14" s="69" t="s">
        <v>142</v>
      </c>
      <c r="F14" s="69" t="s">
        <v>164</v>
      </c>
      <c r="G14" s="69" t="s">
        <v>170</v>
      </c>
      <c r="H14" s="70">
        <v>15</v>
      </c>
      <c r="I14" s="70">
        <v>18</v>
      </c>
      <c r="J14" s="70">
        <v>0</v>
      </c>
      <c r="K14" s="69">
        <v>0</v>
      </c>
      <c r="L14" s="18">
        <v>0</v>
      </c>
      <c r="M14">
        <f t="shared" si="0"/>
        <v>8.6199999999999992</v>
      </c>
      <c r="N14">
        <f>IF(OR($D14="",$S14=""),"",IFERROR(MAX(0,ROUND(($D14-INDEX(Config!$C$15:$C$18,MATCH($S14,Config!$B$15:$B$18,0)))*24*60,0)),""))</f>
        <v>0</v>
      </c>
      <c r="O14">
        <f t="shared" si="1"/>
        <v>56</v>
      </c>
      <c r="P14">
        <f t="shared" si="2"/>
        <v>89</v>
      </c>
      <c r="Q14">
        <f>IF(OR($P14="",$S14=""),"",IFERROR($P14-INDEX(Config!$E$15:$E$18,MATCH($S14,Config!$B$15:$B$18,0)),""))</f>
        <v>29</v>
      </c>
      <c r="R14" t="str">
        <f t="shared" si="3"/>
        <v>Puntual</v>
      </c>
      <c r="S14" s="6" t="str">
        <f>IF(OR($A14="",$C14=""),"",IFERROR(INDEX(Turno!$C$3:$V$32,MATCH($C14,Turno!$B$3:$B$32,0),MATCH(DAY($A14),Turno!$C$1:$V$1,0)),""))</f>
        <v>B</v>
      </c>
      <c r="T14">
        <f>IF(OR($E14="",$S14=""),"",IFERROR(MAX(0,ROUND((INDEX(Config!$D$15:$D$18,MATCH($S14,Config!$B$15:$B$18,0))-$E14)*1440,0)),""))</f>
        <v>0</v>
      </c>
      <c r="U14" s="13">
        <f>IF(OR($N14="",$T14=""),"",IFERROR(MAX(0,1-($N14+$T14+MAX(0,N($Q14)))/ROUND((INDEX(Config!$D$15:$D$18,MATCH($S14,Config!$B$15:$B$18,0))-INDEX(Config!$C$15:$C$18,MATCH($S14,Config!$B$15:$B$18,0)))*1440,0)),""))</f>
        <v>0.9462962962962963</v>
      </c>
      <c r="V14" s="5"/>
    </row>
    <row r="15" spans="1:22" x14ac:dyDescent="0.25">
      <c r="A15" s="11">
        <v>46237</v>
      </c>
      <c r="B15" s="2" t="s">
        <v>49</v>
      </c>
      <c r="C15" t="str">
        <f>IFERROR(INDEX(Ejecutivos!$B$2:$B$100,MATCH(B15,Ejecutivos!$A$2:$A$100,0)),"")</f>
        <v>TOMAS MAULEN</v>
      </c>
      <c r="D15" s="69" t="s">
        <v>155</v>
      </c>
      <c r="E15" s="69" t="s">
        <v>140</v>
      </c>
      <c r="F15" s="69" t="s">
        <v>147</v>
      </c>
      <c r="G15" s="69" t="s">
        <v>149</v>
      </c>
      <c r="H15" s="70">
        <v>18</v>
      </c>
      <c r="I15" s="70">
        <v>3</v>
      </c>
      <c r="J15" s="71">
        <v>61</v>
      </c>
      <c r="K15" s="69">
        <v>7</v>
      </c>
      <c r="L15" s="18">
        <v>0</v>
      </c>
      <c r="M15">
        <f t="shared" si="0"/>
        <v>8.65</v>
      </c>
      <c r="N15">
        <f>IF(OR($D15="",$S15=""),"",IFERROR(MAX(0,ROUND(($D15-INDEX(Config!$C$15:$C$18,MATCH($S15,Config!$B$15:$B$18,0)))*24*60,0)),""))</f>
        <v>2</v>
      </c>
      <c r="O15">
        <f t="shared" si="1"/>
        <v>62</v>
      </c>
      <c r="P15">
        <f t="shared" si="2"/>
        <v>83</v>
      </c>
      <c r="Q15">
        <f>IF(OR($P15="",$S15=""),"",IFERROR($P15-INDEX(Config!$E$15:$E$18,MATCH($S15,Config!$B$15:$B$18,0)),""))</f>
        <v>23</v>
      </c>
      <c r="R15" t="str">
        <f t="shared" si="3"/>
        <v>Atrasado</v>
      </c>
      <c r="S15" s="6" t="str">
        <f>IF(OR($A15="",$C15=""),"",IFERROR(INDEX(Turno!$C$3:$V$32,MATCH($C15,Turno!$B$3:$B$32,0),MATCH(DAY($A15),Turno!$C$1:$V$1,0)),""))</f>
        <v>A</v>
      </c>
      <c r="T15">
        <f>IF(OR($E15="",$S15=""),"",IFERROR(MAX(0,ROUND((INDEX(Config!$D$15:$D$18,MATCH($S15,Config!$B$15:$B$18,0))-$E15)*1440,0)),""))</f>
        <v>0</v>
      </c>
      <c r="U15" s="13">
        <f>IF(OR($N15="",$T15=""),"",IFERROR(MAX(0,1-($N15+$T15+MAX(0,N($Q15)))/ROUND((INDEX(Config!$D$15:$D$18,MATCH($S15,Config!$B$15:$B$18,0))-INDEX(Config!$C$15:$C$18,MATCH($S15,Config!$B$15:$B$18,0)))*1440,0)),""))</f>
        <v>0.95833333333333337</v>
      </c>
      <c r="V15" s="5"/>
    </row>
    <row r="16" spans="1:22" x14ac:dyDescent="0.25">
      <c r="A16" s="11">
        <v>46238</v>
      </c>
      <c r="B16" s="2" t="s">
        <v>11</v>
      </c>
      <c r="C16" t="str">
        <f>IFERROR(INDEX(Ejecutivos!$B$2:$B$100,MATCH(B16,Ejecutivos!$A$2:$A$100,0)),"")</f>
        <v>ALEJANDRA CHACON</v>
      </c>
      <c r="D16" s="69" t="s">
        <v>137</v>
      </c>
      <c r="E16" s="69" t="s">
        <v>133</v>
      </c>
      <c r="F16" s="69" t="s">
        <v>190</v>
      </c>
      <c r="G16" s="69" t="s">
        <v>163</v>
      </c>
      <c r="H16" s="70">
        <v>16</v>
      </c>
      <c r="I16" s="70">
        <v>16</v>
      </c>
      <c r="J16" s="71">
        <v>26</v>
      </c>
      <c r="K16" s="69">
        <v>3</v>
      </c>
      <c r="L16" s="18">
        <v>0</v>
      </c>
      <c r="M16">
        <f t="shared" si="0"/>
        <v>8.4700000000000006</v>
      </c>
      <c r="N16">
        <f>IF(OR($D16="",$S16=""),"",IFERROR(MAX(0,ROUND(($D16-INDEX(Config!$C$15:$C$18,MATCH($S16,Config!$B$15:$B$18,0)))*24*60,0)),""))</f>
        <v>0</v>
      </c>
      <c r="O16">
        <f t="shared" si="1"/>
        <v>61</v>
      </c>
      <c r="P16">
        <f t="shared" si="2"/>
        <v>93</v>
      </c>
      <c r="Q16">
        <f>IF(OR($P16="",$S16=""),"",IFERROR($P16-INDEX(Config!$E$15:$E$18,MATCH($S16,Config!$B$15:$B$18,0)),""))</f>
        <v>33</v>
      </c>
      <c r="R16" t="str">
        <f t="shared" si="3"/>
        <v>Puntual</v>
      </c>
      <c r="S16" s="6" t="str">
        <f>IF(OR($A16="",$C16=""),"",IFERROR(INDEX(Turno!$C$3:$V$32,MATCH($C16,Turno!$B$3:$B$32,0),MATCH(DAY($A16),Turno!$C$1:$V$1,0)),""))</f>
        <v>A</v>
      </c>
      <c r="T16">
        <f>IF(OR($E16="",$S16=""),"",IFERROR(MAX(0,ROUND((INDEX(Config!$D$15:$D$18,MATCH($S16,Config!$B$15:$B$18,0))-$E16)*1440,0)),""))</f>
        <v>0</v>
      </c>
      <c r="U16" s="13">
        <f>IF(OR($N16="",$T16=""),"",IFERROR(MAX(0,1-($N16+$T16+MAX(0,N($Q16)))/ROUND((INDEX(Config!$D$15:$D$18,MATCH($S16,Config!$B$15:$B$18,0))-INDEX(Config!$C$15:$C$18,MATCH($S16,Config!$B$15:$B$18,0)))*1440,0)),""))</f>
        <v>0.94499999999999995</v>
      </c>
      <c r="V16" s="5"/>
    </row>
    <row r="17" spans="1:22" x14ac:dyDescent="0.25">
      <c r="A17" s="11">
        <v>46238</v>
      </c>
      <c r="B17" s="2" t="s">
        <v>18</v>
      </c>
      <c r="C17" t="str">
        <f>IFERROR(INDEX(Ejecutivos!$B$2:$B$100,MATCH(B17,Ejecutivos!$A$2:$A$100,0)),"")</f>
        <v>ALEJANDRA ORELLANA</v>
      </c>
      <c r="D17" s="69" t="s">
        <v>181</v>
      </c>
      <c r="E17" s="69" t="s">
        <v>175</v>
      </c>
      <c r="F17" s="69" t="s">
        <v>191</v>
      </c>
      <c r="G17" s="69" t="s">
        <v>192</v>
      </c>
      <c r="H17" s="70">
        <v>15</v>
      </c>
      <c r="I17" s="70">
        <v>15</v>
      </c>
      <c r="J17" s="70">
        <v>0</v>
      </c>
      <c r="K17" s="69">
        <v>0</v>
      </c>
      <c r="L17" s="18">
        <v>0</v>
      </c>
      <c r="M17">
        <f t="shared" si="0"/>
        <v>7.52</v>
      </c>
      <c r="N17">
        <f>IF(OR($D17="",$S17=""),"",IFERROR(MAX(0,ROUND(($D17-INDEX(Config!$C$15:$C$18,MATCH($S17,Config!$B$15:$B$18,0)))*24*60,0)),""))</f>
        <v>0</v>
      </c>
      <c r="O17">
        <f t="shared" si="1"/>
        <v>30</v>
      </c>
      <c r="P17">
        <f t="shared" si="2"/>
        <v>60</v>
      </c>
      <c r="Q17">
        <f>IF(OR($P17="",$S17=""),"",IFERROR($P17-INDEX(Config!$E$15:$E$18,MATCH($S17,Config!$B$15:$B$18,0)),""))</f>
        <v>0</v>
      </c>
      <c r="R17" t="str">
        <f t="shared" si="3"/>
        <v>Puntual</v>
      </c>
      <c r="S17" s="6" t="str">
        <f>IF(OR($A17="",$C17=""),"",IFERROR(INDEX(Turno!$C$3:$V$32,MATCH($C17,Turno!$B$3:$B$32,0),MATCH(DAY($A17),Turno!$C$1:$V$1,0)),""))</f>
        <v>D</v>
      </c>
      <c r="T17">
        <f>IF(OR($E17="",$S17=""),"",IFERROR(MAX(0,ROUND((INDEX(Config!$D$15:$D$18,MATCH($S17,Config!$B$15:$B$18,0))-$E17)*1440,0)),""))</f>
        <v>29</v>
      </c>
      <c r="U17" s="13">
        <f>IF(OR($N17="",$T17=""),"",IFERROR(MAX(0,1-($N17+$T17+MAX(0,N($Q17)))/ROUND((INDEX(Config!$D$15:$D$18,MATCH($S17,Config!$B$15:$B$18,0))-INDEX(Config!$C$15:$C$18,MATCH($S17,Config!$B$15:$B$18,0)))*1440,0)),""))</f>
        <v>0.9462962962962963</v>
      </c>
      <c r="V17" s="5"/>
    </row>
    <row r="18" spans="1:22" x14ac:dyDescent="0.25">
      <c r="A18" s="11">
        <v>46238</v>
      </c>
      <c r="B18" s="2" t="s">
        <v>20</v>
      </c>
      <c r="C18" t="str">
        <f>IFERROR(INDEX(Ejecutivos!$B$2:$B$100,MATCH(B18,Ejecutivos!$A$2:$A$100,0)),"")</f>
        <v>ANA ASTORGA</v>
      </c>
      <c r="D18" s="69" t="s">
        <v>155</v>
      </c>
      <c r="E18" s="69" t="s">
        <v>184</v>
      </c>
      <c r="F18" s="69" t="s">
        <v>193</v>
      </c>
      <c r="G18" s="69" t="s">
        <v>194</v>
      </c>
      <c r="H18" s="70">
        <v>15</v>
      </c>
      <c r="I18" s="70">
        <v>35</v>
      </c>
      <c r="J18" s="71">
        <v>28</v>
      </c>
      <c r="K18" s="69">
        <v>4</v>
      </c>
      <c r="L18" s="18">
        <v>0</v>
      </c>
      <c r="M18">
        <f t="shared" ref="M18" si="4">IF(OR(D18="",E18=""),"",ROUND(((E18-D18)*24)-((G18-F18)*24)-((H18+I18)/60),2))</f>
        <v>5.97</v>
      </c>
      <c r="N18">
        <f>IF(OR($D18="",$S18=""),"",IFERROR(MAX(0,ROUND(($D18-INDEX(Config!$C$15:$C$18,MATCH($S18,Config!$B$15:$B$18,0)))*24*60,0)),""))</f>
        <v>2</v>
      </c>
      <c r="O18">
        <f t="shared" ref="O18" si="5">IF(OR(F18="",G18=""),"",ROUND((G18-F18)*24*60,0))</f>
        <v>26</v>
      </c>
      <c r="P18">
        <f t="shared" ref="P18" si="6">IF(O18="","",O18+H18+I18)</f>
        <v>76</v>
      </c>
      <c r="Q18">
        <f>IF(OR($P18="",$S18=""),"",IFERROR($P18-INDEX(Config!$E$15:$E$18,MATCH($S18,Config!$B$15:$B$18,0)),""))</f>
        <v>16</v>
      </c>
      <c r="R18" t="str">
        <f t="shared" si="3"/>
        <v>Atrasado</v>
      </c>
      <c r="S18" s="6" t="str">
        <f>IF(OR($A18="",$C18=""),"",IFERROR(INDEX(Turno!$C$3:$V$32,MATCH($C18,Turno!$B$3:$B$32,0),MATCH(DAY($A18),Turno!$C$1:$V$1,0)),""))</f>
        <v>C</v>
      </c>
      <c r="T18">
        <f>IF(OR($E18="",$S18=""),"",IFERROR(MAX(0,ROUND((INDEX(Config!$D$15:$D$18,MATCH($S18,Config!$B$15:$B$18,0))-$E18)*1440,0)),""))</f>
        <v>44</v>
      </c>
      <c r="U18" s="13">
        <f>IF(OR($N18="",$T18=""),"",IFERROR(MAX(0,1-($N18+$T18+MAX(0,N($Q18)))/ROUND((INDEX(Config!$D$15:$D$18,MATCH($S18,Config!$B$15:$B$18,0))-INDEX(Config!$C$15:$C$18,MATCH($S18,Config!$B$15:$B$18,0)))*1440,0)),""))</f>
        <v>0.87083333333333335</v>
      </c>
      <c r="V18" s="5"/>
    </row>
    <row r="19" spans="1:22" x14ac:dyDescent="0.25">
      <c r="A19" s="11">
        <v>46238</v>
      </c>
      <c r="B19" s="2" t="s">
        <v>27</v>
      </c>
      <c r="C19" t="str">
        <f>IFERROR(INDEX(Ejecutivos!$B$2:$B$100,MATCH(B19,Ejecutivos!$A$2:$A$100,0)),"")</f>
        <v>DANIELA RODRIGUEZ</v>
      </c>
      <c r="D19" s="69" t="s">
        <v>182</v>
      </c>
      <c r="E19" s="69" t="s">
        <v>133</v>
      </c>
      <c r="F19" s="69" t="s">
        <v>160</v>
      </c>
      <c r="G19" s="69" t="s">
        <v>185</v>
      </c>
      <c r="H19" s="70">
        <v>15</v>
      </c>
      <c r="I19" s="69">
        <v>0</v>
      </c>
      <c r="J19" s="71">
        <v>28</v>
      </c>
      <c r="K19" s="69">
        <v>7</v>
      </c>
      <c r="L19" s="18">
        <v>0</v>
      </c>
      <c r="M19">
        <f t="shared" si="0"/>
        <v>6.23</v>
      </c>
      <c r="N19">
        <f>IF(OR($D19="",$S19=""),"",IFERROR(MAX(0,ROUND(($D19-INDEX(Config!$C$15:$C$18,MATCH($S19,Config!$B$15:$B$18,0)))*24*60,0)),""))</f>
        <v>150</v>
      </c>
      <c r="O19">
        <f t="shared" si="1"/>
        <v>62</v>
      </c>
      <c r="P19">
        <f t="shared" si="2"/>
        <v>77</v>
      </c>
      <c r="Q19">
        <f>IF(OR($P19="",$S19=""),"",IFERROR($P19-INDEX(Config!$E$15:$E$18,MATCH($S19,Config!$B$15:$B$18,0)),""))</f>
        <v>17</v>
      </c>
      <c r="R19" t="str">
        <f t="shared" si="3"/>
        <v>Atrasado</v>
      </c>
      <c r="S19" s="6" t="str">
        <f>IF(OR($A19="",$C19=""),"",IFERROR(INDEX(Turno!$C$3:$V$32,MATCH($C19,Turno!$B$3:$B$32,0),MATCH(DAY($A19),Turno!$C$1:$V$1,0)),""))</f>
        <v>A</v>
      </c>
      <c r="T19">
        <f>IF(OR($E19="",$S19=""),"",IFERROR(MAX(0,ROUND((INDEX(Config!$D$15:$D$18,MATCH($S19,Config!$B$15:$B$18,0))-$E19)*1440,0)),""))</f>
        <v>0</v>
      </c>
      <c r="U19" s="13">
        <f>IF(OR($N19="",$T19=""),"",IFERROR(MAX(0,1-($N19+$T19+MAX(0,N($Q19)))/ROUND((INDEX(Config!$D$15:$D$18,MATCH($S19,Config!$B$15:$B$18,0))-INDEX(Config!$C$15:$C$18,MATCH($S19,Config!$B$15:$B$18,0)))*1440,0)),""))</f>
        <v>0.72166666666666668</v>
      </c>
      <c r="V19" s="5"/>
    </row>
    <row r="20" spans="1:22" x14ac:dyDescent="0.25">
      <c r="A20" s="11">
        <v>46238</v>
      </c>
      <c r="B20" s="2" t="s">
        <v>29</v>
      </c>
      <c r="C20" t="str">
        <f>IFERROR(INDEX(Ejecutivos!$B$2:$B$100,MATCH(B20,Ejecutivos!$A$2:$A$100,0)),"")</f>
        <v>ELSA GONGORA</v>
      </c>
      <c r="D20" s="69" t="s">
        <v>137</v>
      </c>
      <c r="E20" s="69" t="s">
        <v>186</v>
      </c>
      <c r="F20" s="69" t="s">
        <v>199</v>
      </c>
      <c r="G20" s="69" t="s">
        <v>141</v>
      </c>
      <c r="H20" s="70">
        <v>15</v>
      </c>
      <c r="I20" s="70">
        <v>15</v>
      </c>
      <c r="J20" s="70">
        <v>7</v>
      </c>
      <c r="K20" s="69">
        <v>2</v>
      </c>
      <c r="L20" s="18">
        <v>0</v>
      </c>
      <c r="M20">
        <f t="shared" si="0"/>
        <v>10.25</v>
      </c>
      <c r="N20">
        <f>IF(OR($D20="",$S20=""),"",IFERROR(MAX(0,ROUND(($D20-INDEX(Config!$C$15:$C$18,MATCH($S20,Config!$B$15:$B$18,0)))*24*60,0)),""))</f>
        <v>0</v>
      </c>
      <c r="O20">
        <f t="shared" si="1"/>
        <v>60</v>
      </c>
      <c r="P20">
        <f t="shared" si="2"/>
        <v>90</v>
      </c>
      <c r="Q20">
        <f>IF(OR($P20="",$S20=""),"",IFERROR($P20-INDEX(Config!$E$15:$E$18,MATCH($S20,Config!$B$15:$B$18,0)),""))</f>
        <v>30</v>
      </c>
      <c r="R20" t="str">
        <f t="shared" si="3"/>
        <v>Puntual</v>
      </c>
      <c r="S20" s="6" t="str">
        <f>IF(OR($A20="",$C20=""),"",IFERROR(INDEX(Turno!$C$3:$V$32,MATCH($C20,Turno!$B$3:$B$32,0),MATCH(DAY($A20),Turno!$C$1:$V$1,0)),""))</f>
        <v>A</v>
      </c>
      <c r="T20">
        <f>IF(OR($E20="",$S20=""),"",IFERROR(MAX(0,ROUND((INDEX(Config!$D$15:$D$18,MATCH($S20,Config!$B$15:$B$18,0))-$E20)*1440,0)),""))</f>
        <v>0</v>
      </c>
      <c r="U20" s="13">
        <f>IF(OR($N20="",$T20=""),"",IFERROR(MAX(0,1-($N20+$T20+MAX(0,N($Q20)))/ROUND((INDEX(Config!$D$15:$D$18,MATCH($S20,Config!$B$15:$B$18,0))-INDEX(Config!$C$15:$C$18,MATCH($S20,Config!$B$15:$B$18,0)))*1440,0)),""))</f>
        <v>0.95</v>
      </c>
      <c r="V20" s="5"/>
    </row>
    <row r="21" spans="1:22" x14ac:dyDescent="0.25">
      <c r="A21" s="11">
        <v>46238</v>
      </c>
      <c r="B21" s="2" t="s">
        <v>31</v>
      </c>
      <c r="C21" t="str">
        <f>IFERROR(INDEX(Ejecutivos!$B$2:$B$100,MATCH(B21,Ejecutivos!$A$2:$A$100,0)),"")</f>
        <v>JOHANA LLANCAPICHUN</v>
      </c>
      <c r="D21" s="69" t="s">
        <v>137</v>
      </c>
      <c r="E21" s="69" t="s">
        <v>187</v>
      </c>
      <c r="F21" s="69" t="s">
        <v>198</v>
      </c>
      <c r="G21" s="69" t="s">
        <v>200</v>
      </c>
      <c r="H21" s="70">
        <v>15</v>
      </c>
      <c r="I21" s="69">
        <v>0</v>
      </c>
      <c r="J21" s="70">
        <v>7</v>
      </c>
      <c r="K21" s="69">
        <v>1</v>
      </c>
      <c r="L21" s="18">
        <v>0</v>
      </c>
      <c r="M21">
        <f t="shared" si="0"/>
        <v>10.53</v>
      </c>
      <c r="N21">
        <f>IF(OR($D21="",$S21=""),"",IFERROR(MAX(0,ROUND(($D21-INDEX(Config!$C$15:$C$18,MATCH($S21,Config!$B$15:$B$18,0)))*24*60,0)),""))</f>
        <v>0</v>
      </c>
      <c r="O21">
        <f t="shared" si="1"/>
        <v>59</v>
      </c>
      <c r="P21">
        <f t="shared" si="2"/>
        <v>74</v>
      </c>
      <c r="Q21">
        <f>IF(OR($P21="",$S21=""),"",IFERROR($P21-INDEX(Config!$E$15:$E$18,MATCH($S21,Config!$B$15:$B$18,0)),""))</f>
        <v>14</v>
      </c>
      <c r="R21" t="str">
        <f t="shared" si="3"/>
        <v>Puntual</v>
      </c>
      <c r="S21" s="6" t="str">
        <f>IF(OR($A21="",$C21=""),"",IFERROR(INDEX(Turno!$C$3:$V$32,MATCH($C21,Turno!$B$3:$B$32,0),MATCH(DAY($A21),Turno!$C$1:$V$1,0)),""))</f>
        <v>A</v>
      </c>
      <c r="T21">
        <f>IF(OR($E21="",$S21=""),"",IFERROR(MAX(0,ROUND((INDEX(Config!$D$15:$D$18,MATCH($S21,Config!$B$15:$B$18,0))-$E21)*1440,0)),""))</f>
        <v>0</v>
      </c>
      <c r="U21" s="13">
        <f>IF(OR($N21="",$T21=""),"",IFERROR(MAX(0,1-($N21+$T21+MAX(0,N($Q21)))/ROUND((INDEX(Config!$D$15:$D$18,MATCH($S21,Config!$B$15:$B$18,0))-INDEX(Config!$C$15:$C$18,MATCH($S21,Config!$B$15:$B$18,0)))*1440,0)),""))</f>
        <v>0.97666666666666668</v>
      </c>
      <c r="V21" s="5"/>
    </row>
    <row r="22" spans="1:22" x14ac:dyDescent="0.25">
      <c r="A22" s="11">
        <v>46238</v>
      </c>
      <c r="B22" s="2" t="s">
        <v>33</v>
      </c>
      <c r="C22" t="str">
        <f>IFERROR(INDEX(Ejecutivos!$B$2:$B$100,MATCH(B22,Ejecutivos!$A$2:$A$100,0)),"")</f>
        <v>KATIA HALD</v>
      </c>
      <c r="D22" s="69" t="s">
        <v>137</v>
      </c>
      <c r="E22" s="69" t="s">
        <v>188</v>
      </c>
      <c r="F22" s="69" t="s">
        <v>201</v>
      </c>
      <c r="G22" s="69" t="s">
        <v>202</v>
      </c>
      <c r="H22" s="70">
        <v>16</v>
      </c>
      <c r="I22" s="70">
        <v>16</v>
      </c>
      <c r="J22" s="70">
        <v>0</v>
      </c>
      <c r="K22" s="69">
        <v>0</v>
      </c>
      <c r="L22" s="18">
        <v>0</v>
      </c>
      <c r="M22">
        <f t="shared" si="0"/>
        <v>10.35</v>
      </c>
      <c r="N22">
        <f>IF(OR($D22="",$S22=""),"",IFERROR(MAX(0,ROUND(($D22-INDEX(Config!$C$15:$C$18,MATCH($S22,Config!$B$15:$B$18,0)))*24*60,0)),""))</f>
        <v>0</v>
      </c>
      <c r="O22">
        <f t="shared" si="1"/>
        <v>61</v>
      </c>
      <c r="P22">
        <f t="shared" si="2"/>
        <v>93</v>
      </c>
      <c r="Q22">
        <f>IF(OR($P22="",$S22=""),"",IFERROR($P22-INDEX(Config!$E$15:$E$18,MATCH($S22,Config!$B$15:$B$18,0)),""))</f>
        <v>33</v>
      </c>
      <c r="R22" t="str">
        <f t="shared" si="3"/>
        <v>Puntual</v>
      </c>
      <c r="S22" s="6" t="str">
        <f>IF(OR($A22="",$C22=""),"",IFERROR(INDEX(Turno!$C$3:$V$32,MATCH($C22,Turno!$B$3:$B$32,0),MATCH(DAY($A22),Turno!$C$1:$V$1,0)),""))</f>
        <v>A</v>
      </c>
      <c r="T22">
        <f>IF(OR($E22="",$S22=""),"",IFERROR(MAX(0,ROUND((INDEX(Config!$D$15:$D$18,MATCH($S22,Config!$B$15:$B$18,0))-$E22)*1440,0)),""))</f>
        <v>0</v>
      </c>
      <c r="U22" s="13">
        <f>IF(OR($N22="",$T22=""),"",IFERROR(MAX(0,1-($N22+$T22+MAX(0,N($Q22)))/ROUND((INDEX(Config!$D$15:$D$18,MATCH($S22,Config!$B$15:$B$18,0))-INDEX(Config!$C$15:$C$18,MATCH($S22,Config!$B$15:$B$18,0)))*1440,0)),""))</f>
        <v>0.94499999999999995</v>
      </c>
      <c r="V22" s="5"/>
    </row>
    <row r="23" spans="1:22" x14ac:dyDescent="0.25">
      <c r="A23" s="11">
        <v>46238</v>
      </c>
      <c r="B23" s="2" t="s">
        <v>35</v>
      </c>
      <c r="C23" t="str">
        <f>IFERROR(INDEX(Ejecutivos!$B$2:$B$100,MATCH(B23,Ejecutivos!$A$2:$A$100,0)),"")</f>
        <v>MANUEL MONSALVE</v>
      </c>
      <c r="D23" s="69" t="s">
        <v>152</v>
      </c>
      <c r="E23" s="69" t="s">
        <v>189</v>
      </c>
      <c r="F23" s="69" t="s">
        <v>203</v>
      </c>
      <c r="G23" s="69" t="s">
        <v>170</v>
      </c>
      <c r="H23" s="69">
        <v>0</v>
      </c>
      <c r="I23" s="69">
        <v>0</v>
      </c>
      <c r="J23" s="70">
        <v>0</v>
      </c>
      <c r="K23" s="69">
        <v>0</v>
      </c>
      <c r="L23" s="18">
        <v>0</v>
      </c>
      <c r="M23">
        <f t="shared" si="0"/>
        <v>11.6</v>
      </c>
      <c r="N23">
        <f>IF(OR($D23="",$S23=""),"",IFERROR(MAX(0,ROUND(($D23-INDEX(Config!$C$15:$C$18,MATCH($S23,Config!$B$15:$B$18,0)))*24*60,0)),""))</f>
        <v>0</v>
      </c>
      <c r="O23">
        <f t="shared" si="1"/>
        <v>27</v>
      </c>
      <c r="P23">
        <f t="shared" si="2"/>
        <v>27</v>
      </c>
      <c r="Q23">
        <f>IF(OR($P23="",$S23=""),"",IFERROR($P23-INDEX(Config!$E$15:$E$18,MATCH($S23,Config!$B$15:$B$18,0)),""))</f>
        <v>-33</v>
      </c>
      <c r="R23" t="str">
        <f t="shared" si="3"/>
        <v>Puntual</v>
      </c>
      <c r="S23" s="6" t="str">
        <f>IF(OR($A23="",$C23=""),"",IFERROR(INDEX(Turno!$C$3:$V$32,MATCH($C23,Turno!$B$3:$B$32,0),MATCH(DAY($A23),Turno!$C$1:$V$1,0)),""))</f>
        <v>A</v>
      </c>
      <c r="T23">
        <f>IF(OR($E23="",$S23=""),"",IFERROR(MAX(0,ROUND((INDEX(Config!$D$15:$D$18,MATCH($S23,Config!$B$15:$B$18,0))-$E23)*1440,0)),""))</f>
        <v>0</v>
      </c>
      <c r="U23" s="13">
        <f>IF(OR($N23="",$T23=""),"",IFERROR(MAX(0,1-($N23+$T23+MAX(0,N($Q23)))/ROUND((INDEX(Config!$D$15:$D$18,MATCH($S23,Config!$B$15:$B$18,0))-INDEX(Config!$C$15:$C$18,MATCH($S23,Config!$B$15:$B$18,0)))*1440,0)),""))</f>
        <v>1</v>
      </c>
      <c r="V23" s="5"/>
    </row>
    <row r="24" spans="1:22" x14ac:dyDescent="0.25">
      <c r="A24" s="11">
        <v>46238</v>
      </c>
      <c r="B24" s="2" t="s">
        <v>37</v>
      </c>
      <c r="C24" t="str">
        <f>IFERROR(INDEX(Ejecutivos!$B$2:$B$100,MATCH(B24,Ejecutivos!$A$2:$A$100,0)),"")</f>
        <v>MANUELA ASTUDILLO</v>
      </c>
      <c r="D24" s="69" t="s">
        <v>137</v>
      </c>
      <c r="E24" s="69" t="s">
        <v>133</v>
      </c>
      <c r="F24" s="69" t="s">
        <v>204</v>
      </c>
      <c r="G24" s="69" t="s">
        <v>162</v>
      </c>
      <c r="H24" s="70">
        <v>15</v>
      </c>
      <c r="I24" s="70">
        <v>15</v>
      </c>
      <c r="J24" s="70">
        <v>19</v>
      </c>
      <c r="K24" s="69">
        <v>3</v>
      </c>
      <c r="L24" s="18">
        <v>0</v>
      </c>
      <c r="M24">
        <f t="shared" si="0"/>
        <v>8.52</v>
      </c>
      <c r="N24">
        <f>IF(OR($D24="",$S24=""),"",IFERROR(MAX(0,ROUND(($D24-INDEX(Config!$C$15:$C$18,MATCH($S24,Config!$B$15:$B$18,0)))*24*60,0)),""))</f>
        <v>0</v>
      </c>
      <c r="O24">
        <f t="shared" si="1"/>
        <v>60</v>
      </c>
      <c r="P24">
        <f t="shared" si="2"/>
        <v>90</v>
      </c>
      <c r="Q24">
        <f>IF(OR($P24="",$S24=""),"",IFERROR($P24-INDEX(Config!$E$15:$E$18,MATCH($S24,Config!$B$15:$B$18,0)),""))</f>
        <v>30</v>
      </c>
      <c r="R24" t="str">
        <f t="shared" si="3"/>
        <v>Puntual</v>
      </c>
      <c r="S24" s="6" t="str">
        <f>IF(OR($A24="",$C24=""),"",IFERROR(INDEX(Turno!$C$3:$V$32,MATCH($C24,Turno!$B$3:$B$32,0),MATCH(DAY($A24),Turno!$C$1:$V$1,0)),""))</f>
        <v>A</v>
      </c>
      <c r="T24">
        <f>IF(OR($E24="",$S24=""),"",IFERROR(MAX(0,ROUND((INDEX(Config!$D$15:$D$18,MATCH($S24,Config!$B$15:$B$18,0))-$E24)*1440,0)),""))</f>
        <v>0</v>
      </c>
      <c r="U24" s="13">
        <f>IF(OR($N24="",$T24=""),"",IFERROR(MAX(0,1-($N24+$T24+MAX(0,N($Q24)))/ROUND((INDEX(Config!$D$15:$D$18,MATCH($S24,Config!$B$15:$B$18,0))-INDEX(Config!$C$15:$C$18,MATCH($S24,Config!$B$15:$B$18,0)))*1440,0)),""))</f>
        <v>0.95</v>
      </c>
      <c r="V24" s="5"/>
    </row>
    <row r="25" spans="1:22" x14ac:dyDescent="0.25">
      <c r="A25" s="11">
        <v>46238</v>
      </c>
      <c r="B25" s="2" t="s">
        <v>42</v>
      </c>
      <c r="C25" t="str">
        <f>IFERROR(INDEX(Ejecutivos!$B$2:$B$100,MATCH(B25,Ejecutivos!$A$2:$A$100,0)),"")</f>
        <v>MAXIMILIANO OLIVARES</v>
      </c>
      <c r="D25" s="69" t="s">
        <v>155</v>
      </c>
      <c r="E25" s="69" t="s">
        <v>186</v>
      </c>
      <c r="F25" s="69" t="s">
        <v>206</v>
      </c>
      <c r="G25" s="69" t="s">
        <v>207</v>
      </c>
      <c r="H25" s="70">
        <v>15</v>
      </c>
      <c r="I25" s="70">
        <v>2</v>
      </c>
      <c r="J25" s="70">
        <v>18</v>
      </c>
      <c r="K25" s="69">
        <v>8</v>
      </c>
      <c r="L25" s="18">
        <v>0</v>
      </c>
      <c r="M25">
        <f t="shared" si="0"/>
        <v>10.43</v>
      </c>
      <c r="N25">
        <f>IF(OR($D25="",$S25=""),"",IFERROR(MAX(0,ROUND(($D25-INDEX(Config!$C$15:$C$18,MATCH($S25,Config!$B$15:$B$18,0)))*24*60,0)),""))</f>
        <v>2</v>
      </c>
      <c r="O25">
        <f t="shared" si="1"/>
        <v>60</v>
      </c>
      <c r="P25">
        <f t="shared" si="2"/>
        <v>77</v>
      </c>
      <c r="Q25">
        <f>IF(OR($P25="",$S25=""),"",IFERROR($P25-INDEX(Config!$E$15:$E$18,MATCH($S25,Config!$B$15:$B$18,0)),""))</f>
        <v>17</v>
      </c>
      <c r="R25" t="str">
        <f t="shared" si="3"/>
        <v>Atrasado</v>
      </c>
      <c r="S25" s="6" t="str">
        <f>IF(OR($A25="",$C25=""),"",IFERROR(INDEX(Turno!$C$3:$V$32,MATCH($C25,Turno!$B$3:$B$32,0),MATCH(DAY($A25),Turno!$C$1:$V$1,0)),""))</f>
        <v>A</v>
      </c>
      <c r="T25">
        <f>IF(OR($E25="",$S25=""),"",IFERROR(MAX(0,ROUND((INDEX(Config!$D$15:$D$18,MATCH($S25,Config!$B$15:$B$18,0))-$E25)*1440,0)),""))</f>
        <v>0</v>
      </c>
      <c r="U25" s="13">
        <f>IF(OR($N25="",$T25=""),"",IFERROR(MAX(0,1-($N25+$T25+MAX(0,N($Q25)))/ROUND((INDEX(Config!$D$15:$D$18,MATCH($S25,Config!$B$15:$B$18,0))-INDEX(Config!$C$15:$C$18,MATCH($S25,Config!$B$15:$B$18,0)))*1440,0)),""))</f>
        <v>0.96833333333333338</v>
      </c>
      <c r="V25" s="5"/>
    </row>
    <row r="26" spans="1:22" x14ac:dyDescent="0.25">
      <c r="A26" s="11">
        <v>46238</v>
      </c>
      <c r="B26" s="2" t="s">
        <v>44</v>
      </c>
      <c r="C26" t="str">
        <f>IFERROR(INDEX(Ejecutivos!$B$2:$B$100,MATCH(B26,Ejecutivos!$A$2:$A$100,0)),"")</f>
        <v>MELISSA SALGADO</v>
      </c>
      <c r="D26" s="69" t="s">
        <v>137</v>
      </c>
      <c r="E26" s="69" t="s">
        <v>135</v>
      </c>
      <c r="F26" s="69" t="s">
        <v>208</v>
      </c>
      <c r="G26" s="69" t="s">
        <v>209</v>
      </c>
      <c r="H26" s="70">
        <v>15</v>
      </c>
      <c r="I26" s="70">
        <v>15</v>
      </c>
      <c r="J26" s="71">
        <v>29</v>
      </c>
      <c r="K26" s="69">
        <v>4</v>
      </c>
      <c r="L26" s="18">
        <v>0</v>
      </c>
      <c r="M26">
        <f t="shared" si="0"/>
        <v>8.5</v>
      </c>
      <c r="N26">
        <f>IF(OR($D26="",$S26=""),"",IFERROR(MAX(0,ROUND(($D26-INDEX(Config!$C$15:$C$18,MATCH($S26,Config!$B$15:$B$18,0)))*24*60,0)),""))</f>
        <v>0</v>
      </c>
      <c r="O26">
        <f t="shared" si="1"/>
        <v>60</v>
      </c>
      <c r="P26">
        <f t="shared" si="2"/>
        <v>90</v>
      </c>
      <c r="Q26">
        <f>IF(OR($P26="",$S26=""),"",IFERROR($P26-INDEX(Config!$E$15:$E$18,MATCH($S26,Config!$B$15:$B$18,0)),""))</f>
        <v>30</v>
      </c>
      <c r="R26" t="str">
        <f t="shared" si="3"/>
        <v>Puntual</v>
      </c>
      <c r="S26" s="6" t="str">
        <f>IF(OR($A26="",$C26=""),"",IFERROR(INDEX(Turno!$C$3:$V$32,MATCH($C26,Turno!$B$3:$B$32,0),MATCH(DAY($A26),Turno!$C$1:$V$1,0)),""))</f>
        <v>A</v>
      </c>
      <c r="T26">
        <f>IF(OR($E26="",$S26=""),"",IFERROR(MAX(0,ROUND((INDEX(Config!$D$15:$D$18,MATCH($S26,Config!$B$15:$B$18,0))-$E26)*1440,0)),""))</f>
        <v>0</v>
      </c>
      <c r="U26" s="13">
        <f>IF(OR($N26="",$T26=""),"",IFERROR(MAX(0,1-($N26+$T26+MAX(0,N($Q26)))/ROUND((INDEX(Config!$D$15:$D$18,MATCH($S26,Config!$B$15:$B$18,0))-INDEX(Config!$C$15:$C$18,MATCH($S26,Config!$B$15:$B$18,0)))*1440,0)),""))</f>
        <v>0.95</v>
      </c>
      <c r="V26" s="5"/>
    </row>
    <row r="27" spans="1:22" x14ac:dyDescent="0.25">
      <c r="A27" s="11">
        <v>46238</v>
      </c>
      <c r="B27" s="2" t="s">
        <v>46</v>
      </c>
      <c r="C27" t="str">
        <f>IFERROR(INDEX(Ejecutivos!$B$2:$B$100,MATCH(B27,Ejecutivos!$A$2:$A$100,0)),"")</f>
        <v>NANCI MENDEZ</v>
      </c>
      <c r="D27" s="69" t="s">
        <v>152</v>
      </c>
      <c r="E27" s="69" t="s">
        <v>171</v>
      </c>
      <c r="F27" s="69" t="s">
        <v>210</v>
      </c>
      <c r="G27" s="69" t="s">
        <v>211</v>
      </c>
      <c r="H27" s="70">
        <v>17</v>
      </c>
      <c r="I27" s="70">
        <v>18</v>
      </c>
      <c r="J27" s="70">
        <v>6</v>
      </c>
      <c r="K27" s="69">
        <v>1</v>
      </c>
      <c r="L27" s="18">
        <v>0</v>
      </c>
      <c r="M27">
        <f t="shared" si="0"/>
        <v>7.45</v>
      </c>
      <c r="N27">
        <f>IF(OR($D27="",$S27=""),"",IFERROR(MAX(0,ROUND(($D27-INDEX(Config!$C$15:$C$18,MATCH($S27,Config!$B$15:$B$18,0)))*24*60,0)),""))</f>
        <v>0</v>
      </c>
      <c r="O27">
        <f t="shared" si="1"/>
        <v>60</v>
      </c>
      <c r="P27">
        <f t="shared" si="2"/>
        <v>95</v>
      </c>
      <c r="Q27">
        <f>IF(OR($P27="",$S27=""),"",IFERROR($P27-INDEX(Config!$E$15:$E$18,MATCH($S27,Config!$B$15:$B$18,0)),""))</f>
        <v>35</v>
      </c>
      <c r="R27" t="str">
        <f t="shared" si="3"/>
        <v>Puntual</v>
      </c>
      <c r="S27" s="6" t="str">
        <f>IF(OR($A27="",$C27=""),"",IFERROR(INDEX(Turno!$C$3:$V$32,MATCH($C27,Turno!$B$3:$B$32,0),MATCH(DAY($A27),Turno!$C$1:$V$1,0)),""))</f>
        <v>A</v>
      </c>
      <c r="T27">
        <f>IF(OR($E27="",$S27=""),"",IFERROR(MAX(0,ROUND((INDEX(Config!$D$15:$D$18,MATCH($S27,Config!$B$15:$B$18,0))-$E27)*1440,0)),""))</f>
        <v>60</v>
      </c>
      <c r="U27" s="13">
        <f>IF(OR($N27="",$T27=""),"",IFERROR(MAX(0,1-($N27+$T27+MAX(0,N($Q27)))/ROUND((INDEX(Config!$D$15:$D$18,MATCH($S27,Config!$B$15:$B$18,0))-INDEX(Config!$C$15:$C$18,MATCH($S27,Config!$B$15:$B$18,0)))*1440,0)),""))</f>
        <v>0.84166666666666667</v>
      </c>
      <c r="V27" s="5"/>
    </row>
    <row r="28" spans="1:22" x14ac:dyDescent="0.25">
      <c r="A28" s="11">
        <v>46238</v>
      </c>
      <c r="B28" s="2" t="s">
        <v>49</v>
      </c>
      <c r="C28" t="str">
        <f>IFERROR(INDEX(Ejecutivos!$B$2:$B$100,MATCH(B28,Ejecutivos!$A$2:$A$100,0)),"")</f>
        <v>TOMAS MAULEN</v>
      </c>
      <c r="D28" s="69" t="s">
        <v>183</v>
      </c>
      <c r="E28" s="74">
        <v>0.77083333333333337</v>
      </c>
      <c r="F28" s="69">
        <v>0</v>
      </c>
      <c r="G28" s="69">
        <v>0</v>
      </c>
      <c r="H28" s="70">
        <v>17</v>
      </c>
      <c r="I28" s="70">
        <v>2</v>
      </c>
      <c r="J28" s="71">
        <v>65</v>
      </c>
      <c r="K28" s="69">
        <v>9</v>
      </c>
      <c r="L28" s="18">
        <v>0</v>
      </c>
      <c r="M28">
        <f t="shared" si="0"/>
        <v>9.57</v>
      </c>
      <c r="N28">
        <f>IF(OR($D28="",$S28=""),"",IFERROR(MAX(0,ROUND(($D28-INDEX(Config!$C$15:$C$18,MATCH($S28,Config!$B$15:$B$18,0)))*24*60,0)),""))</f>
        <v>7</v>
      </c>
      <c r="O28">
        <f t="shared" si="1"/>
        <v>0</v>
      </c>
      <c r="P28">
        <f t="shared" si="2"/>
        <v>19</v>
      </c>
      <c r="Q28">
        <f>IF(OR($P28="",$S28=""),"",IFERROR($P28-INDEX(Config!$E$15:$E$18,MATCH($S28,Config!$B$15:$B$18,0)),""))</f>
        <v>-41</v>
      </c>
      <c r="R28" t="str">
        <f t="shared" si="3"/>
        <v>Atrasado</v>
      </c>
      <c r="S28" s="6" t="str">
        <f>IF(OR($A28="",$C28=""),"",IFERROR(INDEX(Turno!$C$3:$V$32,MATCH($C28,Turno!$B$3:$B$32,0),MATCH(DAY($A28),Turno!$C$1:$V$1,0)),""))</f>
        <v>B</v>
      </c>
      <c r="T28">
        <f>IF(OR($E28="",$S28=""),"",IFERROR(MAX(0,ROUND((INDEX(Config!$D$15:$D$18,MATCH($S28,Config!$B$15:$B$18,0))-$E28)*1440,0)),""))</f>
        <v>0</v>
      </c>
      <c r="U28" s="13">
        <f>IF(OR($N28="",$T28=""),"",IFERROR(MAX(0,1-($N28+$T28+MAX(0,N($Q28)))/ROUND((INDEX(Config!$D$15:$D$18,MATCH($S28,Config!$B$15:$B$18,0))-INDEX(Config!$C$15:$C$18,MATCH($S28,Config!$B$15:$B$18,0)))*1440,0)),""))</f>
        <v>0.98703703703703705</v>
      </c>
      <c r="V28" s="5"/>
    </row>
    <row r="29" spans="1:22" x14ac:dyDescent="0.25">
      <c r="A29" s="11">
        <v>46239</v>
      </c>
      <c r="B29" s="2" t="s">
        <v>11</v>
      </c>
      <c r="C29" t="str">
        <f>IFERROR(INDEX(Ejecutivos!$B$2:$B$100,MATCH(B29,Ejecutivos!$A$2:$A$100,0)),"")</f>
        <v>ALEJANDRA CHACON</v>
      </c>
      <c r="D29" s="69" t="s">
        <v>132</v>
      </c>
      <c r="E29" s="69" t="s">
        <v>135</v>
      </c>
      <c r="F29" s="69" t="s">
        <v>153</v>
      </c>
      <c r="G29" s="69" t="s">
        <v>224</v>
      </c>
      <c r="H29" s="70">
        <v>16</v>
      </c>
      <c r="I29" s="70">
        <v>16</v>
      </c>
      <c r="J29" s="71">
        <v>31</v>
      </c>
      <c r="K29" s="69">
        <v>3</v>
      </c>
      <c r="L29" s="18">
        <v>0</v>
      </c>
      <c r="M29">
        <f t="shared" si="0"/>
        <v>8.4700000000000006</v>
      </c>
      <c r="N29">
        <f>IF(OR($D29="",$S29=""),"",IFERROR(MAX(0,ROUND(($D29-INDEX(Config!$C$15:$C$18,MATCH($S29,Config!$B$15:$B$18,0)))*24*60,0)),""))</f>
        <v>0</v>
      </c>
      <c r="O29">
        <f t="shared" si="1"/>
        <v>61</v>
      </c>
      <c r="P29">
        <f t="shared" si="2"/>
        <v>93</v>
      </c>
      <c r="Q29">
        <f>IF(OR($P29="",$S29=""),"",IFERROR($P29-INDEX(Config!$E$15:$E$18,MATCH($S29,Config!$B$15:$B$18,0)),""))</f>
        <v>33</v>
      </c>
      <c r="R29" t="str">
        <f t="shared" si="3"/>
        <v>Puntual</v>
      </c>
      <c r="S29" s="6" t="str">
        <f>IF(OR($A29="",$C29=""),"",IFERROR(INDEX(Turno!$C$3:$V$32,MATCH($C29,Turno!$B$3:$B$32,0),MATCH(DAY($A29),Turno!$C$1:$V$1,0)),""))</f>
        <v>A</v>
      </c>
      <c r="T29">
        <f>IF(OR($E29="",$S29=""),"",IFERROR(MAX(0,ROUND((INDEX(Config!$D$15:$D$18,MATCH($S29,Config!$B$15:$B$18,0))-$E29)*1440,0)),""))</f>
        <v>0</v>
      </c>
      <c r="U29" s="13">
        <f>IF(OR($N29="",$T29=""),"",IFERROR(MAX(0,1-($N29+$T29+MAX(0,N($Q29)))/ROUND((INDEX(Config!$D$15:$D$18,MATCH($S29,Config!$B$15:$B$18,0))-INDEX(Config!$C$15:$C$18,MATCH($S29,Config!$B$15:$B$18,0)))*1440,0)),""))</f>
        <v>0.94499999999999995</v>
      </c>
      <c r="V29" s="5"/>
    </row>
    <row r="30" spans="1:22" x14ac:dyDescent="0.25">
      <c r="A30" s="11">
        <v>46239</v>
      </c>
      <c r="B30" s="2" t="s">
        <v>18</v>
      </c>
      <c r="C30" t="str">
        <f>IFERROR(INDEX(Ejecutivos!$B$2:$B$100,MATCH(B30,Ejecutivos!$A$2:$A$100,0)),"")</f>
        <v>ALEJANDRA ORELLANA</v>
      </c>
      <c r="D30" s="69" t="s">
        <v>137</v>
      </c>
      <c r="E30" s="69" t="s">
        <v>215</v>
      </c>
      <c r="F30" s="69" t="s">
        <v>138</v>
      </c>
      <c r="G30" s="69" t="s">
        <v>205</v>
      </c>
      <c r="H30" s="70">
        <v>15</v>
      </c>
      <c r="I30" s="70">
        <v>15</v>
      </c>
      <c r="J30" s="70">
        <v>5</v>
      </c>
      <c r="K30" s="69">
        <v>1</v>
      </c>
      <c r="L30" s="18">
        <v>0</v>
      </c>
      <c r="M30">
        <f t="shared" si="0"/>
        <v>8.5</v>
      </c>
      <c r="N30">
        <f>IF(OR($D30="",$S30=""),"",IFERROR(MAX(0,ROUND(($D30-INDEX(Config!$C$15:$C$18,MATCH($S30,Config!$B$15:$B$18,0)))*24*60,0)),""))</f>
        <v>0</v>
      </c>
      <c r="O30">
        <f t="shared" si="1"/>
        <v>30</v>
      </c>
      <c r="P30">
        <f t="shared" si="2"/>
        <v>60</v>
      </c>
      <c r="Q30">
        <f>IF(OR($P30="",$S30=""),"",IFERROR($P30-INDEX(Config!$E$15:$E$18,MATCH($S30,Config!$B$15:$B$18,0)),""))</f>
        <v>0</v>
      </c>
      <c r="R30" t="str">
        <f t="shared" si="3"/>
        <v>Puntual</v>
      </c>
      <c r="S30" s="6" t="str">
        <f>IF(OR($A30="",$C30=""),"",IFERROR(INDEX(Turno!$C$3:$V$32,MATCH($C30,Turno!$B$3:$B$32,0),MATCH(DAY($A30),Turno!$C$1:$V$1,0)),""))</f>
        <v>A</v>
      </c>
      <c r="T30">
        <f>IF(OR($E30="",$S30=""),"",IFERROR(MAX(0,ROUND((INDEX(Config!$D$15:$D$18,MATCH($S30,Config!$B$15:$B$18,0))-$E30)*1440,0)),""))</f>
        <v>30</v>
      </c>
      <c r="U30" s="13">
        <f>IF(OR($N30="",$T30=""),"",IFERROR(MAX(0,1-($N30+$T30+MAX(0,N($Q30)))/ROUND((INDEX(Config!$D$15:$D$18,MATCH($S30,Config!$B$15:$B$18,0))-INDEX(Config!$C$15:$C$18,MATCH($S30,Config!$B$15:$B$18,0)))*1440,0)),""))</f>
        <v>0.95</v>
      </c>
      <c r="V30" s="5"/>
    </row>
    <row r="31" spans="1:22" x14ac:dyDescent="0.25">
      <c r="A31" s="11">
        <v>46239</v>
      </c>
      <c r="B31" s="2" t="s">
        <v>27</v>
      </c>
      <c r="C31" t="str">
        <f>IFERROR(INDEX(Ejecutivos!$B$2:$B$100,MATCH(B31,Ejecutivos!$A$2:$A$100,0)),"")</f>
        <v>DANIELA RODRIGUEZ</v>
      </c>
      <c r="D31" s="69" t="s">
        <v>137</v>
      </c>
      <c r="E31" s="69" t="s">
        <v>217</v>
      </c>
      <c r="F31" s="69" t="s">
        <v>227</v>
      </c>
      <c r="G31" s="69" t="s">
        <v>228</v>
      </c>
      <c r="H31" s="70">
        <v>17</v>
      </c>
      <c r="I31" s="70">
        <v>16</v>
      </c>
      <c r="J31" s="70">
        <v>16</v>
      </c>
      <c r="K31" s="69">
        <v>4</v>
      </c>
      <c r="L31" s="18">
        <v>0</v>
      </c>
      <c r="M31">
        <f t="shared" si="0"/>
        <v>8.4499999999999993</v>
      </c>
      <c r="N31">
        <f>IF(OR($D31="",$S31=""),"",IFERROR(MAX(0,ROUND(($D31-INDEX(Config!$C$15:$C$18,MATCH($S31,Config!$B$15:$B$18,0)))*24*60,0)),""))</f>
        <v>0</v>
      </c>
      <c r="O31">
        <f t="shared" si="1"/>
        <v>63</v>
      </c>
      <c r="P31">
        <f t="shared" si="2"/>
        <v>96</v>
      </c>
      <c r="Q31">
        <f>IF(OR($P31="",$S31=""),"",IFERROR($P31-INDEX(Config!$E$15:$E$18,MATCH($S31,Config!$B$15:$B$18,0)),""))</f>
        <v>36</v>
      </c>
      <c r="R31" t="str">
        <f t="shared" si="3"/>
        <v>Puntual</v>
      </c>
      <c r="S31" s="6" t="str">
        <f>IF(OR($A31="",$C31=""),"",IFERROR(INDEX(Turno!$C$3:$V$32,MATCH($C31,Turno!$B$3:$B$32,0),MATCH(DAY($A31),Turno!$C$1:$V$1,0)),""))</f>
        <v>A</v>
      </c>
      <c r="T31">
        <f>IF(OR($E31="",$S31=""),"",IFERROR(MAX(0,ROUND((INDEX(Config!$D$15:$D$18,MATCH($S31,Config!$B$15:$B$18,0))-$E31)*1440,0)),""))</f>
        <v>0</v>
      </c>
      <c r="U31" s="13">
        <f>IF(OR($N31="",$T31=""),"",IFERROR(MAX(0,1-($N31+$T31+MAX(0,N($Q31)))/ROUND((INDEX(Config!$D$15:$D$18,MATCH($S31,Config!$B$15:$B$18,0))-INDEX(Config!$C$15:$C$18,MATCH($S31,Config!$B$15:$B$18,0)))*1440,0)),""))</f>
        <v>0.94</v>
      </c>
      <c r="V31" s="5"/>
    </row>
    <row r="32" spans="1:22" x14ac:dyDescent="0.25">
      <c r="A32" s="11">
        <v>46239</v>
      </c>
      <c r="B32" s="2" t="s">
        <v>29</v>
      </c>
      <c r="C32" t="str">
        <f>IFERROR(INDEX(Ejecutivos!$B$2:$B$100,MATCH(B32,Ejecutivos!$A$2:$A$100,0)),"")</f>
        <v>ELSA GONGORA</v>
      </c>
      <c r="D32" s="69" t="s">
        <v>213</v>
      </c>
      <c r="E32" s="69" t="s">
        <v>218</v>
      </c>
      <c r="F32" s="69" t="s">
        <v>229</v>
      </c>
      <c r="G32" s="69" t="s">
        <v>230</v>
      </c>
      <c r="H32" s="70">
        <v>15</v>
      </c>
      <c r="I32" s="69">
        <v>0</v>
      </c>
      <c r="J32" s="70">
        <v>9</v>
      </c>
      <c r="K32" s="69">
        <v>1</v>
      </c>
      <c r="L32" s="18">
        <v>0</v>
      </c>
      <c r="M32">
        <f t="shared" si="0"/>
        <v>10.45</v>
      </c>
      <c r="N32">
        <f>IF(OR($D32="",$S32=""),"",IFERROR(MAX(0,ROUND(($D32-INDEX(Config!$C$15:$C$18,MATCH($S32,Config!$B$15:$B$18,0)))*24*60,0)),""))</f>
        <v>1</v>
      </c>
      <c r="O32">
        <f t="shared" si="1"/>
        <v>61</v>
      </c>
      <c r="P32">
        <f t="shared" si="2"/>
        <v>76</v>
      </c>
      <c r="Q32">
        <f>IF(OR($P32="",$S32=""),"",IFERROR($P32-INDEX(Config!$E$15:$E$18,MATCH($S32,Config!$B$15:$B$18,0)),""))</f>
        <v>16</v>
      </c>
      <c r="R32" t="str">
        <f t="shared" si="3"/>
        <v>Atrasado</v>
      </c>
      <c r="S32" s="6" t="str">
        <f>IF(OR($A32="",$C32=""),"",IFERROR(INDEX(Turno!$C$3:$V$32,MATCH($C32,Turno!$B$3:$B$32,0),MATCH(DAY($A32),Turno!$C$1:$V$1,0)),""))</f>
        <v>D</v>
      </c>
      <c r="T32">
        <f>IF(OR($E32="",$S32=""),"",IFERROR(MAX(0,ROUND((INDEX(Config!$D$15:$D$18,MATCH($S32,Config!$B$15:$B$18,0))-$E32)*1440,0)),""))</f>
        <v>0</v>
      </c>
      <c r="U32" s="13">
        <f>IF(OR($N32="",$T32=""),"",IFERROR(MAX(0,1-($N32+$T32+MAX(0,N($Q32)))/ROUND((INDEX(Config!$D$15:$D$18,MATCH($S32,Config!$B$15:$B$18,0))-INDEX(Config!$C$15:$C$18,MATCH($S32,Config!$B$15:$B$18,0)))*1440,0)),""))</f>
        <v>0.96851851851851856</v>
      </c>
      <c r="V32" s="5"/>
    </row>
    <row r="33" spans="1:22" x14ac:dyDescent="0.25">
      <c r="A33" s="11">
        <v>46239</v>
      </c>
      <c r="B33" s="2" t="s">
        <v>31</v>
      </c>
      <c r="C33" t="str">
        <f>IFERROR(INDEX(Ejecutivos!$B$2:$B$100,MATCH(B33,Ejecutivos!$A$2:$A$100,0)),"")</f>
        <v>JOHANA LLANCAPICHUN</v>
      </c>
      <c r="D33" s="69" t="s">
        <v>137</v>
      </c>
      <c r="E33" s="69" t="s">
        <v>135</v>
      </c>
      <c r="F33" s="69" t="s">
        <v>231</v>
      </c>
      <c r="G33" s="69" t="s">
        <v>232</v>
      </c>
      <c r="H33" s="70">
        <v>6</v>
      </c>
      <c r="I33" s="70">
        <v>15</v>
      </c>
      <c r="J33" s="70">
        <v>0</v>
      </c>
      <c r="K33" s="69">
        <v>0</v>
      </c>
      <c r="L33" s="18">
        <v>0</v>
      </c>
      <c r="M33">
        <f t="shared" si="0"/>
        <v>8.73</v>
      </c>
      <c r="N33">
        <f>IF(OR($D33="",$S33=""),"",IFERROR(MAX(0,ROUND(($D33-INDEX(Config!$C$15:$C$18,MATCH($S33,Config!$B$15:$B$18,0)))*24*60,0)),""))</f>
        <v>0</v>
      </c>
      <c r="O33">
        <f t="shared" si="1"/>
        <v>55</v>
      </c>
      <c r="P33">
        <f t="shared" si="2"/>
        <v>76</v>
      </c>
      <c r="Q33">
        <f>IF(OR($P33="",$S33=""),"",IFERROR($P33-INDEX(Config!$E$15:$E$18,MATCH($S33,Config!$B$15:$B$18,0)),""))</f>
        <v>16</v>
      </c>
      <c r="R33" t="str">
        <f t="shared" si="3"/>
        <v>Puntual</v>
      </c>
      <c r="S33" s="6" t="str">
        <f>IF(OR($A33="",$C33=""),"",IFERROR(INDEX(Turno!$C$3:$V$32,MATCH($C33,Turno!$B$3:$B$32,0),MATCH(DAY($A33),Turno!$C$1:$V$1,0)),""))</f>
        <v>A</v>
      </c>
      <c r="T33">
        <f>IF(OR($E33="",$S33=""),"",IFERROR(MAX(0,ROUND((INDEX(Config!$D$15:$D$18,MATCH($S33,Config!$B$15:$B$18,0))-$E33)*1440,0)),""))</f>
        <v>0</v>
      </c>
      <c r="U33" s="13">
        <f>IF(OR($N33="",$T33=""),"",IFERROR(MAX(0,1-($N33+$T33+MAX(0,N($Q33)))/ROUND((INDEX(Config!$D$15:$D$18,MATCH($S33,Config!$B$15:$B$18,0))-INDEX(Config!$C$15:$C$18,MATCH($S33,Config!$B$15:$B$18,0)))*1440,0)),""))</f>
        <v>0.97333333333333338</v>
      </c>
      <c r="V33" s="5"/>
    </row>
    <row r="34" spans="1:22" x14ac:dyDescent="0.25">
      <c r="A34" s="11">
        <v>46239</v>
      </c>
      <c r="B34" s="2" t="s">
        <v>33</v>
      </c>
      <c r="C34" t="str">
        <f>IFERROR(INDEX(Ejecutivos!$B$2:$B$100,MATCH(B34,Ejecutivos!$A$2:$A$100,0)),"")</f>
        <v>KATIA HALD</v>
      </c>
      <c r="D34" s="69" t="s">
        <v>137</v>
      </c>
      <c r="E34" s="69" t="s">
        <v>142</v>
      </c>
      <c r="F34" s="69" t="s">
        <v>233</v>
      </c>
      <c r="G34" s="69" t="s">
        <v>234</v>
      </c>
      <c r="H34" s="70">
        <v>16</v>
      </c>
      <c r="I34" s="70">
        <v>15</v>
      </c>
      <c r="J34" s="70">
        <v>12</v>
      </c>
      <c r="K34" s="69">
        <v>1</v>
      </c>
      <c r="L34" s="18">
        <v>0</v>
      </c>
      <c r="M34">
        <f t="shared" si="0"/>
        <v>8.52</v>
      </c>
      <c r="N34">
        <f>IF(OR($D34="",$S34=""),"",IFERROR(MAX(0,ROUND(($D34-INDEX(Config!$C$15:$C$18,MATCH($S34,Config!$B$15:$B$18,0)))*24*60,0)),""))</f>
        <v>0</v>
      </c>
      <c r="O34">
        <f t="shared" si="1"/>
        <v>60</v>
      </c>
      <c r="P34">
        <f t="shared" si="2"/>
        <v>91</v>
      </c>
      <c r="Q34">
        <f>IF(OR($P34="",$S34=""),"",IFERROR($P34-INDEX(Config!$E$15:$E$18,MATCH($S34,Config!$B$15:$B$18,0)),""))</f>
        <v>31</v>
      </c>
      <c r="R34" t="str">
        <f t="shared" si="3"/>
        <v>Puntual</v>
      </c>
      <c r="S34" s="6" t="str">
        <f>IF(OR($A34="",$C34=""),"",IFERROR(INDEX(Turno!$C$3:$V$32,MATCH($C34,Turno!$B$3:$B$32,0),MATCH(DAY($A34),Turno!$C$1:$V$1,0)),""))</f>
        <v>A</v>
      </c>
      <c r="T34">
        <f>IF(OR($E34="",$S34=""),"",IFERROR(MAX(0,ROUND((INDEX(Config!$D$15:$D$18,MATCH($S34,Config!$B$15:$B$18,0))-$E34)*1440,0)),""))</f>
        <v>0</v>
      </c>
      <c r="U34" s="13">
        <f>IF(OR($N34="",$T34=""),"",IFERROR(MAX(0,1-($N34+$T34+MAX(0,N($Q34)))/ROUND((INDEX(Config!$D$15:$D$18,MATCH($S34,Config!$B$15:$B$18,0))-INDEX(Config!$C$15:$C$18,MATCH($S34,Config!$B$15:$B$18,0)))*1440,0)),""))</f>
        <v>0.94833333333333336</v>
      </c>
      <c r="V34" s="5"/>
    </row>
    <row r="35" spans="1:22" x14ac:dyDescent="0.25">
      <c r="A35" s="11">
        <v>46239</v>
      </c>
      <c r="B35" s="2" t="s">
        <v>35</v>
      </c>
      <c r="C35" t="str">
        <f>IFERROR(INDEX(Ejecutivos!$B$2:$B$100,MATCH(B35,Ejecutivos!$A$2:$A$100,0)),"")</f>
        <v>MANUEL MONSALVE</v>
      </c>
      <c r="D35" s="69" t="s">
        <v>132</v>
      </c>
      <c r="E35" s="69" t="s">
        <v>219</v>
      </c>
      <c r="F35" s="69" t="s">
        <v>235</v>
      </c>
      <c r="G35" s="69" t="s">
        <v>236</v>
      </c>
      <c r="H35" s="69">
        <v>0</v>
      </c>
      <c r="I35" s="69">
        <v>0</v>
      </c>
      <c r="J35" s="70">
        <v>12</v>
      </c>
      <c r="K35" s="69">
        <v>2</v>
      </c>
      <c r="L35" s="18">
        <v>0</v>
      </c>
      <c r="M35">
        <f t="shared" si="0"/>
        <v>9.85</v>
      </c>
      <c r="N35">
        <f>IF(OR($D35="",$S35=""),"",IFERROR(MAX(0,ROUND(($D35-INDEX(Config!$C$15:$C$18,MATCH($S35,Config!$B$15:$B$18,0)))*24*60,0)),""))</f>
        <v>0</v>
      </c>
      <c r="O35">
        <f t="shared" si="1"/>
        <v>21</v>
      </c>
      <c r="P35">
        <f t="shared" si="2"/>
        <v>21</v>
      </c>
      <c r="Q35">
        <f>IF(OR($P35="",$S35=""),"",IFERROR($P35-INDEX(Config!$E$15:$E$18,MATCH($S35,Config!$B$15:$B$18,0)),""))</f>
        <v>-39</v>
      </c>
      <c r="R35" t="str">
        <f t="shared" si="3"/>
        <v>Puntual</v>
      </c>
      <c r="S35" s="6" t="str">
        <f>IF(OR($A35="",$C35=""),"",IFERROR(INDEX(Turno!$C$3:$V$32,MATCH($C35,Turno!$B$3:$B$32,0),MATCH(DAY($A35),Turno!$C$1:$V$1,0)),""))</f>
        <v>A</v>
      </c>
      <c r="T35">
        <f>IF(OR($E35="",$S35=""),"",IFERROR(MAX(0,ROUND((INDEX(Config!$D$15:$D$18,MATCH($S35,Config!$B$15:$B$18,0))-$E35)*1440,0)),""))</f>
        <v>0</v>
      </c>
      <c r="U35" s="13">
        <f>IF(OR($N35="",$T35=""),"",IFERROR(MAX(0,1-($N35+$T35+MAX(0,N($Q35)))/ROUND((INDEX(Config!$D$15:$D$18,MATCH($S35,Config!$B$15:$B$18,0))-INDEX(Config!$C$15:$C$18,MATCH($S35,Config!$B$15:$B$18,0)))*1440,0)),""))</f>
        <v>1</v>
      </c>
      <c r="V35" s="5"/>
    </row>
    <row r="36" spans="1:22" x14ac:dyDescent="0.25">
      <c r="A36" s="11">
        <v>46239</v>
      </c>
      <c r="B36" s="2" t="s">
        <v>37</v>
      </c>
      <c r="C36" t="str">
        <f>IFERROR(INDEX(Ejecutivos!$B$2:$B$100,MATCH(B36,Ejecutivos!$A$2:$A$100,0)),"")</f>
        <v>MANUELA ASTUDILLO</v>
      </c>
      <c r="D36" s="69" t="s">
        <v>134</v>
      </c>
      <c r="E36" s="69" t="s">
        <v>215</v>
      </c>
      <c r="F36" s="69" t="s">
        <v>237</v>
      </c>
      <c r="G36" s="69" t="s">
        <v>238</v>
      </c>
      <c r="H36" s="70">
        <v>16</v>
      </c>
      <c r="I36" s="70">
        <v>15</v>
      </c>
      <c r="J36" s="70">
        <v>20</v>
      </c>
      <c r="K36" s="69">
        <v>2</v>
      </c>
      <c r="L36" s="18">
        <v>0</v>
      </c>
      <c r="M36">
        <f t="shared" si="0"/>
        <v>8.4499999999999993</v>
      </c>
      <c r="N36">
        <f>IF(OR($D36="",$S36=""),"",IFERROR(MAX(0,ROUND(($D36-INDEX(Config!$C$15:$C$18,MATCH($S36,Config!$B$15:$B$18,0)))*24*60,0)),""))</f>
        <v>1</v>
      </c>
      <c r="O36">
        <f t="shared" si="1"/>
        <v>31</v>
      </c>
      <c r="P36">
        <f t="shared" si="2"/>
        <v>62</v>
      </c>
      <c r="Q36">
        <f>IF(OR($P36="",$S36=""),"",IFERROR($P36-INDEX(Config!$E$15:$E$18,MATCH($S36,Config!$B$15:$B$18,0)),""))</f>
        <v>2</v>
      </c>
      <c r="R36" t="str">
        <f t="shared" si="3"/>
        <v>Atrasado</v>
      </c>
      <c r="S36" s="6" t="str">
        <f>IF(OR($A36="",$C36=""),"",IFERROR(INDEX(Turno!$C$3:$V$32,MATCH($C36,Turno!$B$3:$B$32,0),MATCH(DAY($A36),Turno!$C$1:$V$1,0)),""))</f>
        <v>A</v>
      </c>
      <c r="T36">
        <f>IF(OR($E36="",$S36=""),"",IFERROR(MAX(0,ROUND((INDEX(Config!$D$15:$D$18,MATCH($S36,Config!$B$15:$B$18,0))-$E36)*1440,0)),""))</f>
        <v>30</v>
      </c>
      <c r="U36" s="13">
        <f>IF(OR($N36="",$T36=""),"",IFERROR(MAX(0,1-($N36+$T36+MAX(0,N($Q36)))/ROUND((INDEX(Config!$D$15:$D$18,MATCH($S36,Config!$B$15:$B$18,0))-INDEX(Config!$C$15:$C$18,MATCH($S36,Config!$B$15:$B$18,0)))*1440,0)),""))</f>
        <v>0.94499999999999995</v>
      </c>
      <c r="V36" s="5"/>
    </row>
    <row r="37" spans="1:22" x14ac:dyDescent="0.25">
      <c r="A37" s="11">
        <v>46239</v>
      </c>
      <c r="B37" s="2" t="s">
        <v>42</v>
      </c>
      <c r="C37" t="str">
        <f>IFERROR(INDEX(Ejecutivos!$B$2:$B$100,MATCH(B37,Ejecutivos!$A$2:$A$100,0)),"")</f>
        <v>MAXIMILIANO OLIVARES</v>
      </c>
      <c r="D37" s="69" t="s">
        <v>137</v>
      </c>
      <c r="E37" s="69" t="s">
        <v>135</v>
      </c>
      <c r="F37" s="69" t="s">
        <v>239</v>
      </c>
      <c r="G37" s="69" t="s">
        <v>229</v>
      </c>
      <c r="H37" s="70">
        <v>15</v>
      </c>
      <c r="I37" s="70">
        <v>15</v>
      </c>
      <c r="J37" s="70">
        <v>11</v>
      </c>
      <c r="K37" s="69">
        <v>4</v>
      </c>
      <c r="L37" s="18">
        <v>0</v>
      </c>
      <c r="M37">
        <f t="shared" si="0"/>
        <v>8.5</v>
      </c>
      <c r="N37">
        <f>IF(OR($D37="",$S37=""),"",IFERROR(MAX(0,ROUND(($D37-INDEX(Config!$C$15:$C$18,MATCH($S37,Config!$B$15:$B$18,0)))*24*60,0)),""))</f>
        <v>0</v>
      </c>
      <c r="O37">
        <f t="shared" si="1"/>
        <v>60</v>
      </c>
      <c r="P37">
        <f t="shared" si="2"/>
        <v>90</v>
      </c>
      <c r="Q37">
        <f>IF(OR($P37="",$S37=""),"",IFERROR($P37-INDEX(Config!$E$15:$E$18,MATCH($S37,Config!$B$15:$B$18,0)),""))</f>
        <v>30</v>
      </c>
      <c r="R37" t="str">
        <f t="shared" si="3"/>
        <v>Puntual</v>
      </c>
      <c r="S37" s="6" t="str">
        <f>IF(OR($A37="",$C37=""),"",IFERROR(INDEX(Turno!$C$3:$V$32,MATCH($C37,Turno!$B$3:$B$32,0),MATCH(DAY($A37),Turno!$C$1:$V$1,0)),""))</f>
        <v>A</v>
      </c>
      <c r="T37">
        <f>IF(OR($E37="",$S37=""),"",IFERROR(MAX(0,ROUND((INDEX(Config!$D$15:$D$18,MATCH($S37,Config!$B$15:$B$18,0))-$E37)*1440,0)),""))</f>
        <v>0</v>
      </c>
      <c r="U37" s="13">
        <f>IF(OR($N37="",$T37=""),"",IFERROR(MAX(0,1-($N37+$T37+MAX(0,N($Q37)))/ROUND((INDEX(Config!$D$15:$D$18,MATCH($S37,Config!$B$15:$B$18,0))-INDEX(Config!$C$15:$C$18,MATCH($S37,Config!$B$15:$B$18,0)))*1440,0)),""))</f>
        <v>0.95</v>
      </c>
      <c r="V37" s="5"/>
    </row>
    <row r="38" spans="1:22" x14ac:dyDescent="0.25">
      <c r="A38" s="11">
        <v>46239</v>
      </c>
      <c r="B38" s="2" t="s">
        <v>44</v>
      </c>
      <c r="C38" t="str">
        <f>IFERROR(INDEX(Ejecutivos!$B$2:$B$100,MATCH(B38,Ejecutivos!$A$2:$A$100,0)),"")</f>
        <v>MELISSA SALGADO</v>
      </c>
      <c r="D38" s="69" t="s">
        <v>137</v>
      </c>
      <c r="E38" s="69" t="s">
        <v>221</v>
      </c>
      <c r="F38" s="69" t="s">
        <v>240</v>
      </c>
      <c r="G38" s="69" t="s">
        <v>241</v>
      </c>
      <c r="H38" s="70">
        <v>15</v>
      </c>
      <c r="I38" s="70">
        <v>15</v>
      </c>
      <c r="J38" s="70">
        <v>19</v>
      </c>
      <c r="K38" s="69">
        <v>2</v>
      </c>
      <c r="L38" s="18">
        <v>0</v>
      </c>
      <c r="M38">
        <f t="shared" si="0"/>
        <v>6.53</v>
      </c>
      <c r="N38">
        <f>IF(OR($D38="",$S38=""),"",IFERROR(MAX(0,ROUND(($D38-INDEX(Config!$C$15:$C$18,MATCH($S38,Config!$B$15:$B$18,0)))*24*60,0)),""))</f>
        <v>0</v>
      </c>
      <c r="O38">
        <f t="shared" si="1"/>
        <v>30</v>
      </c>
      <c r="P38">
        <f t="shared" si="2"/>
        <v>60</v>
      </c>
      <c r="Q38">
        <f>IF(OR($P38="",$S38=""),"",IFERROR($P38-INDEX(Config!$E$15:$E$18,MATCH($S38,Config!$B$15:$B$18,0)),""))</f>
        <v>0</v>
      </c>
      <c r="R38" t="str">
        <f t="shared" si="3"/>
        <v>Puntual</v>
      </c>
      <c r="S38" s="6" t="str">
        <f>IF(OR($A38="",$C38=""),"",IFERROR(INDEX(Turno!$C$3:$V$32,MATCH($C38,Turno!$B$3:$B$32,0),MATCH(DAY($A38),Turno!$C$1:$V$1,0)),""))</f>
        <v>A</v>
      </c>
      <c r="T38">
        <f>IF(OR($E38="",$S38=""),"",IFERROR(MAX(0,ROUND((INDEX(Config!$D$15:$D$18,MATCH($S38,Config!$B$15:$B$18,0))-$E38)*1440,0)),""))</f>
        <v>148</v>
      </c>
      <c r="U38" s="13">
        <f>IF(OR($N38="",$T38=""),"",IFERROR(MAX(0,1-($N38+$T38+MAX(0,N($Q38)))/ROUND((INDEX(Config!$D$15:$D$18,MATCH($S38,Config!$B$15:$B$18,0))-INDEX(Config!$C$15:$C$18,MATCH($S38,Config!$B$15:$B$18,0)))*1440,0)),""))</f>
        <v>0.7533333333333333</v>
      </c>
      <c r="V38" s="5"/>
    </row>
    <row r="39" spans="1:22" x14ac:dyDescent="0.25">
      <c r="A39" s="11">
        <v>46239</v>
      </c>
      <c r="B39" s="2" t="s">
        <v>46</v>
      </c>
      <c r="C39" t="str">
        <f>IFERROR(INDEX(Ejecutivos!$B$2:$B$100,MATCH(B39,Ejecutivos!$A$2:$A$100,0)),"")</f>
        <v>NANCI MENDEZ</v>
      </c>
      <c r="D39" s="69" t="s">
        <v>134</v>
      </c>
      <c r="E39" s="69" t="s">
        <v>222</v>
      </c>
      <c r="F39" s="69" t="s">
        <v>242</v>
      </c>
      <c r="G39" s="69" t="s">
        <v>197</v>
      </c>
      <c r="H39" s="70">
        <v>17</v>
      </c>
      <c r="I39" s="70">
        <v>16</v>
      </c>
      <c r="J39" s="70">
        <v>0</v>
      </c>
      <c r="K39" s="69">
        <v>0</v>
      </c>
      <c r="L39" s="18">
        <v>0</v>
      </c>
      <c r="M39">
        <f t="shared" si="0"/>
        <v>6.43</v>
      </c>
      <c r="N39">
        <f>IF(OR($D39="",$S39=""),"",IFERROR(MAX(0,ROUND(($D39-INDEX(Config!$C$15:$C$18,MATCH($S39,Config!$B$15:$B$18,0)))*24*60,0)),""))</f>
        <v>1</v>
      </c>
      <c r="O39">
        <f t="shared" si="1"/>
        <v>61</v>
      </c>
      <c r="P39">
        <f t="shared" si="2"/>
        <v>94</v>
      </c>
      <c r="Q39">
        <f>IF(OR($P39="",$S39=""),"",IFERROR($P39-INDEX(Config!$E$15:$E$18,MATCH($S39,Config!$B$15:$B$18,0)),""))</f>
        <v>34</v>
      </c>
      <c r="R39" t="str">
        <f t="shared" si="3"/>
        <v>Atrasado</v>
      </c>
      <c r="S39" s="6" t="str">
        <f>IF(OR($A39="",$C39=""),"",IFERROR(INDEX(Turno!$C$3:$V$32,MATCH($C39,Turno!$B$3:$B$32,0),MATCH(DAY($A39),Turno!$C$1:$V$1,0)),""))</f>
        <v>C</v>
      </c>
      <c r="T39">
        <f>IF(OR($E39="",$S39=""),"",IFERROR(MAX(0,ROUND((INDEX(Config!$D$15:$D$18,MATCH($S39,Config!$B$15:$B$18,0))-$E39)*1440,0)),""))</f>
        <v>0</v>
      </c>
      <c r="U39" s="13">
        <f>IF(OR($N39="",$T39=""),"",IFERROR(MAX(0,1-($N39+$T39+MAX(0,N($Q39)))/ROUND((INDEX(Config!$D$15:$D$18,MATCH($S39,Config!$B$15:$B$18,0))-INDEX(Config!$C$15:$C$18,MATCH($S39,Config!$B$15:$B$18,0)))*1440,0)),""))</f>
        <v>0.92708333333333337</v>
      </c>
      <c r="V39" s="5"/>
    </row>
    <row r="40" spans="1:22" x14ac:dyDescent="0.25">
      <c r="A40" s="11">
        <v>46239</v>
      </c>
      <c r="B40" s="2" t="s">
        <v>49</v>
      </c>
      <c r="C40" t="str">
        <f>IFERROR(INDEX(Ejecutivos!$B$2:$B$100,MATCH(B40,Ejecutivos!$A$2:$A$100,0)),"")</f>
        <v>TOMAS MAULEN</v>
      </c>
      <c r="D40" s="69" t="s">
        <v>214</v>
      </c>
      <c r="E40" s="69" t="s">
        <v>223</v>
      </c>
      <c r="F40" s="69" t="s">
        <v>136</v>
      </c>
      <c r="G40" s="69" t="s">
        <v>162</v>
      </c>
      <c r="H40" s="70">
        <v>16</v>
      </c>
      <c r="I40" s="70">
        <v>16</v>
      </c>
      <c r="J40" s="71">
        <v>46</v>
      </c>
      <c r="K40" s="69">
        <v>15</v>
      </c>
      <c r="L40" s="18">
        <v>0</v>
      </c>
      <c r="M40">
        <f t="shared" si="0"/>
        <v>12.78</v>
      </c>
      <c r="N40">
        <f>IF(OR($D40="",$S40=""),"",IFERROR(MAX(0,ROUND(($D40-INDEX(Config!$C$15:$C$18,MATCH($S40,Config!$B$15:$B$18,0)))*24*60,0)),""))</f>
        <v>9</v>
      </c>
      <c r="O40">
        <f t="shared" si="1"/>
        <v>32</v>
      </c>
      <c r="P40">
        <f t="shared" si="2"/>
        <v>64</v>
      </c>
      <c r="Q40">
        <f>IF(OR($P40="",$S40=""),"",IFERROR($P40-INDEX(Config!$E$15:$E$18,MATCH($S40,Config!$B$15:$B$18,0)),""))</f>
        <v>4</v>
      </c>
      <c r="R40" t="str">
        <f t="shared" si="3"/>
        <v>Atrasado</v>
      </c>
      <c r="S40" s="6" t="str">
        <f>IF(OR($A40="",$C40=""),"",IFERROR(INDEX(Turno!$C$3:$V$32,MATCH($C40,Turno!$B$3:$B$32,0),MATCH(DAY($A40),Turno!$C$1:$V$1,0)),""))</f>
        <v>C</v>
      </c>
      <c r="T40">
        <f>IF(OR($E40="",$S40=""),"",IFERROR(MAX(0,ROUND((INDEX(Config!$D$15:$D$18,MATCH($S40,Config!$B$15:$B$18,0))-$E40)*1440,0)),""))</f>
        <v>0</v>
      </c>
      <c r="U40" s="13">
        <f>IF(OR($N40="",$T40=""),"",IFERROR(MAX(0,1-($N40+$T40+MAX(0,N($Q40)))/ROUND((INDEX(Config!$D$15:$D$18,MATCH($S40,Config!$B$15:$B$18,0))-INDEX(Config!$C$15:$C$18,MATCH($S40,Config!$B$15:$B$18,0)))*1440,0)),""))</f>
        <v>0.97291666666666665</v>
      </c>
      <c r="V40" s="5"/>
    </row>
    <row r="41" spans="1:22" x14ac:dyDescent="0.25">
      <c r="A41" s="11" t="s">
        <v>243</v>
      </c>
      <c r="B41" s="2" t="s">
        <v>11</v>
      </c>
      <c r="C41" t="str">
        <f>IFERROR(INDEX(Ejecutivos!$B$2:$B$100,MATCH(B41,Ejecutivos!$A$2:$A$100,0)),"")</f>
        <v>ALEJANDRA CHACON</v>
      </c>
      <c r="D41" s="72" t="s">
        <v>245</v>
      </c>
      <c r="E41" s="72" t="s">
        <v>246</v>
      </c>
      <c r="F41" s="72" t="s">
        <v>247</v>
      </c>
      <c r="G41" s="72" t="s">
        <v>248</v>
      </c>
      <c r="H41" s="73">
        <v>16</v>
      </c>
      <c r="I41" s="73">
        <v>16</v>
      </c>
      <c r="J41" s="73">
        <v>15</v>
      </c>
      <c r="K41" s="72">
        <v>2</v>
      </c>
      <c r="L41" s="18">
        <v>0</v>
      </c>
      <c r="M41">
        <f t="shared" si="0"/>
        <v>7.4</v>
      </c>
      <c r="N41">
        <f>IF(OR($D41="",$S41=""),"",IFERROR(MAX(0,ROUND(($D41-INDEX(Config!$C$15:$C$18,MATCH($S41,Config!$B$15:$B$18,0)))*24*60,0)),""))</f>
        <v>6</v>
      </c>
      <c r="O41">
        <f t="shared" si="1"/>
        <v>31</v>
      </c>
      <c r="P41">
        <f t="shared" si="2"/>
        <v>63</v>
      </c>
      <c r="Q41">
        <f>IF(OR($P41="",$S41=""),"",IFERROR($P41-INDEX(Config!$E$15:$E$18,MATCH($S41,Config!$B$15:$B$18,0)),""))</f>
        <v>3</v>
      </c>
      <c r="R41" t="str">
        <f t="shared" si="3"/>
        <v>Atrasado</v>
      </c>
      <c r="S41" s="6" t="str">
        <f>IF(OR($A41="",$C41=""),"",IFERROR(INDEX(Turno!$C$3:$V$32,MATCH($C41,Turno!$B$3:$B$32,0),MATCH(DAY($A41),Turno!$C$1:$V$1,0)),""))</f>
        <v>B</v>
      </c>
      <c r="T41">
        <f>IF(OR($E41="",$S41=""),"",IFERROR(MAX(0,ROUND((INDEX(Config!$D$15:$D$18,MATCH($S41,Config!$B$15:$B$18,0))-$E41)*1440,0)),""))</f>
        <v>27</v>
      </c>
      <c r="U41" s="13">
        <f>IF(OR($N41="",$T41=""),"",IFERROR(MAX(0,1-($N41+$T41+MAX(0,N($Q41)))/ROUND((INDEX(Config!$D$15:$D$18,MATCH($S41,Config!$B$15:$B$18,0))-INDEX(Config!$C$15:$C$18,MATCH($S41,Config!$B$15:$B$18,0)))*1440,0)),""))</f>
        <v>0.93333333333333335</v>
      </c>
      <c r="V41" s="5"/>
    </row>
    <row r="42" spans="1:22" x14ac:dyDescent="0.25">
      <c r="A42" s="11" t="s">
        <v>243</v>
      </c>
      <c r="B42" s="2" t="s">
        <v>18</v>
      </c>
      <c r="C42" t="str">
        <f>IFERROR(INDEX(Ejecutivos!$B$2:$B$100,MATCH(B42,Ejecutivos!$A$2:$A$100,0)),"")</f>
        <v>ALEJANDRA ORELLANA</v>
      </c>
      <c r="D42" s="72" t="s">
        <v>137</v>
      </c>
      <c r="E42" s="72" t="s">
        <v>140</v>
      </c>
      <c r="F42" s="72" t="s">
        <v>239</v>
      </c>
      <c r="G42" s="72" t="s">
        <v>229</v>
      </c>
      <c r="H42" s="73">
        <v>15</v>
      </c>
      <c r="I42" s="73">
        <v>16</v>
      </c>
      <c r="J42" s="73">
        <v>4</v>
      </c>
      <c r="K42" s="72">
        <v>1</v>
      </c>
      <c r="L42" s="18">
        <v>0</v>
      </c>
      <c r="M42">
        <f t="shared" si="0"/>
        <v>8.5500000000000007</v>
      </c>
      <c r="N42">
        <f>IF(OR($D42="",$S42=""),"",IFERROR(MAX(0,ROUND(($D42-INDEX(Config!$C$15:$C$18,MATCH($S42,Config!$B$15:$B$18,0)))*24*60,0)),""))</f>
        <v>0</v>
      </c>
      <c r="O42">
        <f t="shared" si="1"/>
        <v>60</v>
      </c>
      <c r="P42">
        <f t="shared" si="2"/>
        <v>91</v>
      </c>
      <c r="Q42">
        <f>IF(OR($P42="",$S42=""),"",IFERROR($P42-INDEX(Config!$E$15:$E$18,MATCH($S42,Config!$B$15:$B$18,0)),""))</f>
        <v>31</v>
      </c>
      <c r="R42" t="str">
        <f t="shared" si="3"/>
        <v>Puntual</v>
      </c>
      <c r="S42" s="6" t="str">
        <f>IF(OR($A42="",$C42=""),"",IFERROR(INDEX(Turno!$C$3:$V$32,MATCH($C42,Turno!$B$3:$B$32,0),MATCH(DAY($A42),Turno!$C$1:$V$1,0)),""))</f>
        <v>A</v>
      </c>
      <c r="T42">
        <f>IF(OR($E42="",$S42=""),"",IFERROR(MAX(0,ROUND((INDEX(Config!$D$15:$D$18,MATCH($S42,Config!$B$15:$B$18,0))-$E42)*1440,0)),""))</f>
        <v>0</v>
      </c>
      <c r="U42" s="13">
        <f>IF(OR($N42="",$T42=""),"",IFERROR(MAX(0,1-($N42+$T42+MAX(0,N($Q42)))/ROUND((INDEX(Config!$D$15:$D$18,MATCH($S42,Config!$B$15:$B$18,0))-INDEX(Config!$C$15:$C$18,MATCH($S42,Config!$B$15:$B$18,0)))*1440,0)),""))</f>
        <v>0.94833333333333336</v>
      </c>
      <c r="V42" s="5"/>
    </row>
    <row r="43" spans="1:22" x14ac:dyDescent="0.25">
      <c r="A43" s="11" t="s">
        <v>243</v>
      </c>
      <c r="B43" s="2" t="s">
        <v>20</v>
      </c>
      <c r="C43" t="str">
        <f>IFERROR(INDEX(Ejecutivos!$B$2:$B$100,MATCH(B43,Ejecutivos!$A$2:$A$100,0)),"")</f>
        <v>ANA ASTORGA</v>
      </c>
      <c r="D43" s="72" t="s">
        <v>137</v>
      </c>
      <c r="E43" s="72" t="s">
        <v>133</v>
      </c>
      <c r="F43" s="72" t="s">
        <v>249</v>
      </c>
      <c r="G43" s="72" t="s">
        <v>194</v>
      </c>
      <c r="H43" s="73">
        <v>14</v>
      </c>
      <c r="I43" s="73">
        <v>14</v>
      </c>
      <c r="J43" s="73">
        <v>10</v>
      </c>
      <c r="K43" s="72">
        <v>3</v>
      </c>
      <c r="L43" s="18">
        <v>0</v>
      </c>
      <c r="M43">
        <f t="shared" si="0"/>
        <v>8.5299999999999994</v>
      </c>
      <c r="N43">
        <f>IF(OR($D43="",$S43=""),"",IFERROR(MAX(0,ROUND(($D43-INDEX(Config!$C$15:$C$18,MATCH($S43,Config!$B$15:$B$18,0)))*24*60,0)),""))</f>
        <v>0</v>
      </c>
      <c r="O43">
        <f t="shared" si="1"/>
        <v>61</v>
      </c>
      <c r="P43">
        <f t="shared" si="2"/>
        <v>89</v>
      </c>
      <c r="Q43">
        <f>IF(OR($P43="",$S43=""),"",IFERROR($P43-INDEX(Config!$E$15:$E$18,MATCH($S43,Config!$B$15:$B$18,0)),""))</f>
        <v>29</v>
      </c>
      <c r="R43" t="str">
        <f t="shared" si="3"/>
        <v>Puntual</v>
      </c>
      <c r="S43" s="6" t="str">
        <f>IF(OR($A43="",$C43=""),"",IFERROR(INDEX(Turno!$C$3:$V$32,MATCH($C43,Turno!$B$3:$B$32,0),MATCH(DAY($A43),Turno!$C$1:$V$1,0)),""))</f>
        <v>A</v>
      </c>
      <c r="T43">
        <f>IF(OR($E43="",$S43=""),"",IFERROR(MAX(0,ROUND((INDEX(Config!$D$15:$D$18,MATCH($S43,Config!$B$15:$B$18,0))-$E43)*1440,0)),""))</f>
        <v>0</v>
      </c>
      <c r="U43" s="13">
        <f>IF(OR($N43="",$T43=""),"",IFERROR(MAX(0,1-($N43+$T43+MAX(0,N($Q43)))/ROUND((INDEX(Config!$D$15:$D$18,MATCH($S43,Config!$B$15:$B$18,0))-INDEX(Config!$C$15:$C$18,MATCH($S43,Config!$B$15:$B$18,0)))*1440,0)),""))</f>
        <v>0.95166666666666666</v>
      </c>
      <c r="V43" s="5"/>
    </row>
    <row r="44" spans="1:22" x14ac:dyDescent="0.25">
      <c r="A44" s="11" t="s">
        <v>243</v>
      </c>
      <c r="B44" s="2" t="s">
        <v>23</v>
      </c>
      <c r="C44" t="str">
        <f>IFERROR(INDEX(Ejecutivos!$B$2:$B$100,MATCH(B44,Ejecutivos!$A$2:$A$100,0)),"")</f>
        <v>ATALY GARCIA</v>
      </c>
      <c r="D44" s="72" t="s">
        <v>250</v>
      </c>
      <c r="E44" s="72" t="s">
        <v>172</v>
      </c>
      <c r="F44" s="72" t="s">
        <v>251</v>
      </c>
      <c r="G44" s="72" t="s">
        <v>252</v>
      </c>
      <c r="H44" s="73">
        <v>15</v>
      </c>
      <c r="I44" s="73">
        <v>15</v>
      </c>
      <c r="J44" s="73">
        <v>11</v>
      </c>
      <c r="K44" s="72">
        <v>3</v>
      </c>
      <c r="L44" s="18">
        <v>0</v>
      </c>
      <c r="M44">
        <f t="shared" si="0"/>
        <v>8.17</v>
      </c>
      <c r="N44">
        <f>IF(OR($D44="",$S44=""),"",IFERROR(MAX(0,ROUND(($D44-INDEX(Config!$C$15:$C$18,MATCH($S44,Config!$B$15:$B$18,0)))*24*60,0)),""))</f>
        <v>0</v>
      </c>
      <c r="O44">
        <f t="shared" si="1"/>
        <v>30</v>
      </c>
      <c r="P44">
        <f t="shared" si="2"/>
        <v>60</v>
      </c>
      <c r="Q44">
        <f>IF(OR($P44="",$S44=""),"",IFERROR($P44-INDEX(Config!$E$15:$E$18,MATCH($S44,Config!$B$15:$B$18,0)),""))</f>
        <v>0</v>
      </c>
      <c r="R44" t="str">
        <f t="shared" si="3"/>
        <v>Puntual</v>
      </c>
      <c r="S44" s="6" t="str">
        <f>IF(OR($A44="",$C44=""),"",IFERROR(INDEX(Turno!$C$3:$V$32,MATCH($C44,Turno!$B$3:$B$32,0),MATCH(DAY($A44),Turno!$C$1:$V$1,0)),""))</f>
        <v>D</v>
      </c>
      <c r="T44">
        <f>IF(OR($E44="",$S44=""),"",IFERROR(MAX(0,ROUND((INDEX(Config!$D$15:$D$18,MATCH($S44,Config!$B$15:$B$18,0))-$E44)*1440,0)),""))</f>
        <v>0</v>
      </c>
      <c r="U44" s="13">
        <f>IF(OR($N44="",$T44=""),"",IFERROR(MAX(0,1-($N44+$T44+MAX(0,N($Q44)))/ROUND((INDEX(Config!$D$15:$D$18,MATCH($S44,Config!$B$15:$B$18,0))-INDEX(Config!$C$15:$C$18,MATCH($S44,Config!$B$15:$B$18,0)))*1440,0)),""))</f>
        <v>1</v>
      </c>
      <c r="V44" s="5"/>
    </row>
    <row r="45" spans="1:22" x14ac:dyDescent="0.25">
      <c r="A45" s="11" t="s">
        <v>243</v>
      </c>
      <c r="B45" s="2" t="s">
        <v>25</v>
      </c>
      <c r="C45" t="str">
        <f>IFERROR(INDEX(Ejecutivos!$B$2:$B$100,MATCH(B45,Ejecutivos!$A$2:$A$100,0)),"")</f>
        <v>CATHERINE AEDO</v>
      </c>
      <c r="D45" s="72" t="s">
        <v>137</v>
      </c>
      <c r="E45" s="72" t="s">
        <v>135</v>
      </c>
      <c r="F45" s="72" t="s">
        <v>195</v>
      </c>
      <c r="G45" s="72" t="s">
        <v>237</v>
      </c>
      <c r="H45" s="73">
        <v>18</v>
      </c>
      <c r="I45" s="73">
        <v>10</v>
      </c>
      <c r="J45" s="73">
        <v>12</v>
      </c>
      <c r="K45" s="72">
        <v>3</v>
      </c>
      <c r="L45" s="18">
        <v>0</v>
      </c>
      <c r="M45">
        <f t="shared" si="0"/>
        <v>8.4499999999999993</v>
      </c>
      <c r="N45">
        <f>IF(OR($D45="",$S45=""),"",IFERROR(MAX(0,ROUND(($D45-INDEX(Config!$C$15:$C$18,MATCH($S45,Config!$B$15:$B$18,0)))*24*60,0)),""))</f>
        <v>0</v>
      </c>
      <c r="O45">
        <f t="shared" si="1"/>
        <v>65</v>
      </c>
      <c r="P45">
        <f t="shared" si="2"/>
        <v>93</v>
      </c>
      <c r="Q45">
        <f>IF(OR($P45="",$S45=""),"",IFERROR($P45-INDEX(Config!$E$15:$E$18,MATCH($S45,Config!$B$15:$B$18,0)),""))</f>
        <v>33</v>
      </c>
      <c r="R45" t="str">
        <f t="shared" si="3"/>
        <v>Puntual</v>
      </c>
      <c r="S45" s="6" t="str">
        <f>IF(OR($A45="",$C45=""),"",IFERROR(INDEX(Turno!$C$3:$V$32,MATCH($C45,Turno!$B$3:$B$32,0),MATCH(DAY($A45),Turno!$C$1:$V$1,0)),""))</f>
        <v>A</v>
      </c>
      <c r="T45">
        <f>IF(OR($E45="",$S45=""),"",IFERROR(MAX(0,ROUND((INDEX(Config!$D$15:$D$18,MATCH($S45,Config!$B$15:$B$18,0))-$E45)*1440,0)),""))</f>
        <v>0</v>
      </c>
      <c r="U45" s="13">
        <f>IF(OR($N45="",$T45=""),"",IFERROR(MAX(0,1-($N45+$T45+MAX(0,N($Q45)))/ROUND((INDEX(Config!$D$15:$D$18,MATCH($S45,Config!$B$15:$B$18,0))-INDEX(Config!$C$15:$C$18,MATCH($S45,Config!$B$15:$B$18,0)))*1440,0)),""))</f>
        <v>0.94499999999999995</v>
      </c>
      <c r="V45" s="5"/>
    </row>
    <row r="46" spans="1:22" x14ac:dyDescent="0.25">
      <c r="A46" s="11" t="s">
        <v>243</v>
      </c>
      <c r="B46" s="2" t="s">
        <v>27</v>
      </c>
      <c r="C46" t="str">
        <f>IFERROR(INDEX(Ejecutivos!$B$2:$B$100,MATCH(B46,Ejecutivos!$A$2:$A$100,0)),"")</f>
        <v>DANIELA RODRIGUEZ</v>
      </c>
      <c r="D46" s="72" t="s">
        <v>137</v>
      </c>
      <c r="E46" s="72" t="s">
        <v>135</v>
      </c>
      <c r="F46" s="72" t="s">
        <v>148</v>
      </c>
      <c r="G46" s="72" t="s">
        <v>253</v>
      </c>
      <c r="H46" s="73">
        <v>16</v>
      </c>
      <c r="I46" s="73">
        <v>15</v>
      </c>
      <c r="J46" s="75">
        <v>24</v>
      </c>
      <c r="K46" s="72">
        <v>7</v>
      </c>
      <c r="L46" s="18">
        <v>0</v>
      </c>
      <c r="M46">
        <f t="shared" si="0"/>
        <v>8.5299999999999994</v>
      </c>
      <c r="N46">
        <f>IF(OR($D46="",$S46=""),"",IFERROR(MAX(0,ROUND(($D46-INDEX(Config!$C$15:$C$18,MATCH($S46,Config!$B$15:$B$18,0)))*24*60,0)),""))</f>
        <v>0</v>
      </c>
      <c r="O46">
        <f t="shared" si="1"/>
        <v>57</v>
      </c>
      <c r="P46">
        <f t="shared" si="2"/>
        <v>88</v>
      </c>
      <c r="Q46">
        <f>IF(OR($P46="",$S46=""),"",IFERROR($P46-INDEX(Config!$E$15:$E$18,MATCH($S46,Config!$B$15:$B$18,0)),""))</f>
        <v>28</v>
      </c>
      <c r="R46" t="str">
        <f t="shared" si="3"/>
        <v>Puntual</v>
      </c>
      <c r="S46" s="6" t="str">
        <f>IF(OR($A46="",$C46=""),"",IFERROR(INDEX(Turno!$C$3:$V$32,MATCH($C46,Turno!$B$3:$B$32,0),MATCH(DAY($A46),Turno!$C$1:$V$1,0)),""))</f>
        <v>A</v>
      </c>
      <c r="T46">
        <f>IF(OR($E46="",$S46=""),"",IFERROR(MAX(0,ROUND((INDEX(Config!$D$15:$D$18,MATCH($S46,Config!$B$15:$B$18,0))-$E46)*1440,0)),""))</f>
        <v>0</v>
      </c>
      <c r="U46" s="13">
        <f>IF(OR($N46="",$T46=""),"",IFERROR(MAX(0,1-($N46+$T46+MAX(0,N($Q46)))/ROUND((INDEX(Config!$D$15:$D$18,MATCH($S46,Config!$B$15:$B$18,0))-INDEX(Config!$C$15:$C$18,MATCH($S46,Config!$B$15:$B$18,0)))*1440,0)),""))</f>
        <v>0.95333333333333337</v>
      </c>
      <c r="V46" s="5"/>
    </row>
    <row r="47" spans="1:22" x14ac:dyDescent="0.25">
      <c r="A47" s="11" t="s">
        <v>243</v>
      </c>
      <c r="B47" s="2" t="s">
        <v>29</v>
      </c>
      <c r="C47" t="str">
        <f>IFERROR(INDEX(Ejecutivos!$B$2:$B$100,MATCH(B47,Ejecutivos!$A$2:$A$100,0)),"")</f>
        <v>ELSA GONGORA</v>
      </c>
      <c r="D47" s="72" t="s">
        <v>254</v>
      </c>
      <c r="E47" s="72" t="s">
        <v>255</v>
      </c>
      <c r="F47" s="72">
        <v>0</v>
      </c>
      <c r="G47" s="72">
        <v>0</v>
      </c>
      <c r="H47" s="72">
        <v>0</v>
      </c>
      <c r="I47" s="72">
        <v>0</v>
      </c>
      <c r="J47" s="73">
        <v>0</v>
      </c>
      <c r="K47" s="72">
        <v>0</v>
      </c>
      <c r="L47" s="18">
        <v>0</v>
      </c>
      <c r="M47">
        <f t="shared" si="0"/>
        <v>10.119999999999999</v>
      </c>
      <c r="N47">
        <f>IF(OR($D47="",$S47=""),"",IFERROR(MAX(0,ROUND(($D47-INDEX(Config!$C$15:$C$18,MATCH($S47,Config!$B$15:$B$18,0)))*24*60,0)),""))</f>
        <v>12</v>
      </c>
      <c r="O47">
        <f t="shared" si="1"/>
        <v>0</v>
      </c>
      <c r="P47">
        <f t="shared" si="2"/>
        <v>0</v>
      </c>
      <c r="Q47">
        <f>IF(OR($P47="",$S47=""),"",IFERROR($P47-INDEX(Config!$E$15:$E$18,MATCH($S47,Config!$B$15:$B$18,0)),""))</f>
        <v>-60</v>
      </c>
      <c r="R47" t="str">
        <f t="shared" si="3"/>
        <v>Atrasado</v>
      </c>
      <c r="S47" s="6" t="str">
        <f>IF(OR($A47="",$C47=""),"",IFERROR(INDEX(Turno!$C$3:$V$32,MATCH($C47,Turno!$B$3:$B$32,0),MATCH(DAY($A47),Turno!$C$1:$V$1,0)),""))</f>
        <v>C</v>
      </c>
      <c r="T47">
        <f>IF(OR($E47="",$S47=""),"",IFERROR(MAX(0,ROUND((INDEX(Config!$D$15:$D$18,MATCH($S47,Config!$B$15:$B$18,0))-$E47)*1440,0)),""))</f>
        <v>0</v>
      </c>
      <c r="U47" s="13">
        <f>IF(OR($N47="",$T47=""),"",IFERROR(MAX(0,1-($N47+$T47+MAX(0,N($Q47)))/ROUND((INDEX(Config!$D$15:$D$18,MATCH($S47,Config!$B$15:$B$18,0))-INDEX(Config!$C$15:$C$18,MATCH($S47,Config!$B$15:$B$18,0)))*1440,0)),""))</f>
        <v>0.97499999999999998</v>
      </c>
      <c r="V47" s="5"/>
    </row>
    <row r="48" spans="1:22" x14ac:dyDescent="0.25">
      <c r="A48" s="11" t="s">
        <v>243</v>
      </c>
      <c r="B48" s="2" t="s">
        <v>31</v>
      </c>
      <c r="C48" t="str">
        <f>IFERROR(INDEX(Ejecutivos!$B$2:$B$100,MATCH(B48,Ejecutivos!$A$2:$A$100,0)),"")</f>
        <v>JOHANA LLANCAPICHUN</v>
      </c>
      <c r="D48" s="72" t="s">
        <v>137</v>
      </c>
      <c r="E48" s="72" t="s">
        <v>256</v>
      </c>
      <c r="F48" s="72" t="s">
        <v>257</v>
      </c>
      <c r="G48" s="72" t="s">
        <v>147</v>
      </c>
      <c r="H48" s="73">
        <v>15</v>
      </c>
      <c r="I48" s="73">
        <v>14</v>
      </c>
      <c r="J48" s="73">
        <v>0</v>
      </c>
      <c r="K48" s="72">
        <v>0</v>
      </c>
      <c r="L48" s="18">
        <v>0</v>
      </c>
      <c r="M48">
        <f t="shared" si="0"/>
        <v>8.8800000000000008</v>
      </c>
      <c r="N48">
        <f>IF(OR($D48="",$S48=""),"",IFERROR(MAX(0,ROUND(($D48-INDEX(Config!$C$15:$C$18,MATCH($S48,Config!$B$15:$B$18,0)))*24*60,0)),""))</f>
        <v>0</v>
      </c>
      <c r="O48">
        <f t="shared" si="1"/>
        <v>60</v>
      </c>
      <c r="P48">
        <f t="shared" si="2"/>
        <v>89</v>
      </c>
      <c r="Q48">
        <f>IF(OR($P48="",$S48=""),"",IFERROR($P48-INDEX(Config!$E$15:$E$18,MATCH($S48,Config!$B$15:$B$18,0)),""))</f>
        <v>29</v>
      </c>
      <c r="R48" t="str">
        <f t="shared" si="3"/>
        <v>Puntual</v>
      </c>
      <c r="S48" s="6" t="str">
        <f>IF(OR($A48="",$C48=""),"",IFERROR(INDEX(Turno!$C$3:$V$32,MATCH($C48,Turno!$B$3:$B$32,0),MATCH(DAY($A48),Turno!$C$1:$V$1,0)),""))</f>
        <v>B</v>
      </c>
      <c r="T48">
        <f>IF(OR($E48="",$S48=""),"",IFERROR(MAX(0,ROUND((INDEX(Config!$D$15:$D$18,MATCH($S48,Config!$B$15:$B$18,0))-$E48)*1440,0)),""))</f>
        <v>0</v>
      </c>
      <c r="U48" s="13">
        <f>IF(OR($N48="",$T48=""),"",IFERROR(MAX(0,1-($N48+$T48+MAX(0,N($Q48)))/ROUND((INDEX(Config!$D$15:$D$18,MATCH($S48,Config!$B$15:$B$18,0))-INDEX(Config!$C$15:$C$18,MATCH($S48,Config!$B$15:$B$18,0)))*1440,0)),""))</f>
        <v>0.9462962962962963</v>
      </c>
      <c r="V48" s="5"/>
    </row>
    <row r="49" spans="1:22" x14ac:dyDescent="0.25">
      <c r="A49" s="11" t="s">
        <v>243</v>
      </c>
      <c r="B49" s="2" t="s">
        <v>33</v>
      </c>
      <c r="C49" t="str">
        <f>IFERROR(INDEX(Ejecutivos!$B$2:$B$100,MATCH(B49,Ejecutivos!$A$2:$A$100,0)),"")</f>
        <v>KATIA HALD</v>
      </c>
      <c r="D49" s="72" t="s">
        <v>137</v>
      </c>
      <c r="E49" s="72" t="s">
        <v>258</v>
      </c>
      <c r="F49" s="72" t="s">
        <v>259</v>
      </c>
      <c r="G49" s="72" t="s">
        <v>260</v>
      </c>
      <c r="H49" s="73">
        <v>17</v>
      </c>
      <c r="I49" s="73">
        <v>16</v>
      </c>
      <c r="J49" s="73">
        <v>14</v>
      </c>
      <c r="K49" s="72">
        <v>1</v>
      </c>
      <c r="L49" s="18">
        <v>0</v>
      </c>
      <c r="M49">
        <f t="shared" si="0"/>
        <v>7.55</v>
      </c>
      <c r="N49">
        <f>IF(OR($D49="",$S49=""),"",IFERROR(MAX(0,ROUND(($D49-INDEX(Config!$C$15:$C$18,MATCH($S49,Config!$B$15:$B$18,0)))*24*60,0)),""))</f>
        <v>0</v>
      </c>
      <c r="O49">
        <f t="shared" si="1"/>
        <v>31</v>
      </c>
      <c r="P49">
        <f t="shared" si="2"/>
        <v>64</v>
      </c>
      <c r="Q49">
        <f>IF(OR($P49="",$S49=""),"",IFERROR($P49-INDEX(Config!$E$15:$E$18,MATCH($S49,Config!$B$15:$B$18,0)),""))</f>
        <v>4</v>
      </c>
      <c r="R49" t="str">
        <f t="shared" si="3"/>
        <v>Puntual</v>
      </c>
      <c r="S49" s="6" t="str">
        <f>IF(OR($A49="",$C49=""),"",IFERROR(INDEX(Turno!$C$3:$V$32,MATCH($C49,Turno!$B$3:$B$32,0),MATCH(DAY($A49),Turno!$C$1:$V$1,0)),""))</f>
        <v>B</v>
      </c>
      <c r="T49">
        <f>IF(OR($E49="",$S49=""),"",IFERROR(MAX(0,ROUND((INDEX(Config!$D$15:$D$18,MATCH($S49,Config!$B$15:$B$18,0))-$E49)*1440,0)),""))</f>
        <v>23</v>
      </c>
      <c r="U49" s="13">
        <f>IF(OR($N49="",$T49=""),"",IFERROR(MAX(0,1-($N49+$T49+MAX(0,N($Q49)))/ROUND((INDEX(Config!$D$15:$D$18,MATCH($S49,Config!$B$15:$B$18,0))-INDEX(Config!$C$15:$C$18,MATCH($S49,Config!$B$15:$B$18,0)))*1440,0)),""))</f>
        <v>0.95</v>
      </c>
      <c r="V49" s="5"/>
    </row>
    <row r="50" spans="1:22" x14ac:dyDescent="0.25">
      <c r="A50" s="11" t="s">
        <v>243</v>
      </c>
      <c r="B50" s="2" t="s">
        <v>35</v>
      </c>
      <c r="C50" t="str">
        <f>IFERROR(INDEX(Ejecutivos!$B$2:$B$100,MATCH(B50,Ejecutivos!$A$2:$A$100,0)),"")</f>
        <v>MANUEL MONSALVE</v>
      </c>
      <c r="D50" s="72" t="s">
        <v>145</v>
      </c>
      <c r="E50" s="72" t="s">
        <v>234</v>
      </c>
      <c r="F50" s="72" t="s">
        <v>261</v>
      </c>
      <c r="G50" s="72" t="s">
        <v>190</v>
      </c>
      <c r="H50" s="72">
        <v>0</v>
      </c>
      <c r="I50" s="72">
        <v>0</v>
      </c>
      <c r="J50" s="73">
        <v>10</v>
      </c>
      <c r="K50" s="72">
        <v>1</v>
      </c>
      <c r="L50" s="18">
        <v>0</v>
      </c>
      <c r="M50">
        <f t="shared" si="0"/>
        <v>7.9</v>
      </c>
      <c r="N50">
        <f>IF(OR($D50="",$S50=""),"",IFERROR(MAX(0,ROUND(($D50-INDEX(Config!$C$15:$C$18,MATCH($S50,Config!$B$15:$B$18,0)))*24*60,0)),""))</f>
        <v>0</v>
      </c>
      <c r="O50">
        <f t="shared" si="1"/>
        <v>17</v>
      </c>
      <c r="P50">
        <f t="shared" si="2"/>
        <v>17</v>
      </c>
      <c r="Q50">
        <f>IF(OR($P50="",$S50=""),"",IFERROR($P50-INDEX(Config!$E$15:$E$18,MATCH($S50,Config!$B$15:$B$18,0)),""))</f>
        <v>-43</v>
      </c>
      <c r="R50" t="str">
        <f t="shared" si="3"/>
        <v>Puntual</v>
      </c>
      <c r="S50" s="6" t="str">
        <f>IF(OR($A50="",$C50=""),"",IFERROR(INDEX(Turno!$C$3:$V$32,MATCH($C50,Turno!$B$3:$B$32,0),MATCH(DAY($A50),Turno!$C$1:$V$1,0)),""))</f>
        <v>C</v>
      </c>
      <c r="T50">
        <f>IF(OR($E50="",$S50=""),"",IFERROR(MAX(0,ROUND((INDEX(Config!$D$15:$D$18,MATCH($S50,Config!$B$15:$B$18,0))-$E50)*1440,0)),""))</f>
        <v>0</v>
      </c>
      <c r="U50" s="13">
        <f>IF(OR($N50="",$T50=""),"",IFERROR(MAX(0,1-($N50+$T50+MAX(0,N($Q50)))/ROUND((INDEX(Config!$D$15:$D$18,MATCH($S50,Config!$B$15:$B$18,0))-INDEX(Config!$C$15:$C$18,MATCH($S50,Config!$B$15:$B$18,0)))*1440,0)),""))</f>
        <v>1</v>
      </c>
      <c r="V50" s="5"/>
    </row>
    <row r="51" spans="1:22" x14ac:dyDescent="0.25">
      <c r="A51" s="11" t="s">
        <v>243</v>
      </c>
      <c r="B51" s="2" t="s">
        <v>37</v>
      </c>
      <c r="C51" t="str">
        <f>IFERROR(INDEX(Ejecutivos!$B$2:$B$100,MATCH(B51,Ejecutivos!$A$2:$A$100,0)),"")</f>
        <v>MANUELA ASTUDILLO</v>
      </c>
      <c r="D51" s="72" t="s">
        <v>137</v>
      </c>
      <c r="E51" s="72" t="s">
        <v>262</v>
      </c>
      <c r="F51" s="72" t="s">
        <v>153</v>
      </c>
      <c r="G51" s="72" t="s">
        <v>148</v>
      </c>
      <c r="H51" s="73">
        <v>16</v>
      </c>
      <c r="I51" s="73">
        <v>13</v>
      </c>
      <c r="J51" s="73">
        <v>15</v>
      </c>
      <c r="K51" s="72">
        <v>2</v>
      </c>
      <c r="L51" s="18">
        <v>0</v>
      </c>
      <c r="M51">
        <f t="shared" si="0"/>
        <v>6.5</v>
      </c>
      <c r="N51">
        <f>IF(OR($D51="",$S51=""),"",IFERROR(MAX(0,ROUND(($D51-INDEX(Config!$C$15:$C$18,MATCH($S51,Config!$B$15:$B$18,0)))*24*60,0)),""))</f>
        <v>0</v>
      </c>
      <c r="O51">
        <f t="shared" si="1"/>
        <v>32</v>
      </c>
      <c r="P51">
        <f t="shared" si="2"/>
        <v>61</v>
      </c>
      <c r="Q51">
        <f>IF(OR($P51="",$S51=""),"",IFERROR($P51-INDEX(Config!$E$15:$E$18,MATCH($S51,Config!$B$15:$B$18,0)),""))</f>
        <v>1</v>
      </c>
      <c r="R51" t="str">
        <f t="shared" si="3"/>
        <v>Puntual</v>
      </c>
      <c r="S51" s="6" t="str">
        <f>IF(OR($A51="",$C51=""),"",IFERROR(INDEX(Turno!$C$3:$V$32,MATCH($C51,Turno!$B$3:$B$32,0),MATCH(DAY($A51),Turno!$C$1:$V$1,0)),""))</f>
        <v>C</v>
      </c>
      <c r="T51">
        <f>IF(OR($E51="",$S51=""),"",IFERROR(MAX(0,ROUND((INDEX(Config!$D$15:$D$18,MATCH($S51,Config!$B$15:$B$18,0))-$E51)*1440,0)),""))</f>
        <v>29</v>
      </c>
      <c r="U51" s="13">
        <f>IF(OR($N51="",$T51=""),"",IFERROR(MAX(0,1-($N51+$T51+MAX(0,N($Q51)))/ROUND((INDEX(Config!$D$15:$D$18,MATCH($S51,Config!$B$15:$B$18,0))-INDEX(Config!$C$15:$C$18,MATCH($S51,Config!$B$15:$B$18,0)))*1440,0)),""))</f>
        <v>0.9375</v>
      </c>
      <c r="V51" s="5"/>
    </row>
    <row r="52" spans="1:22" x14ac:dyDescent="0.25">
      <c r="A52" s="11" t="s">
        <v>243</v>
      </c>
      <c r="B52" s="2" t="s">
        <v>42</v>
      </c>
      <c r="C52" t="str">
        <f>IFERROR(INDEX(Ejecutivos!$B$2:$B$100,MATCH(B52,Ejecutivos!$A$2:$A$100,0)),"")</f>
        <v>MAXIMILIANO OLIVARES</v>
      </c>
      <c r="D52" s="72" t="s">
        <v>263</v>
      </c>
      <c r="E52" s="72" t="s">
        <v>262</v>
      </c>
      <c r="F52" s="72" t="s">
        <v>264</v>
      </c>
      <c r="G52" s="72" t="s">
        <v>192</v>
      </c>
      <c r="H52" s="73">
        <v>15</v>
      </c>
      <c r="I52" s="73">
        <v>17</v>
      </c>
      <c r="J52" s="73">
        <v>8</v>
      </c>
      <c r="K52" s="72">
        <v>3</v>
      </c>
      <c r="L52" s="18">
        <v>0</v>
      </c>
      <c r="M52">
        <f t="shared" si="0"/>
        <v>6.83</v>
      </c>
      <c r="N52">
        <f>IF(OR($D52="",$S52=""),"",IFERROR(MAX(0,ROUND(($D52-INDEX(Config!$C$15:$C$18,MATCH($S52,Config!$B$15:$B$18,0)))*24*60,0)),""))</f>
        <v>4</v>
      </c>
      <c r="O52">
        <f t="shared" si="1"/>
        <v>5</v>
      </c>
      <c r="P52">
        <f t="shared" si="2"/>
        <v>37</v>
      </c>
      <c r="Q52">
        <f>IF(OR($P52="",$S52=""),"",IFERROR($P52-INDEX(Config!$E$15:$E$18,MATCH($S52,Config!$B$15:$B$18,0)),""))</f>
        <v>-23</v>
      </c>
      <c r="R52" t="str">
        <f t="shared" si="3"/>
        <v>Atrasado</v>
      </c>
      <c r="S52" s="6" t="str">
        <f>IF(OR($A52="",$C52=""),"",IFERROR(INDEX(Turno!$C$3:$V$32,MATCH($C52,Turno!$B$3:$B$32,0),MATCH(DAY($A52),Turno!$C$1:$V$1,0)),""))</f>
        <v>A</v>
      </c>
      <c r="T52">
        <f>IF(OR($E52="",$S52=""),"",IFERROR(MAX(0,ROUND((INDEX(Config!$D$15:$D$18,MATCH($S52,Config!$B$15:$B$18,0))-$E52)*1440,0)),""))</f>
        <v>149</v>
      </c>
      <c r="U52" s="13">
        <f>IF(OR($N52="",$T52=""),"",IFERROR(MAX(0,1-($N52+$T52+MAX(0,N($Q52)))/ROUND((INDEX(Config!$D$15:$D$18,MATCH($S52,Config!$B$15:$B$18,0))-INDEX(Config!$C$15:$C$18,MATCH($S52,Config!$B$15:$B$18,0)))*1440,0)),""))</f>
        <v>0.745</v>
      </c>
      <c r="V52" s="5"/>
    </row>
    <row r="53" spans="1:22" x14ac:dyDescent="0.25">
      <c r="A53" s="11" t="s">
        <v>243</v>
      </c>
      <c r="B53" s="2" t="s">
        <v>44</v>
      </c>
      <c r="C53" t="str">
        <f>IFERROR(INDEX(Ejecutivos!$B$2:$B$100,MATCH(B53,Ejecutivos!$A$2:$A$100,0)),"")</f>
        <v>MELISSA SALGADO</v>
      </c>
      <c r="D53" s="72" t="s">
        <v>155</v>
      </c>
      <c r="E53" s="72" t="s">
        <v>265</v>
      </c>
      <c r="F53" s="72" t="s">
        <v>266</v>
      </c>
      <c r="G53" s="72" t="s">
        <v>193</v>
      </c>
      <c r="H53" s="73">
        <v>17</v>
      </c>
      <c r="I53" s="73">
        <v>16</v>
      </c>
      <c r="J53" s="75">
        <v>24</v>
      </c>
      <c r="K53" s="72">
        <v>6</v>
      </c>
      <c r="L53" s="18">
        <v>0</v>
      </c>
      <c r="M53">
        <f t="shared" si="0"/>
        <v>8.5</v>
      </c>
      <c r="N53">
        <f>IF(OR($D53="",$S53=""),"",IFERROR(MAX(0,ROUND(($D53-INDEX(Config!$C$15:$C$18,MATCH($S53,Config!$B$15:$B$18,0)))*24*60,0)),""))</f>
        <v>2</v>
      </c>
      <c r="O53">
        <f t="shared" si="1"/>
        <v>60</v>
      </c>
      <c r="P53">
        <f t="shared" si="2"/>
        <v>93</v>
      </c>
      <c r="Q53">
        <f>IF(OR($P53="",$S53=""),"",IFERROR($P53-INDEX(Config!$E$15:$E$18,MATCH($S53,Config!$B$15:$B$18,0)),""))</f>
        <v>33</v>
      </c>
      <c r="R53" t="str">
        <f t="shared" si="3"/>
        <v>Atrasado</v>
      </c>
      <c r="S53" s="6" t="str">
        <f>IF(OR($A53="",$C53=""),"",IFERROR(INDEX(Turno!$C$3:$V$32,MATCH($C53,Turno!$B$3:$B$32,0),MATCH(DAY($A53),Turno!$C$1:$V$1,0)),""))</f>
        <v>C</v>
      </c>
      <c r="T53">
        <f>IF(OR($E53="",$S53=""),"",IFERROR(MAX(0,ROUND((INDEX(Config!$D$15:$D$18,MATCH($S53,Config!$B$15:$B$18,0))-$E53)*1440,0)),""))</f>
        <v>0</v>
      </c>
      <c r="U53" s="13">
        <f>IF(OR($N53="",$T53=""),"",IFERROR(MAX(0,1-($N53+$T53+MAX(0,N($Q53)))/ROUND((INDEX(Config!$D$15:$D$18,MATCH($S53,Config!$B$15:$B$18,0))-INDEX(Config!$C$15:$C$18,MATCH($S53,Config!$B$15:$B$18,0)))*1440,0)),""))</f>
        <v>0.92708333333333337</v>
      </c>
      <c r="V53" s="5"/>
    </row>
    <row r="54" spans="1:22" x14ac:dyDescent="0.25">
      <c r="A54" s="11" t="s">
        <v>243</v>
      </c>
      <c r="B54" s="2" t="s">
        <v>46</v>
      </c>
      <c r="C54" t="str">
        <f>IFERROR(INDEX(Ejecutivos!$B$2:$B$100,MATCH(B54,Ejecutivos!$A$2:$A$100,0)),"")</f>
        <v>NANCI MENDEZ</v>
      </c>
      <c r="D54" s="72" t="s">
        <v>145</v>
      </c>
      <c r="E54" s="72" t="s">
        <v>220</v>
      </c>
      <c r="F54" s="72" t="s">
        <v>157</v>
      </c>
      <c r="G54" s="72" t="s">
        <v>209</v>
      </c>
      <c r="H54" s="73">
        <v>17</v>
      </c>
      <c r="I54" s="73">
        <v>15</v>
      </c>
      <c r="J54" s="73">
        <v>4</v>
      </c>
      <c r="K54" s="72">
        <v>1</v>
      </c>
      <c r="L54" s="18">
        <v>0</v>
      </c>
      <c r="M54">
        <f t="shared" si="0"/>
        <v>8.7200000000000006</v>
      </c>
      <c r="N54">
        <f>IF(OR($D54="",$S54=""),"",IFERROR(MAX(0,ROUND(($D54-INDEX(Config!$C$15:$C$18,MATCH($S54,Config!$B$15:$B$18,0)))*24*60,0)),""))</f>
        <v>0</v>
      </c>
      <c r="O54">
        <f t="shared" si="1"/>
        <v>61</v>
      </c>
      <c r="P54">
        <f t="shared" si="2"/>
        <v>93</v>
      </c>
      <c r="Q54">
        <f>IF(OR($P54="",$S54=""),"",IFERROR($P54-INDEX(Config!$E$15:$E$18,MATCH($S54,Config!$B$15:$B$18,0)),""))</f>
        <v>33</v>
      </c>
      <c r="R54" t="str">
        <f t="shared" si="3"/>
        <v>Puntual</v>
      </c>
      <c r="S54" s="6" t="str">
        <f>IF(OR($A54="",$C54=""),"",IFERROR(INDEX(Turno!$C$3:$V$32,MATCH($C54,Turno!$B$3:$B$32,0),MATCH(DAY($A54),Turno!$C$1:$V$1,0)),""))</f>
        <v>A</v>
      </c>
      <c r="T54">
        <f>IF(OR($E54="",$S54=""),"",IFERROR(MAX(0,ROUND((INDEX(Config!$D$15:$D$18,MATCH($S54,Config!$B$15:$B$18,0))-$E54)*1440,0)),""))</f>
        <v>0</v>
      </c>
      <c r="U54" s="13">
        <f>IF(OR($N54="",$T54=""),"",IFERROR(MAX(0,1-($N54+$T54+MAX(0,N($Q54)))/ROUND((INDEX(Config!$D$15:$D$18,MATCH($S54,Config!$B$15:$B$18,0))-INDEX(Config!$C$15:$C$18,MATCH($S54,Config!$B$15:$B$18,0)))*1440,0)),""))</f>
        <v>0.94499999999999995</v>
      </c>
      <c r="V54" s="5"/>
    </row>
    <row r="55" spans="1:22" x14ac:dyDescent="0.25">
      <c r="A55" s="11" t="s">
        <v>243</v>
      </c>
      <c r="B55" s="2" t="s">
        <v>49</v>
      </c>
      <c r="C55" t="str">
        <f>IFERROR(INDEX(Ejecutivos!$B$2:$B$100,MATCH(B55,Ejecutivos!$A$2:$A$100,0)),"")</f>
        <v>TOMAS MAULEN</v>
      </c>
      <c r="D55" s="72" t="s">
        <v>155</v>
      </c>
      <c r="E55" s="72" t="s">
        <v>267</v>
      </c>
      <c r="F55" s="72" t="s">
        <v>147</v>
      </c>
      <c r="G55" s="72" t="s">
        <v>268</v>
      </c>
      <c r="H55" s="73">
        <v>16</v>
      </c>
      <c r="I55" s="73">
        <v>2</v>
      </c>
      <c r="J55" s="75">
        <v>34</v>
      </c>
      <c r="K55" s="72">
        <v>9</v>
      </c>
      <c r="L55" s="18">
        <v>0</v>
      </c>
      <c r="M55">
        <f t="shared" si="0"/>
        <v>8.4700000000000006</v>
      </c>
      <c r="N55">
        <f>IF(OR($D55="",$S55=""),"",IFERROR(MAX(0,ROUND(($D55-INDEX(Config!$C$15:$C$18,MATCH($S55,Config!$B$15:$B$18,0)))*24*60,0)),""))</f>
        <v>2</v>
      </c>
      <c r="O55">
        <f t="shared" si="1"/>
        <v>63</v>
      </c>
      <c r="P55">
        <f t="shared" si="2"/>
        <v>81</v>
      </c>
      <c r="Q55">
        <f>IF(OR($P55="",$S55=""),"",IFERROR($P55-INDEX(Config!$E$15:$E$18,MATCH($S55,Config!$B$15:$B$18,0)),""))</f>
        <v>21</v>
      </c>
      <c r="R55" t="str">
        <f t="shared" si="3"/>
        <v>Atrasado</v>
      </c>
      <c r="S55" s="6" t="str">
        <f>IF(OR($A55="",$C55=""),"",IFERROR(INDEX(Turno!$C$3:$V$32,MATCH($C55,Turno!$B$3:$B$32,0),MATCH(DAY($A55),Turno!$C$1:$V$1,0)),""))</f>
        <v>A</v>
      </c>
      <c r="T55">
        <f>IF(OR($E55="",$S55=""),"",IFERROR(MAX(0,ROUND((INDEX(Config!$D$15:$D$18,MATCH($S55,Config!$B$15:$B$18,0))-$E55)*1440,0)),""))</f>
        <v>9</v>
      </c>
      <c r="U55" s="13">
        <f>IF(OR($N55="",$T55=""),"",IFERROR(MAX(0,1-($N55+$T55+MAX(0,N($Q55)))/ROUND((INDEX(Config!$D$15:$D$18,MATCH($S55,Config!$B$15:$B$18,0))-INDEX(Config!$C$15:$C$18,MATCH($S55,Config!$B$15:$B$18,0)))*1440,0)),""))</f>
        <v>0.94666666666666666</v>
      </c>
      <c r="V55" s="5"/>
    </row>
    <row r="56" spans="1:22" x14ac:dyDescent="0.25">
      <c r="A56" s="11" t="s">
        <v>244</v>
      </c>
      <c r="B56" s="2" t="s">
        <v>11</v>
      </c>
      <c r="C56" t="str">
        <f>IFERROR(INDEX(Ejecutivos!$B$2:$B$100,MATCH(B56,Ejecutivos!$A$2:$A$100,0)),"")</f>
        <v>ALEJANDRA CHACON</v>
      </c>
      <c r="D56" s="69" t="s">
        <v>137</v>
      </c>
      <c r="E56" s="69" t="s">
        <v>262</v>
      </c>
      <c r="F56" s="69" t="s">
        <v>190</v>
      </c>
      <c r="G56" s="69" t="s">
        <v>280</v>
      </c>
      <c r="H56" s="69">
        <v>0</v>
      </c>
      <c r="I56" s="69">
        <v>0</v>
      </c>
      <c r="J56" s="70">
        <v>0</v>
      </c>
      <c r="K56" s="69">
        <v>0</v>
      </c>
      <c r="L56" s="18">
        <v>0</v>
      </c>
      <c r="M56">
        <f t="shared" ref="M56:M116" si="7">IF(OR(D56="",E56=""),"",ROUND(((E56-D56)*24)-((G56-F56)*24)-((H56+I56)/60),2))</f>
        <v>7.1</v>
      </c>
      <c r="N56">
        <f>IF(OR($D56="",$S56=""),"",IFERROR(MAX(0,ROUND(($D56-INDEX(Config!$C$15:$C$18,MATCH($S56,Config!$B$15:$B$18,0)))*24*60,0)),""))</f>
        <v>0</v>
      </c>
      <c r="O56">
        <f t="shared" ref="O56:O116" si="8">IF(OR(F56="",G56=""),"",ROUND((G56-F56)*24*60,0))</f>
        <v>25</v>
      </c>
      <c r="P56">
        <f t="shared" ref="P56:P116" si="9">IF(O56="","",O56+H56+I56)</f>
        <v>25</v>
      </c>
      <c r="Q56">
        <f>IF(OR($P56="",$S56=""),"",IFERROR($P56-INDEX(Config!$E$15:$E$18,MATCH($S56,Config!$B$15:$B$18,0)),""))</f>
        <v>-35</v>
      </c>
      <c r="R56" t="str">
        <f t="shared" ref="R56:R116" si="10">IF($A56="","",IF($D56="","Ausente",IF($N56="","",IF($N56&gt;0,"Atrasado","Puntual"))))</f>
        <v>Puntual</v>
      </c>
      <c r="S56" s="6" t="str">
        <f>IF(OR($A56="",$C56=""),"",IFERROR(INDEX(Turno!$C$3:$V$32,MATCH($C56,Turno!$B$3:$B$32,0),MATCH(DAY($A56),Turno!$C$1:$V$1,0)),""))</f>
        <v>C</v>
      </c>
      <c r="T56">
        <f>IF(OR($E56="",$S56=""),"",IFERROR(MAX(0,ROUND((INDEX(Config!$D$15:$D$18,MATCH($S56,Config!$B$15:$B$18,0))-$E56)*1440,0)),""))</f>
        <v>29</v>
      </c>
      <c r="U56" s="13">
        <f>IF(OR($N56="",$T56=""),"",IFERROR(MAX(0,1-($N56+$T56+MAX(0,N($Q56)))/ROUND((INDEX(Config!$D$15:$D$18,MATCH($S56,Config!$B$15:$B$18,0))-INDEX(Config!$C$15:$C$18,MATCH($S56,Config!$B$15:$B$18,0)))*1440,0)),""))</f>
        <v>0.93958333333333333</v>
      </c>
      <c r="V56" s="5"/>
    </row>
    <row r="57" spans="1:22" x14ac:dyDescent="0.25">
      <c r="A57" s="11" t="s">
        <v>244</v>
      </c>
      <c r="B57" s="2" t="s">
        <v>18</v>
      </c>
      <c r="C57" t="str">
        <f>IFERROR(INDEX(Ejecutivos!$B$2:$B$100,MATCH(B57,Ejecutivos!$A$2:$A$100,0)),"")</f>
        <v>ALEJANDRA ORELLANA</v>
      </c>
      <c r="D57" s="69" t="s">
        <v>134</v>
      </c>
      <c r="E57" s="69" t="s">
        <v>270</v>
      </c>
      <c r="F57" s="69" t="s">
        <v>281</v>
      </c>
      <c r="G57" s="69" t="s">
        <v>242</v>
      </c>
      <c r="H57" s="70">
        <v>19</v>
      </c>
      <c r="I57" s="70">
        <v>15</v>
      </c>
      <c r="J57" s="70">
        <v>5</v>
      </c>
      <c r="K57" s="69">
        <v>2</v>
      </c>
      <c r="L57" s="18">
        <v>0</v>
      </c>
      <c r="M57">
        <f t="shared" si="7"/>
        <v>6.87</v>
      </c>
      <c r="N57">
        <f>IF(OR($D57="",$S57=""),"",IFERROR(MAX(0,ROUND(($D57-INDEX(Config!$C$15:$C$18,MATCH($S57,Config!$B$15:$B$18,0)))*24*60,0)),""))</f>
        <v>1</v>
      </c>
      <c r="O57">
        <f t="shared" si="8"/>
        <v>30</v>
      </c>
      <c r="P57">
        <f t="shared" si="9"/>
        <v>64</v>
      </c>
      <c r="Q57">
        <f>IF(OR($P57="",$S57=""),"",IFERROR($P57-INDEX(Config!$E$15:$E$18,MATCH($S57,Config!$B$15:$B$18,0)),""))</f>
        <v>4</v>
      </c>
      <c r="R57" t="str">
        <f t="shared" si="10"/>
        <v>Atrasado</v>
      </c>
      <c r="S57" s="6" t="str">
        <f>IF(OR($A57="",$C57=""),"",IFERROR(INDEX(Turno!$C$3:$V$32,MATCH($C57,Turno!$B$3:$B$32,0),MATCH(DAY($A57),Turno!$C$1:$V$1,0)),""))</f>
        <v>C</v>
      </c>
      <c r="T57">
        <f>IF(OR($E57="",$S57=""),"",IFERROR(MAX(0,ROUND((INDEX(Config!$D$15:$D$18,MATCH($S57,Config!$B$15:$B$18,0))-$E57)*1440,0)),""))</f>
        <v>3</v>
      </c>
      <c r="U57" s="13">
        <f>IF(OR($N57="",$T57=""),"",IFERROR(MAX(0,1-($N57+$T57+MAX(0,N($Q57)))/ROUND((INDEX(Config!$D$15:$D$18,MATCH($S57,Config!$B$15:$B$18,0))-INDEX(Config!$C$15:$C$18,MATCH($S57,Config!$B$15:$B$18,0)))*1440,0)),""))</f>
        <v>0.98333333333333328</v>
      </c>
      <c r="V57" s="5"/>
    </row>
    <row r="58" spans="1:22" x14ac:dyDescent="0.25">
      <c r="A58" s="11" t="s">
        <v>244</v>
      </c>
      <c r="B58" s="2" t="s">
        <v>20</v>
      </c>
      <c r="C58" t="str">
        <f>IFERROR(INDEX(Ejecutivos!$B$2:$B$100,MATCH(B58,Ejecutivos!$A$2:$A$100,0)),"")</f>
        <v>ANA ASTORGA</v>
      </c>
      <c r="D58" s="69" t="s">
        <v>134</v>
      </c>
      <c r="E58" s="69" t="s">
        <v>271</v>
      </c>
      <c r="F58" s="69" t="s">
        <v>282</v>
      </c>
      <c r="G58" s="69" t="s">
        <v>225</v>
      </c>
      <c r="H58" s="70">
        <v>15</v>
      </c>
      <c r="I58" s="70">
        <v>13</v>
      </c>
      <c r="J58" s="70">
        <v>0</v>
      </c>
      <c r="K58" s="69">
        <v>0</v>
      </c>
      <c r="L58" s="18">
        <v>0</v>
      </c>
      <c r="M58">
        <f t="shared" si="7"/>
        <v>8.92</v>
      </c>
      <c r="N58">
        <f>IF(OR($D58="",$S58=""),"",IFERROR(MAX(0,ROUND(($D58-INDEX(Config!$C$15:$C$18,MATCH($S58,Config!$B$15:$B$18,0)))*24*60,0)),""))</f>
        <v>1</v>
      </c>
      <c r="O58">
        <f t="shared" si="8"/>
        <v>54</v>
      </c>
      <c r="P58">
        <f t="shared" si="9"/>
        <v>82</v>
      </c>
      <c r="Q58">
        <f>IF(OR($P58="",$S58=""),"",IFERROR($P58-INDEX(Config!$E$15:$E$18,MATCH($S58,Config!$B$15:$B$18,0)),""))</f>
        <v>22</v>
      </c>
      <c r="R58" t="str">
        <f t="shared" si="10"/>
        <v>Atrasado</v>
      </c>
      <c r="S58" s="6" t="str">
        <f>IF(OR($A58="",$C58=""),"",IFERROR(INDEX(Turno!$C$3:$V$32,MATCH($C58,Turno!$B$3:$B$32,0),MATCH(DAY($A58),Turno!$C$1:$V$1,0)),""))</f>
        <v>A</v>
      </c>
      <c r="T58">
        <f>IF(OR($E58="",$S58=""),"",IFERROR(MAX(0,ROUND((INDEX(Config!$D$15:$D$18,MATCH($S58,Config!$B$15:$B$18,0))-$E58)*1440,0)),""))</f>
        <v>0</v>
      </c>
      <c r="U58" s="13">
        <f>IF(OR($N58="",$T58=""),"",IFERROR(MAX(0,1-($N58+$T58+MAX(0,N($Q58)))/ROUND((INDEX(Config!$D$15:$D$18,MATCH($S58,Config!$B$15:$B$18,0))-INDEX(Config!$C$15:$C$18,MATCH($S58,Config!$B$15:$B$18,0)))*1440,0)),""))</f>
        <v>0.96166666666666667</v>
      </c>
      <c r="V58" s="5"/>
    </row>
    <row r="59" spans="1:22" x14ac:dyDescent="0.25">
      <c r="A59" s="11" t="s">
        <v>244</v>
      </c>
      <c r="B59" s="2" t="s">
        <v>23</v>
      </c>
      <c r="C59" t="str">
        <f>IFERROR(INDEX(Ejecutivos!$B$2:$B$100,MATCH(B59,Ejecutivos!$A$2:$A$100,0)),"")</f>
        <v>ATALY GARCIA</v>
      </c>
      <c r="D59" s="69" t="s">
        <v>137</v>
      </c>
      <c r="E59" s="69" t="s">
        <v>272</v>
      </c>
      <c r="F59" s="69" t="s">
        <v>144</v>
      </c>
      <c r="G59" s="69" t="s">
        <v>225</v>
      </c>
      <c r="H59" s="70">
        <v>15</v>
      </c>
      <c r="I59" s="70">
        <v>15</v>
      </c>
      <c r="J59" s="70">
        <v>12</v>
      </c>
      <c r="K59" s="69">
        <v>2</v>
      </c>
      <c r="L59" s="18">
        <v>0</v>
      </c>
      <c r="M59">
        <f t="shared" si="7"/>
        <v>8.65</v>
      </c>
      <c r="N59">
        <f>IF(OR($D59="",$S59=""),"",IFERROR(MAX(0,ROUND(($D59-INDEX(Config!$C$15:$C$18,MATCH($S59,Config!$B$15:$B$18,0)))*24*60,0)),""))</f>
        <v>0</v>
      </c>
      <c r="O59">
        <f t="shared" si="8"/>
        <v>30</v>
      </c>
      <c r="P59">
        <f t="shared" si="9"/>
        <v>60</v>
      </c>
      <c r="Q59">
        <f>IF(OR($P59="",$S59=""),"",IFERROR($P59-INDEX(Config!$E$15:$E$18,MATCH($S59,Config!$B$15:$B$18,0)),""))</f>
        <v>0</v>
      </c>
      <c r="R59" t="str">
        <f t="shared" si="10"/>
        <v>Puntual</v>
      </c>
      <c r="S59" s="6" t="str">
        <f>IF(OR($A59="",$C59=""),"",IFERROR(INDEX(Turno!$C$3:$V$32,MATCH($C59,Turno!$B$3:$B$32,0),MATCH(DAY($A59),Turno!$C$1:$V$1,0)),""))</f>
        <v>A</v>
      </c>
      <c r="T59">
        <f>IF(OR($E59="",$S59=""),"",IFERROR(MAX(0,ROUND((INDEX(Config!$D$15:$D$18,MATCH($S59,Config!$B$15:$B$18,0))-$E59)*1440,0)),""))</f>
        <v>21</v>
      </c>
      <c r="U59" s="13">
        <f>IF(OR($N59="",$T59=""),"",IFERROR(MAX(0,1-($N59+$T59+MAX(0,N($Q59)))/ROUND((INDEX(Config!$D$15:$D$18,MATCH($S59,Config!$B$15:$B$18,0))-INDEX(Config!$C$15:$C$18,MATCH($S59,Config!$B$15:$B$18,0)))*1440,0)),""))</f>
        <v>0.96499999999999997</v>
      </c>
      <c r="V59" s="5"/>
    </row>
    <row r="60" spans="1:22" x14ac:dyDescent="0.25">
      <c r="A60" s="11" t="s">
        <v>244</v>
      </c>
      <c r="B60" s="2" t="s">
        <v>25</v>
      </c>
      <c r="C60" t="str">
        <f>IFERROR(INDEX(Ejecutivos!$B$2:$B$100,MATCH(B60,Ejecutivos!$A$2:$A$100,0)),"")</f>
        <v>CATHERINE AEDO</v>
      </c>
      <c r="D60" s="69" t="s">
        <v>134</v>
      </c>
      <c r="E60" s="69" t="s">
        <v>133</v>
      </c>
      <c r="F60" s="69" t="s">
        <v>143</v>
      </c>
      <c r="G60" s="69" t="s">
        <v>237</v>
      </c>
      <c r="H60" s="70">
        <v>19</v>
      </c>
      <c r="I60" s="70">
        <v>17</v>
      </c>
      <c r="J60" s="71">
        <v>35</v>
      </c>
      <c r="K60" s="69">
        <v>4</v>
      </c>
      <c r="L60" s="18">
        <v>0</v>
      </c>
      <c r="M60">
        <f t="shared" si="7"/>
        <v>8.2799999999999994</v>
      </c>
      <c r="N60">
        <f>IF(OR($D60="",$S60=""),"",IFERROR(MAX(0,ROUND(($D60-INDEX(Config!$C$15:$C$18,MATCH($S60,Config!$B$15:$B$18,0)))*24*60,0)),""))</f>
        <v>1</v>
      </c>
      <c r="O60">
        <f t="shared" si="8"/>
        <v>67</v>
      </c>
      <c r="P60">
        <f t="shared" si="9"/>
        <v>103</v>
      </c>
      <c r="Q60">
        <f>IF(OR($P60="",$S60=""),"",IFERROR($P60-INDEX(Config!$E$15:$E$18,MATCH($S60,Config!$B$15:$B$18,0)),""))</f>
        <v>43</v>
      </c>
      <c r="R60" t="str">
        <f t="shared" si="10"/>
        <v>Atrasado</v>
      </c>
      <c r="S60" s="6" t="str">
        <f>IF(OR($A60="",$C60=""),"",IFERROR(INDEX(Turno!$C$3:$V$32,MATCH($C60,Turno!$B$3:$B$32,0),MATCH(DAY($A60),Turno!$C$1:$V$1,0)),""))</f>
        <v>A</v>
      </c>
      <c r="T60">
        <f>IF(OR($E60="",$S60=""),"",IFERROR(MAX(0,ROUND((INDEX(Config!$D$15:$D$18,MATCH($S60,Config!$B$15:$B$18,0))-$E60)*1440,0)),""))</f>
        <v>0</v>
      </c>
      <c r="U60" s="13">
        <f>IF(OR($N60="",$T60=""),"",IFERROR(MAX(0,1-($N60+$T60+MAX(0,N($Q60)))/ROUND((INDEX(Config!$D$15:$D$18,MATCH($S60,Config!$B$15:$B$18,0))-INDEX(Config!$C$15:$C$18,MATCH($S60,Config!$B$15:$B$18,0)))*1440,0)),""))</f>
        <v>0.92666666666666664</v>
      </c>
      <c r="V60" s="5"/>
    </row>
    <row r="61" spans="1:22" x14ac:dyDescent="0.25">
      <c r="A61" s="11" t="s">
        <v>244</v>
      </c>
      <c r="B61" s="2" t="s">
        <v>27</v>
      </c>
      <c r="C61" t="str">
        <f>IFERROR(INDEX(Ejecutivos!$B$2:$B$100,MATCH(B61,Ejecutivos!$A$2:$A$100,0)),"")</f>
        <v>DANIELA RODRIGUEZ</v>
      </c>
      <c r="D61" s="69" t="s">
        <v>132</v>
      </c>
      <c r="E61" s="69" t="s">
        <v>273</v>
      </c>
      <c r="F61" s="69" t="s">
        <v>136</v>
      </c>
      <c r="G61" s="69" t="s">
        <v>283</v>
      </c>
      <c r="H61" s="70">
        <v>16</v>
      </c>
      <c r="I61" s="70">
        <v>15</v>
      </c>
      <c r="J61" s="70">
        <v>18</v>
      </c>
      <c r="K61" s="69">
        <v>7</v>
      </c>
      <c r="L61" s="18">
        <v>0</v>
      </c>
      <c r="M61">
        <f t="shared" si="7"/>
        <v>6.98</v>
      </c>
      <c r="N61">
        <f>IF(OR($D61="",$S61=""),"",IFERROR(MAX(0,ROUND(($D61-INDEX(Config!$C$15:$C$18,MATCH($S61,Config!$B$15:$B$18,0)))*24*60,0)),""))</f>
        <v>0</v>
      </c>
      <c r="O61">
        <f t="shared" si="8"/>
        <v>63</v>
      </c>
      <c r="P61">
        <f t="shared" si="9"/>
        <v>94</v>
      </c>
      <c r="Q61">
        <f>IF(OR($P61="",$S61=""),"",IFERROR($P61-INDEX(Config!$E$15:$E$18,MATCH($S61,Config!$B$15:$B$18,0)),""))</f>
        <v>34</v>
      </c>
      <c r="R61" t="str">
        <f t="shared" si="10"/>
        <v>Puntual</v>
      </c>
      <c r="S61" s="6" t="str">
        <f>IF(OR($A61="",$C61=""),"",IFERROR(INDEX(Turno!$C$3:$V$32,MATCH($C61,Turno!$B$3:$B$32,0),MATCH(DAY($A61),Turno!$C$1:$V$1,0)),""))</f>
        <v>B</v>
      </c>
      <c r="T61">
        <f>IF(OR($E61="",$S61=""),"",IFERROR(MAX(0,ROUND((INDEX(Config!$D$15:$D$18,MATCH($S61,Config!$B$15:$B$18,0))-$E61)*1440,0)),""))</f>
        <v>28</v>
      </c>
      <c r="U61" s="13">
        <f>IF(OR($N61="",$T61=""),"",IFERROR(MAX(0,1-($N61+$T61+MAX(0,N($Q61)))/ROUND((INDEX(Config!$D$15:$D$18,MATCH($S61,Config!$B$15:$B$18,0))-INDEX(Config!$C$15:$C$18,MATCH($S61,Config!$B$15:$B$18,0)))*1440,0)),""))</f>
        <v>0.88518518518518519</v>
      </c>
      <c r="V61" s="5"/>
    </row>
    <row r="62" spans="1:22" x14ac:dyDescent="0.25">
      <c r="A62" s="11" t="s">
        <v>244</v>
      </c>
      <c r="B62" s="2" t="s">
        <v>29</v>
      </c>
      <c r="C62" t="str">
        <f>IFERROR(INDEX(Ejecutivos!$B$2:$B$100,MATCH(B62,Ejecutivos!$A$2:$A$100,0)),"")</f>
        <v>ELSA GONGORA</v>
      </c>
      <c r="D62" s="74">
        <v>0.35416666666666669</v>
      </c>
      <c r="E62" s="69" t="s">
        <v>274</v>
      </c>
      <c r="F62" s="69">
        <v>0</v>
      </c>
      <c r="G62" s="69">
        <v>0</v>
      </c>
      <c r="H62" s="69">
        <v>0</v>
      </c>
      <c r="I62" s="69">
        <v>0</v>
      </c>
      <c r="J62" s="70">
        <v>0</v>
      </c>
      <c r="K62" s="69">
        <v>0</v>
      </c>
      <c r="L62" s="18">
        <v>0</v>
      </c>
      <c r="M62">
        <f t="shared" si="7"/>
        <v>10.1</v>
      </c>
      <c r="N62">
        <f>IF(OR($D62="",$S62=""),"",IFERROR(MAX(0,ROUND(($D62-INDEX(Config!$C$15:$C$18,MATCH($S62,Config!$B$15:$B$18,0)))*24*60,0)),""))</f>
        <v>0</v>
      </c>
      <c r="O62">
        <f t="shared" si="8"/>
        <v>0</v>
      </c>
      <c r="P62">
        <f t="shared" si="9"/>
        <v>0</v>
      </c>
      <c r="Q62">
        <f>IF(OR($P62="",$S62=""),"",IFERROR($P62-INDEX(Config!$E$15:$E$18,MATCH($S62,Config!$B$15:$B$18,0)),""))</f>
        <v>-60</v>
      </c>
      <c r="R62" t="str">
        <f t="shared" si="10"/>
        <v>Puntual</v>
      </c>
      <c r="S62" s="6" t="str">
        <f>IF(OR($A62="",$C62=""),"",IFERROR(INDEX(Turno!$C$3:$V$32,MATCH($C62,Turno!$B$3:$B$32,0),MATCH(DAY($A62),Turno!$C$1:$V$1,0)),""))</f>
        <v>A</v>
      </c>
      <c r="T62">
        <f>IF(OR($E62="",$S62=""),"",IFERROR(MAX(0,ROUND((INDEX(Config!$D$15:$D$18,MATCH($S62,Config!$B$15:$B$18,0))-$E62)*1440,0)),""))</f>
        <v>0</v>
      </c>
      <c r="U62" s="13">
        <f>IF(OR($N62="",$T62=""),"",IFERROR(MAX(0,1-($N62+$T62+MAX(0,N($Q62)))/ROUND((INDEX(Config!$D$15:$D$18,MATCH($S62,Config!$B$15:$B$18,0))-INDEX(Config!$C$15:$C$18,MATCH($S62,Config!$B$15:$B$18,0)))*1440,0)),""))</f>
        <v>1</v>
      </c>
      <c r="V62" s="5"/>
    </row>
    <row r="63" spans="1:22" x14ac:dyDescent="0.25">
      <c r="A63" s="11" t="s">
        <v>244</v>
      </c>
      <c r="B63" s="2" t="s">
        <v>31</v>
      </c>
      <c r="C63" t="str">
        <f>IFERROR(INDEX(Ejecutivos!$B$2:$B$100,MATCH(B63,Ejecutivos!$A$2:$A$100,0)),"")</f>
        <v>JOHANA LLANCAPICHUN</v>
      </c>
      <c r="D63" s="69" t="s">
        <v>137</v>
      </c>
      <c r="E63" s="69" t="s">
        <v>234</v>
      </c>
      <c r="F63" s="69" t="s">
        <v>190</v>
      </c>
      <c r="G63" s="69" t="s">
        <v>284</v>
      </c>
      <c r="H63" s="70">
        <v>15</v>
      </c>
      <c r="I63" s="70">
        <v>15</v>
      </c>
      <c r="J63" s="70">
        <v>7</v>
      </c>
      <c r="K63" s="69">
        <v>1</v>
      </c>
      <c r="L63" s="18">
        <v>0</v>
      </c>
      <c r="M63">
        <f t="shared" si="7"/>
        <v>6.62</v>
      </c>
      <c r="N63">
        <f>IF(OR($D63="",$S63=""),"",IFERROR(MAX(0,ROUND(($D63-INDEX(Config!$C$15:$C$18,MATCH($S63,Config!$B$15:$B$18,0)))*24*60,0)),""))</f>
        <v>0</v>
      </c>
      <c r="O63">
        <f t="shared" si="8"/>
        <v>60</v>
      </c>
      <c r="P63">
        <f t="shared" si="9"/>
        <v>90</v>
      </c>
      <c r="Q63">
        <f>IF(OR($P63="",$S63=""),"",IFERROR($P63-INDEX(Config!$E$15:$E$18,MATCH($S63,Config!$B$15:$B$18,0)),""))</f>
        <v>30</v>
      </c>
      <c r="R63" t="str">
        <f t="shared" si="10"/>
        <v>Puntual</v>
      </c>
      <c r="S63" s="6" t="str">
        <f>IF(OR($A63="",$C63=""),"",IFERROR(INDEX(Turno!$C$3:$V$32,MATCH($C63,Turno!$B$3:$B$32,0),MATCH(DAY($A63),Turno!$C$1:$V$1,0)),""))</f>
        <v>C</v>
      </c>
      <c r="T63">
        <f>IF(OR($E63="",$S63=""),"",IFERROR(MAX(0,ROUND((INDEX(Config!$D$15:$D$18,MATCH($S63,Config!$B$15:$B$18,0))-$E63)*1440,0)),""))</f>
        <v>0</v>
      </c>
      <c r="U63" s="13">
        <f>IF(OR($N63="",$T63=""),"",IFERROR(MAX(0,1-($N63+$T63+MAX(0,N($Q63)))/ROUND((INDEX(Config!$D$15:$D$18,MATCH($S63,Config!$B$15:$B$18,0))-INDEX(Config!$C$15:$C$18,MATCH($S63,Config!$B$15:$B$18,0)))*1440,0)),""))</f>
        <v>0.9375</v>
      </c>
      <c r="V63" s="5"/>
    </row>
    <row r="64" spans="1:22" x14ac:dyDescent="0.25">
      <c r="A64" s="11" t="s">
        <v>244</v>
      </c>
      <c r="B64" s="2" t="s">
        <v>33</v>
      </c>
      <c r="C64" t="str">
        <f>IFERROR(INDEX(Ejecutivos!$B$2:$B$100,MATCH(B64,Ejecutivos!$A$2:$A$100,0)),"")</f>
        <v>KATIA HALD</v>
      </c>
      <c r="D64" s="69" t="s">
        <v>137</v>
      </c>
      <c r="E64" s="69" t="s">
        <v>275</v>
      </c>
      <c r="F64" s="69" t="s">
        <v>259</v>
      </c>
      <c r="G64" s="69" t="s">
        <v>185</v>
      </c>
      <c r="H64" s="70">
        <v>18</v>
      </c>
      <c r="I64" s="70">
        <v>16</v>
      </c>
      <c r="J64" s="70">
        <v>12</v>
      </c>
      <c r="K64" s="69">
        <v>1</v>
      </c>
      <c r="L64" s="18">
        <v>0</v>
      </c>
      <c r="M64">
        <f t="shared" si="7"/>
        <v>7.43</v>
      </c>
      <c r="N64">
        <f>IF(OR($D64="",$S64=""),"",IFERROR(MAX(0,ROUND(($D64-INDEX(Config!$C$15:$C$18,MATCH($S64,Config!$B$15:$B$18,0)))*24*60,0)),""))</f>
        <v>0</v>
      </c>
      <c r="O64">
        <f t="shared" si="8"/>
        <v>61</v>
      </c>
      <c r="P64">
        <f t="shared" si="9"/>
        <v>95</v>
      </c>
      <c r="Q64">
        <f>IF(OR($P64="",$S64=""),"",IFERROR($P64-INDEX(Config!$E$15:$E$18,MATCH($S64,Config!$B$15:$B$18,0)),""))</f>
        <v>35</v>
      </c>
      <c r="R64" t="str">
        <f t="shared" si="10"/>
        <v>Puntual</v>
      </c>
      <c r="S64" s="6" t="str">
        <f>IF(OR($A64="",$C64=""),"",IFERROR(INDEX(Turno!$C$3:$V$32,MATCH($C64,Turno!$B$3:$B$32,0),MATCH(DAY($A64),Turno!$C$1:$V$1,0)),""))</f>
        <v>C</v>
      </c>
      <c r="T64">
        <f>IF(OR($E64="",$S64=""),"",IFERROR(MAX(0,ROUND((INDEX(Config!$D$15:$D$18,MATCH($S64,Config!$B$15:$B$18,0))-$E64)*1440,0)),""))</f>
        <v>0</v>
      </c>
      <c r="U64" s="13">
        <f>IF(OR($N64="",$T64=""),"",IFERROR(MAX(0,1-($N64+$T64+MAX(0,N($Q64)))/ROUND((INDEX(Config!$D$15:$D$18,MATCH($S64,Config!$B$15:$B$18,0))-INDEX(Config!$C$15:$C$18,MATCH($S64,Config!$B$15:$B$18,0)))*1440,0)),""))</f>
        <v>0.92708333333333337</v>
      </c>
      <c r="V64" s="5"/>
    </row>
    <row r="65" spans="1:22" x14ac:dyDescent="0.25">
      <c r="A65" s="11" t="s">
        <v>244</v>
      </c>
      <c r="B65" s="2" t="s">
        <v>35</v>
      </c>
      <c r="C65" t="str">
        <f>IFERROR(INDEX(Ejecutivos!$B$2:$B$100,MATCH(B65,Ejecutivos!$A$2:$A$100,0)),"")</f>
        <v>MANUEL MONSALVE</v>
      </c>
      <c r="D65" s="69" t="s">
        <v>276</v>
      </c>
      <c r="E65" s="69" t="s">
        <v>277</v>
      </c>
      <c r="F65" s="69" t="s">
        <v>285</v>
      </c>
      <c r="G65" s="69" t="s">
        <v>197</v>
      </c>
      <c r="H65" s="69">
        <v>0</v>
      </c>
      <c r="I65" s="69">
        <v>0</v>
      </c>
      <c r="J65" s="70">
        <v>7</v>
      </c>
      <c r="K65" s="69">
        <v>1</v>
      </c>
      <c r="L65" s="18">
        <v>0</v>
      </c>
      <c r="M65">
        <f t="shared" si="7"/>
        <v>8.52</v>
      </c>
      <c r="N65">
        <f>IF(OR($D65="",$S65=""),"",IFERROR(MAX(0,ROUND(($D65-INDEX(Config!$C$15:$C$18,MATCH($S65,Config!$B$15:$B$18,0)))*24*60,0)),""))</f>
        <v>0</v>
      </c>
      <c r="O65">
        <f t="shared" si="8"/>
        <v>49</v>
      </c>
      <c r="P65">
        <f t="shared" si="9"/>
        <v>49</v>
      </c>
      <c r="Q65">
        <f>IF(OR($P65="",$S65=""),"",IFERROR($P65-INDEX(Config!$E$15:$E$18,MATCH($S65,Config!$B$15:$B$18,0)),""))</f>
        <v>-11</v>
      </c>
      <c r="R65" t="str">
        <f t="shared" si="10"/>
        <v>Puntual</v>
      </c>
      <c r="S65" s="6" t="str">
        <f>IF(OR($A65="",$C65=""),"",IFERROR(INDEX(Turno!$C$3:$V$32,MATCH($C65,Turno!$B$3:$B$32,0),MATCH(DAY($A65),Turno!$C$1:$V$1,0)),""))</f>
        <v>B</v>
      </c>
      <c r="T65">
        <f>IF(OR($E65="",$S65=""),"",IFERROR(MAX(0,ROUND((INDEX(Config!$D$15:$D$18,MATCH($S65,Config!$B$15:$B$18,0))-$E65)*1440,0)),""))</f>
        <v>0</v>
      </c>
      <c r="U65" s="13">
        <f>IF(OR($N65="",$T65=""),"",IFERROR(MAX(0,1-($N65+$T65+MAX(0,N($Q65)))/ROUND((INDEX(Config!$D$15:$D$18,MATCH($S65,Config!$B$15:$B$18,0))-INDEX(Config!$C$15:$C$18,MATCH($S65,Config!$B$15:$B$18,0)))*1440,0)),""))</f>
        <v>1</v>
      </c>
      <c r="V65" s="5"/>
    </row>
    <row r="66" spans="1:22" x14ac:dyDescent="0.25">
      <c r="A66" s="11" t="s">
        <v>244</v>
      </c>
      <c r="B66" s="2" t="s">
        <v>37</v>
      </c>
      <c r="C66" t="str">
        <f>IFERROR(INDEX(Ejecutivos!$B$2:$B$100,MATCH(B66,Ejecutivos!$A$2:$A$100,0)),"")</f>
        <v>MANUELA ASTUDILLO</v>
      </c>
      <c r="D66" s="69" t="s">
        <v>132</v>
      </c>
      <c r="E66" s="69" t="s">
        <v>278</v>
      </c>
      <c r="F66" s="69" t="s">
        <v>286</v>
      </c>
      <c r="G66" s="69" t="s">
        <v>163</v>
      </c>
      <c r="H66" s="70">
        <v>16</v>
      </c>
      <c r="I66" s="70">
        <v>14</v>
      </c>
      <c r="J66" s="70">
        <v>8</v>
      </c>
      <c r="K66" s="69">
        <v>1</v>
      </c>
      <c r="L66" s="18">
        <v>0</v>
      </c>
      <c r="M66">
        <f t="shared" si="7"/>
        <v>7.65</v>
      </c>
      <c r="N66">
        <f>IF(OR($D66="",$S66=""),"",IFERROR(MAX(0,ROUND(($D66-INDEX(Config!$C$15:$C$18,MATCH($S66,Config!$B$15:$B$18,0)))*24*60,0)),""))</f>
        <v>0</v>
      </c>
      <c r="O66">
        <f t="shared" si="8"/>
        <v>30</v>
      </c>
      <c r="P66">
        <f t="shared" si="9"/>
        <v>60</v>
      </c>
      <c r="Q66">
        <f>IF(OR($P66="",$S66=""),"",IFERROR($P66-INDEX(Config!$E$15:$E$18,MATCH($S66,Config!$B$15:$B$18,0)),""))</f>
        <v>0</v>
      </c>
      <c r="R66" t="str">
        <f t="shared" si="10"/>
        <v>Puntual</v>
      </c>
      <c r="S66" s="6" t="str">
        <f>IF(OR($A66="",$C66=""),"",IFERROR(INDEX(Turno!$C$3:$V$32,MATCH($C66,Turno!$B$3:$B$32,0),MATCH(DAY($A66),Turno!$C$1:$V$1,0)),""))</f>
        <v>B</v>
      </c>
      <c r="T66">
        <f>IF(OR($E66="",$S66=""),"",IFERROR(MAX(0,ROUND((INDEX(Config!$D$15:$D$18,MATCH($S66,Config!$B$15:$B$18,0))-$E66)*1440,0)),""))</f>
        <v>22</v>
      </c>
      <c r="U66" s="13">
        <f>IF(OR($N66="",$T66=""),"",IFERROR(MAX(0,1-($N66+$T66+MAX(0,N($Q66)))/ROUND((INDEX(Config!$D$15:$D$18,MATCH($S66,Config!$B$15:$B$18,0))-INDEX(Config!$C$15:$C$18,MATCH($S66,Config!$B$15:$B$18,0)))*1440,0)),""))</f>
        <v>0.95925925925925926</v>
      </c>
      <c r="V66" s="5"/>
    </row>
    <row r="67" spans="1:22" x14ac:dyDescent="0.25">
      <c r="A67" s="11" t="s">
        <v>244</v>
      </c>
      <c r="B67" s="2" t="s">
        <v>42</v>
      </c>
      <c r="C67" t="str">
        <f>IFERROR(INDEX(Ejecutivos!$B$2:$B$100,MATCH(B67,Ejecutivos!$A$2:$A$100,0)),"")</f>
        <v>MAXIMILIANO OLIVARES</v>
      </c>
      <c r="D67" s="69" t="s">
        <v>137</v>
      </c>
      <c r="E67" s="69" t="s">
        <v>151</v>
      </c>
      <c r="F67" s="69" t="s">
        <v>287</v>
      </c>
      <c r="G67" s="69" t="s">
        <v>288</v>
      </c>
      <c r="H67" s="70">
        <v>15</v>
      </c>
      <c r="I67" s="70">
        <v>15</v>
      </c>
      <c r="J67" s="70">
        <v>2</v>
      </c>
      <c r="K67" s="69">
        <v>2</v>
      </c>
      <c r="L67" s="18">
        <v>0</v>
      </c>
      <c r="M67">
        <f t="shared" si="7"/>
        <v>8.67</v>
      </c>
      <c r="N67">
        <f>IF(OR($D67="",$S67=""),"",IFERROR(MAX(0,ROUND(($D67-INDEX(Config!$C$15:$C$18,MATCH($S67,Config!$B$15:$B$18,0)))*24*60,0)),""))</f>
        <v>0</v>
      </c>
      <c r="O67">
        <f t="shared" si="8"/>
        <v>60</v>
      </c>
      <c r="P67">
        <f t="shared" si="9"/>
        <v>90</v>
      </c>
      <c r="Q67">
        <f>IF(OR($P67="",$S67=""),"",IFERROR($P67-INDEX(Config!$E$15:$E$18,MATCH($S67,Config!$B$15:$B$18,0)),""))</f>
        <v>30</v>
      </c>
      <c r="R67" t="str">
        <f t="shared" si="10"/>
        <v>Puntual</v>
      </c>
      <c r="S67" s="6" t="str">
        <f>IF(OR($A67="",$C67=""),"",IFERROR(INDEX(Turno!$C$3:$V$32,MATCH($C67,Turno!$B$3:$B$32,0),MATCH(DAY($A67),Turno!$C$1:$V$1,0)),""))</f>
        <v>D</v>
      </c>
      <c r="T67">
        <f>IF(OR($E67="",$S67=""),"",IFERROR(MAX(0,ROUND((INDEX(Config!$D$15:$D$18,MATCH($S67,Config!$B$15:$B$18,0))-$E67)*1440,0)),""))</f>
        <v>0</v>
      </c>
      <c r="U67" s="13">
        <f>IF(OR($N67="",$T67=""),"",IFERROR(MAX(0,1-($N67+$T67+MAX(0,N($Q67)))/ROUND((INDEX(Config!$D$15:$D$18,MATCH($S67,Config!$B$15:$B$18,0))-INDEX(Config!$C$15:$C$18,MATCH($S67,Config!$B$15:$B$18,0)))*1440,0)),""))</f>
        <v>0.94444444444444442</v>
      </c>
      <c r="V67" s="5"/>
    </row>
    <row r="68" spans="1:22" x14ac:dyDescent="0.25">
      <c r="A68" s="11" t="s">
        <v>244</v>
      </c>
      <c r="B68" s="2" t="s">
        <v>44</v>
      </c>
      <c r="C68" t="str">
        <f>IFERROR(INDEX(Ejecutivos!$B$2:$B$100,MATCH(B68,Ejecutivos!$A$2:$A$100,0)),"")</f>
        <v>MELISSA SALGADO</v>
      </c>
      <c r="D68" s="69" t="s">
        <v>152</v>
      </c>
      <c r="E68" s="69" t="s">
        <v>279</v>
      </c>
      <c r="F68" s="69" t="s">
        <v>289</v>
      </c>
      <c r="G68" s="69" t="s">
        <v>290</v>
      </c>
      <c r="H68" s="70">
        <v>16</v>
      </c>
      <c r="I68" s="70">
        <v>15</v>
      </c>
      <c r="J68" s="71">
        <v>25</v>
      </c>
      <c r="K68" s="69">
        <v>5</v>
      </c>
      <c r="L68" s="18">
        <v>0</v>
      </c>
      <c r="M68">
        <f t="shared" si="7"/>
        <v>8.57</v>
      </c>
      <c r="N68">
        <f>IF(OR($D68="",$S68=""),"",IFERROR(MAX(0,ROUND(($D68-INDEX(Config!$C$15:$C$18,MATCH($S68,Config!$B$15:$B$18,0)))*24*60,0)),""))</f>
        <v>0</v>
      </c>
      <c r="O68">
        <f t="shared" si="8"/>
        <v>30</v>
      </c>
      <c r="P68">
        <f t="shared" si="9"/>
        <v>61</v>
      </c>
      <c r="Q68">
        <f>IF(OR($P68="",$S68=""),"",IFERROR($P68-INDEX(Config!$E$15:$E$18,MATCH($S68,Config!$B$15:$B$18,0)),""))</f>
        <v>1</v>
      </c>
      <c r="R68" t="str">
        <f t="shared" si="10"/>
        <v>Puntual</v>
      </c>
      <c r="S68" s="6" t="str">
        <f>IF(OR($A68="",$C68=""),"",IFERROR(INDEX(Turno!$C$3:$V$32,MATCH($C68,Turno!$B$3:$B$32,0),MATCH(DAY($A68),Turno!$C$1:$V$1,0)),""))</f>
        <v>A</v>
      </c>
      <c r="T68">
        <f>IF(OR($E68="",$S68=""),"",IFERROR(MAX(0,ROUND((INDEX(Config!$D$15:$D$18,MATCH($S68,Config!$B$15:$B$18,0))-$E68)*1440,0)),""))</f>
        <v>27</v>
      </c>
      <c r="U68" s="13">
        <f>IF(OR($N68="",$T68=""),"",IFERROR(MAX(0,1-($N68+$T68+MAX(0,N($Q68)))/ROUND((INDEX(Config!$D$15:$D$18,MATCH($S68,Config!$B$15:$B$18,0))-INDEX(Config!$C$15:$C$18,MATCH($S68,Config!$B$15:$B$18,0)))*1440,0)),""))</f>
        <v>0.95333333333333337</v>
      </c>
      <c r="V68" s="5"/>
    </row>
    <row r="69" spans="1:22" x14ac:dyDescent="0.25">
      <c r="A69" s="11" t="s">
        <v>244</v>
      </c>
      <c r="B69" s="2" t="s">
        <v>46</v>
      </c>
      <c r="C69" t="str">
        <f>IFERROR(INDEX(Ejecutivos!$B$2:$B$100,MATCH(B69,Ejecutivos!$A$2:$A$100,0)),"")</f>
        <v>NANCI MENDEZ</v>
      </c>
      <c r="D69" s="69" t="s">
        <v>152</v>
      </c>
      <c r="E69" s="69" t="s">
        <v>133</v>
      </c>
      <c r="F69" s="69" t="s">
        <v>240</v>
      </c>
      <c r="G69" s="69" t="s">
        <v>291</v>
      </c>
      <c r="H69" s="70">
        <v>15</v>
      </c>
      <c r="I69" s="70">
        <v>19</v>
      </c>
      <c r="J69" s="70">
        <v>0</v>
      </c>
      <c r="K69" s="69">
        <v>0</v>
      </c>
      <c r="L69" s="18">
        <v>0</v>
      </c>
      <c r="M69">
        <f t="shared" si="7"/>
        <v>8.52</v>
      </c>
      <c r="N69">
        <f>IF(OR($D69="",$S69=""),"",IFERROR(MAX(0,ROUND(($D69-INDEX(Config!$C$15:$C$18,MATCH($S69,Config!$B$15:$B$18,0)))*24*60,0)),""))</f>
        <v>0</v>
      </c>
      <c r="O69">
        <f t="shared" si="8"/>
        <v>58</v>
      </c>
      <c r="P69">
        <f t="shared" si="9"/>
        <v>92</v>
      </c>
      <c r="Q69">
        <f>IF(OR($P69="",$S69=""),"",IFERROR($P69-INDEX(Config!$E$15:$E$18,MATCH($S69,Config!$B$15:$B$18,0)),""))</f>
        <v>32</v>
      </c>
      <c r="R69" t="str">
        <f t="shared" si="10"/>
        <v>Puntual</v>
      </c>
      <c r="S69" s="6" t="str">
        <f>IF(OR($A69="",$C69=""),"",IFERROR(INDEX(Turno!$C$3:$V$32,MATCH($C69,Turno!$B$3:$B$32,0),MATCH(DAY($A69),Turno!$C$1:$V$1,0)),""))</f>
        <v>A</v>
      </c>
      <c r="T69">
        <f>IF(OR($E69="",$S69=""),"",IFERROR(MAX(0,ROUND((INDEX(Config!$D$15:$D$18,MATCH($S69,Config!$B$15:$B$18,0))-$E69)*1440,0)),""))</f>
        <v>0</v>
      </c>
      <c r="U69" s="13">
        <f>IF(OR($N69="",$T69=""),"",IFERROR(MAX(0,1-($N69+$T69+MAX(0,N($Q69)))/ROUND((INDEX(Config!$D$15:$D$18,MATCH($S69,Config!$B$15:$B$18,0))-INDEX(Config!$C$15:$C$18,MATCH($S69,Config!$B$15:$B$18,0)))*1440,0)),""))</f>
        <v>0.94666666666666666</v>
      </c>
      <c r="V69" s="5"/>
    </row>
    <row r="70" spans="1:22" x14ac:dyDescent="0.25">
      <c r="A70" s="11" t="s">
        <v>244</v>
      </c>
      <c r="B70" s="2" t="s">
        <v>49</v>
      </c>
      <c r="C70" t="str">
        <f>IFERROR(INDEX(Ejecutivos!$B$2:$B$100,MATCH(B70,Ejecutivos!$A$2:$A$100,0)),"")</f>
        <v>TOMAS MAULEN</v>
      </c>
      <c r="D70" s="69" t="s">
        <v>134</v>
      </c>
      <c r="E70" s="69" t="s">
        <v>173</v>
      </c>
      <c r="F70" s="69" t="s">
        <v>148</v>
      </c>
      <c r="G70" s="69" t="s">
        <v>268</v>
      </c>
      <c r="H70" s="70">
        <v>16</v>
      </c>
      <c r="I70" s="69">
        <v>0</v>
      </c>
      <c r="J70" s="71">
        <v>29</v>
      </c>
      <c r="K70" s="69">
        <v>7</v>
      </c>
      <c r="L70" s="18">
        <v>0</v>
      </c>
      <c r="M70">
        <f t="shared" si="7"/>
        <v>8.77</v>
      </c>
      <c r="N70">
        <f>IF(OR($D70="",$S70=""),"",IFERROR(MAX(0,ROUND(($D70-INDEX(Config!$C$15:$C$18,MATCH($S70,Config!$B$15:$B$18,0)))*24*60,0)),""))</f>
        <v>1</v>
      </c>
      <c r="O70">
        <f t="shared" si="8"/>
        <v>64</v>
      </c>
      <c r="P70">
        <f t="shared" si="9"/>
        <v>80</v>
      </c>
      <c r="Q70">
        <f>IF(OR($P70="",$S70=""),"",IFERROR($P70-INDEX(Config!$E$15:$E$18,MATCH($S70,Config!$B$15:$B$18,0)),""))</f>
        <v>20</v>
      </c>
      <c r="R70" t="str">
        <f t="shared" si="10"/>
        <v>Atrasado</v>
      </c>
      <c r="S70" s="6" t="str">
        <f>IF(OR($A70="",$C70=""),"",IFERROR(INDEX(Turno!$C$3:$V$32,MATCH($C70,Turno!$B$3:$B$32,0),MATCH(DAY($A70),Turno!$C$1:$V$1,0)),""))</f>
        <v>A</v>
      </c>
      <c r="T70">
        <f>IF(OR($E70="",$S70=""),"",IFERROR(MAX(0,ROUND((INDEX(Config!$D$15:$D$18,MATCH($S70,Config!$B$15:$B$18,0))-$E70)*1440,0)),""))</f>
        <v>0</v>
      </c>
      <c r="U70" s="13">
        <f>IF(OR($N70="",$T70=""),"",IFERROR(MAX(0,1-($N70+$T70+MAX(0,N($Q70)))/ROUND((INDEX(Config!$D$15:$D$18,MATCH($S70,Config!$B$15:$B$18,0))-INDEX(Config!$C$15:$C$18,MATCH($S70,Config!$B$15:$B$18,0)))*1440,0)),""))</f>
        <v>0.96499999999999997</v>
      </c>
      <c r="V70" s="5"/>
    </row>
    <row r="71" spans="1:22" x14ac:dyDescent="0.25">
      <c r="A71" s="77">
        <v>46244</v>
      </c>
      <c r="B71" s="2" t="s">
        <v>11</v>
      </c>
      <c r="C71" t="str">
        <f>IFERROR(INDEX(Ejecutivos!$B$2:$B$100,MATCH(B71,Ejecutivos!$A$2:$A$100,0)),"")</f>
        <v>ALEJANDRA CHACON</v>
      </c>
      <c r="D71" s="78" t="s">
        <v>132</v>
      </c>
      <c r="E71" s="78" t="s">
        <v>133</v>
      </c>
      <c r="F71" s="78" t="s">
        <v>196</v>
      </c>
      <c r="G71" s="78" t="s">
        <v>259</v>
      </c>
      <c r="H71" s="79">
        <v>20</v>
      </c>
      <c r="I71" s="79">
        <v>16</v>
      </c>
      <c r="J71" s="79">
        <v>12</v>
      </c>
      <c r="K71" s="78">
        <v>2</v>
      </c>
      <c r="L71" s="18">
        <v>0</v>
      </c>
      <c r="M71">
        <f t="shared" si="7"/>
        <v>8.42</v>
      </c>
      <c r="N71">
        <f>IF(OR($D71="",$S71=""),"",IFERROR(MAX(0,ROUND(($D71-INDEX(Config!$C$15:$C$18,MATCH($S71,Config!$B$15:$B$18,0)))*24*60,0)),""))</f>
        <v>0</v>
      </c>
      <c r="O71">
        <f t="shared" si="8"/>
        <v>61</v>
      </c>
      <c r="P71">
        <f t="shared" si="9"/>
        <v>97</v>
      </c>
      <c r="Q71">
        <f>IF(OR($P71="",$S71=""),"",IFERROR($P71-INDEX(Config!$E$15:$E$18,MATCH($S71,Config!$B$15:$B$18,0)),""))</f>
        <v>37</v>
      </c>
      <c r="R71" t="str">
        <f t="shared" si="10"/>
        <v>Puntual</v>
      </c>
      <c r="S71" s="6" t="str">
        <f>IF(OR($A71="",$C71=""),"",IFERROR(INDEX(Turno!$C$3:$V$32,MATCH($C71,Turno!$B$3:$B$32,0),MATCH(DAY($A71),Turno!$C$1:$V$1,0)),""))</f>
        <v>A</v>
      </c>
      <c r="T71">
        <f>IF(OR($E71="",$S71=""),"",IFERROR(MAX(0,ROUND((INDEX(Config!$D$15:$D$18,MATCH($S71,Config!$B$15:$B$18,0))-$E71)*1440,0)),""))</f>
        <v>0</v>
      </c>
      <c r="U71" s="13">
        <f>IF(OR($N71="",$T71=""),"",IFERROR(MAX(0,1-($N71+$T71+MAX(0,N($Q71)))/ROUND((INDEX(Config!$D$15:$D$18,MATCH($S71,Config!$B$15:$B$18,0))-INDEX(Config!$C$15:$C$18,MATCH($S71,Config!$B$15:$B$18,0)))*1440,0)),""))</f>
        <v>0.93833333333333335</v>
      </c>
      <c r="V71" s="5"/>
    </row>
    <row r="72" spans="1:22" x14ac:dyDescent="0.25">
      <c r="A72" s="77">
        <v>46244</v>
      </c>
      <c r="B72" s="2" t="s">
        <v>18</v>
      </c>
      <c r="C72" t="str">
        <f>IFERROR(INDEX(Ejecutivos!$B$2:$B$100,MATCH(B72,Ejecutivos!$A$2:$A$100,0)),"")</f>
        <v>ALEJANDRA ORELLANA</v>
      </c>
      <c r="D72" s="78" t="s">
        <v>137</v>
      </c>
      <c r="E72" s="78" t="s">
        <v>171</v>
      </c>
      <c r="F72" s="78">
        <v>0</v>
      </c>
      <c r="G72" s="78">
        <v>0</v>
      </c>
      <c r="H72" s="79">
        <v>15</v>
      </c>
      <c r="I72" s="79">
        <v>15</v>
      </c>
      <c r="J72" s="79">
        <v>8</v>
      </c>
      <c r="K72" s="78">
        <v>3</v>
      </c>
      <c r="L72" s="18">
        <v>0</v>
      </c>
      <c r="M72">
        <f t="shared" si="7"/>
        <v>8.5</v>
      </c>
      <c r="N72">
        <f>IF(OR($D72="",$S72=""),"",IFERROR(MAX(0,ROUND(($D72-INDEX(Config!$C$15:$C$18,MATCH($S72,Config!$B$15:$B$18,0)))*24*60,0)),""))</f>
        <v>0</v>
      </c>
      <c r="O72">
        <f t="shared" si="8"/>
        <v>0</v>
      </c>
      <c r="P72">
        <f t="shared" si="9"/>
        <v>30</v>
      </c>
      <c r="Q72">
        <f>IF(OR($P72="",$S72=""),"",IFERROR($P72-INDEX(Config!$E$15:$E$18,MATCH($S72,Config!$B$15:$B$18,0)),""))</f>
        <v>-30</v>
      </c>
      <c r="R72" t="str">
        <f t="shared" si="10"/>
        <v>Puntual</v>
      </c>
      <c r="S72" s="6" t="str">
        <f>IF(OR($A72="",$C72=""),"",IFERROR(INDEX(Turno!$C$3:$V$32,MATCH($C72,Turno!$B$3:$B$32,0),MATCH(DAY($A72),Turno!$C$1:$V$1,0)),""))</f>
        <v>A</v>
      </c>
      <c r="T72">
        <f>IF(OR($E72="",$S72=""),"",IFERROR(MAX(0,ROUND((INDEX(Config!$D$15:$D$18,MATCH($S72,Config!$B$15:$B$18,0))-$E72)*1440,0)),""))</f>
        <v>60</v>
      </c>
      <c r="U72" s="13">
        <f>IF(OR($N72="",$T72=""),"",IFERROR(MAX(0,1-($N72+$T72+MAX(0,N($Q72)))/ROUND((INDEX(Config!$D$15:$D$18,MATCH($S72,Config!$B$15:$B$18,0))-INDEX(Config!$C$15:$C$18,MATCH($S72,Config!$B$15:$B$18,0)))*1440,0)),""))</f>
        <v>0.9</v>
      </c>
      <c r="V72" s="5"/>
    </row>
    <row r="73" spans="1:22" x14ac:dyDescent="0.25">
      <c r="A73" s="77">
        <v>46244</v>
      </c>
      <c r="B73" s="2" t="s">
        <v>23</v>
      </c>
      <c r="C73" t="str">
        <f>IFERROR(INDEX(Ejecutivos!$B$2:$B$100,MATCH(B73,Ejecutivos!$A$2:$A$100,0)),"")</f>
        <v>ATALY GARCIA</v>
      </c>
      <c r="D73" s="78" t="s">
        <v>134</v>
      </c>
      <c r="E73" s="78" t="s">
        <v>292</v>
      </c>
      <c r="F73" s="78" t="s">
        <v>197</v>
      </c>
      <c r="G73" s="78" t="s">
        <v>257</v>
      </c>
      <c r="H73" s="79">
        <v>15</v>
      </c>
      <c r="I73" s="79">
        <v>15</v>
      </c>
      <c r="J73" s="79">
        <v>7</v>
      </c>
      <c r="K73" s="78">
        <v>1</v>
      </c>
      <c r="L73" s="18">
        <v>0</v>
      </c>
      <c r="M73">
        <f t="shared" si="7"/>
        <v>7.63</v>
      </c>
      <c r="N73">
        <f>IF(OR($D73="",$S73=""),"",IFERROR(MAX(0,ROUND(($D73-INDEX(Config!$C$15:$C$18,MATCH($S73,Config!$B$15:$B$18,0)))*24*60,0)),""))</f>
        <v>1</v>
      </c>
      <c r="O73">
        <f t="shared" si="8"/>
        <v>30</v>
      </c>
      <c r="P73">
        <f t="shared" si="9"/>
        <v>60</v>
      </c>
      <c r="Q73">
        <f>IF(OR($P73="",$S73=""),"",IFERROR($P73-INDEX(Config!$E$15:$E$18,MATCH($S73,Config!$B$15:$B$18,0)),""))</f>
        <v>0</v>
      </c>
      <c r="R73" t="str">
        <f t="shared" si="10"/>
        <v>Atrasado</v>
      </c>
      <c r="S73" s="6" t="str">
        <f>IF(OR($A73="",$C73=""),"",IFERROR(INDEX(Turno!$C$3:$V$32,MATCH($C73,Turno!$B$3:$B$32,0),MATCH(DAY($A73),Turno!$C$1:$V$1,0)),""))</f>
        <v>B</v>
      </c>
      <c r="T73">
        <f>IF(OR($E73="",$S73=""),"",IFERROR(MAX(0,ROUND((INDEX(Config!$D$15:$D$18,MATCH($S73,Config!$B$15:$B$18,0))-$E73)*1440,0)),""))</f>
        <v>21</v>
      </c>
      <c r="U73" s="13">
        <f>IF(OR($N73="",$T73=""),"",IFERROR(MAX(0,1-($N73+$T73+MAX(0,N($Q73)))/ROUND((INDEX(Config!$D$15:$D$18,MATCH($S73,Config!$B$15:$B$18,0))-INDEX(Config!$C$15:$C$18,MATCH($S73,Config!$B$15:$B$18,0)))*1440,0)),""))</f>
        <v>0.95925925925925926</v>
      </c>
      <c r="V73" s="5"/>
    </row>
    <row r="74" spans="1:22" x14ac:dyDescent="0.25">
      <c r="A74" s="77">
        <v>46244</v>
      </c>
      <c r="B74" s="2" t="s">
        <v>25</v>
      </c>
      <c r="C74" t="str">
        <f>IFERROR(INDEX(Ejecutivos!$B$2:$B$100,MATCH(B74,Ejecutivos!$A$2:$A$100,0)),"")</f>
        <v>CATHERINE AEDO</v>
      </c>
      <c r="D74" s="78" t="s">
        <v>293</v>
      </c>
      <c r="E74" s="78" t="s">
        <v>135</v>
      </c>
      <c r="F74" s="78" t="s">
        <v>297</v>
      </c>
      <c r="G74" s="78" t="s">
        <v>298</v>
      </c>
      <c r="H74" s="79">
        <v>17</v>
      </c>
      <c r="I74" s="79">
        <v>14</v>
      </c>
      <c r="J74" s="79">
        <v>13</v>
      </c>
      <c r="K74" s="78">
        <v>2</v>
      </c>
      <c r="L74" s="18">
        <v>0</v>
      </c>
      <c r="M74">
        <f t="shared" si="7"/>
        <v>9.25</v>
      </c>
      <c r="N74">
        <f>IF(OR($D74="",$S74=""),"",IFERROR(MAX(0,ROUND(($D74-INDEX(Config!$C$15:$C$18,MATCH($S74,Config!$B$15:$B$18,0)))*24*60,0)),""))</f>
        <v>0</v>
      </c>
      <c r="O74">
        <f t="shared" si="8"/>
        <v>64</v>
      </c>
      <c r="P74">
        <f t="shared" si="9"/>
        <v>95</v>
      </c>
      <c r="Q74">
        <f>IF(OR($P74="",$S74=""),"",IFERROR($P74-INDEX(Config!$E$15:$E$18,MATCH($S74,Config!$B$15:$B$18,0)),""))</f>
        <v>35</v>
      </c>
      <c r="R74" t="str">
        <f t="shared" si="10"/>
        <v>Puntual</v>
      </c>
      <c r="S74" s="6" t="str">
        <f>IF(OR($A74="",$C74=""),"",IFERROR(INDEX(Turno!$C$3:$V$32,MATCH($C74,Turno!$B$3:$B$32,0),MATCH(DAY($A74),Turno!$C$1:$V$1,0)),""))</f>
        <v>A</v>
      </c>
      <c r="T74">
        <f>IF(OR($E74="",$S74=""),"",IFERROR(MAX(0,ROUND((INDEX(Config!$D$15:$D$18,MATCH($S74,Config!$B$15:$B$18,0))-$E74)*1440,0)),""))</f>
        <v>0</v>
      </c>
      <c r="U74" s="13">
        <f>IF(OR($N74="",$T74=""),"",IFERROR(MAX(0,1-($N74+$T74+MAX(0,N($Q74)))/ROUND((INDEX(Config!$D$15:$D$18,MATCH($S74,Config!$B$15:$B$18,0))-INDEX(Config!$C$15:$C$18,MATCH($S74,Config!$B$15:$B$18,0)))*1440,0)),""))</f>
        <v>0.94166666666666665</v>
      </c>
      <c r="V74" s="5"/>
    </row>
    <row r="75" spans="1:22" x14ac:dyDescent="0.25">
      <c r="A75" s="77">
        <v>46244</v>
      </c>
      <c r="B75" s="2" t="s">
        <v>27</v>
      </c>
      <c r="C75" t="str">
        <f>IFERROR(INDEX(Ejecutivos!$B$2:$B$100,MATCH(B75,Ejecutivos!$A$2:$A$100,0)),"")</f>
        <v>DANIELA RODRIGUEZ</v>
      </c>
      <c r="D75" s="78" t="s">
        <v>137</v>
      </c>
      <c r="E75" s="78" t="s">
        <v>135</v>
      </c>
      <c r="F75" s="78" t="s">
        <v>238</v>
      </c>
      <c r="G75" s="78" t="s">
        <v>202</v>
      </c>
      <c r="H75" s="79">
        <v>17</v>
      </c>
      <c r="I75" s="79">
        <v>16</v>
      </c>
      <c r="J75" s="79">
        <v>16</v>
      </c>
      <c r="K75" s="78">
        <v>8</v>
      </c>
      <c r="L75" s="18">
        <v>0</v>
      </c>
      <c r="M75">
        <f t="shared" si="7"/>
        <v>8.4499999999999993</v>
      </c>
      <c r="N75">
        <f>IF(OR($D75="",$S75=""),"",IFERROR(MAX(0,ROUND(($D75-INDEX(Config!$C$15:$C$18,MATCH($S75,Config!$B$15:$B$18,0)))*24*60,0)),""))</f>
        <v>0</v>
      </c>
      <c r="O75">
        <f t="shared" si="8"/>
        <v>60</v>
      </c>
      <c r="P75">
        <f t="shared" si="9"/>
        <v>93</v>
      </c>
      <c r="Q75">
        <f>IF(OR($P75="",$S75=""),"",IFERROR($P75-INDEX(Config!$E$15:$E$18,MATCH($S75,Config!$B$15:$B$18,0)),""))</f>
        <v>33</v>
      </c>
      <c r="R75" t="str">
        <f t="shared" si="10"/>
        <v>Puntual</v>
      </c>
      <c r="S75" s="6" t="str">
        <f>IF(OR($A75="",$C75=""),"",IFERROR(INDEX(Turno!$C$3:$V$32,MATCH($C75,Turno!$B$3:$B$32,0),MATCH(DAY($A75),Turno!$C$1:$V$1,0)),""))</f>
        <v>A</v>
      </c>
      <c r="T75">
        <f>IF(OR($E75="",$S75=""),"",IFERROR(MAX(0,ROUND((INDEX(Config!$D$15:$D$18,MATCH($S75,Config!$B$15:$B$18,0))-$E75)*1440,0)),""))</f>
        <v>0</v>
      </c>
      <c r="U75" s="13">
        <f>IF(OR($N75="",$T75=""),"",IFERROR(MAX(0,1-($N75+$T75+MAX(0,N($Q75)))/ROUND((INDEX(Config!$D$15:$D$18,MATCH($S75,Config!$B$15:$B$18,0))-INDEX(Config!$C$15:$C$18,MATCH($S75,Config!$B$15:$B$18,0)))*1440,0)),""))</f>
        <v>0.94499999999999995</v>
      </c>
      <c r="V75" s="5"/>
    </row>
    <row r="76" spans="1:22" x14ac:dyDescent="0.25">
      <c r="A76" s="77">
        <v>46244</v>
      </c>
      <c r="B76" s="2" t="s">
        <v>29</v>
      </c>
      <c r="C76" t="str">
        <f>IFERROR(INDEX(Ejecutivos!$B$2:$B$100,MATCH(B76,Ejecutivos!$A$2:$A$100,0)),"")</f>
        <v>ELSA GONGORA</v>
      </c>
      <c r="D76" s="78" t="s">
        <v>137</v>
      </c>
      <c r="E76" s="78" t="s">
        <v>262</v>
      </c>
      <c r="F76" s="78" t="s">
        <v>299</v>
      </c>
      <c r="G76" s="78" t="s">
        <v>197</v>
      </c>
      <c r="H76" s="79">
        <v>15</v>
      </c>
      <c r="I76" s="79">
        <v>15</v>
      </c>
      <c r="J76" s="79">
        <v>7</v>
      </c>
      <c r="K76" s="78">
        <v>1</v>
      </c>
      <c r="L76" s="18">
        <v>0</v>
      </c>
      <c r="M76">
        <f t="shared" si="7"/>
        <v>6.48</v>
      </c>
      <c r="N76">
        <f>IF(OR($D76="",$S76=""),"",IFERROR(MAX(0,ROUND(($D76-INDEX(Config!$C$15:$C$18,MATCH($S76,Config!$B$15:$B$18,0)))*24*60,0)),""))</f>
        <v>0</v>
      </c>
      <c r="O76">
        <f t="shared" si="8"/>
        <v>32</v>
      </c>
      <c r="P76">
        <f t="shared" si="9"/>
        <v>62</v>
      </c>
      <c r="Q76">
        <f>IF(OR($P76="",$S76=""),"",IFERROR($P76-INDEX(Config!$E$15:$E$18,MATCH($S76,Config!$B$15:$B$18,0)),""))</f>
        <v>2</v>
      </c>
      <c r="R76" t="str">
        <f t="shared" si="10"/>
        <v>Puntual</v>
      </c>
      <c r="S76" s="6" t="str">
        <f>IF(OR($A76="",$C76=""),"",IFERROR(INDEX(Turno!$C$3:$V$32,MATCH($C76,Turno!$B$3:$B$32,0),MATCH(DAY($A76),Turno!$C$1:$V$1,0)),""))</f>
        <v>C</v>
      </c>
      <c r="T76">
        <f>IF(OR($E76="",$S76=""),"",IFERROR(MAX(0,ROUND((INDEX(Config!$D$15:$D$18,MATCH($S76,Config!$B$15:$B$18,0))-$E76)*1440,0)),""))</f>
        <v>29</v>
      </c>
      <c r="U76" s="13">
        <f>IF(OR($N76="",$T76=""),"",IFERROR(MAX(0,1-($N76+$T76+MAX(0,N($Q76)))/ROUND((INDEX(Config!$D$15:$D$18,MATCH($S76,Config!$B$15:$B$18,0))-INDEX(Config!$C$15:$C$18,MATCH($S76,Config!$B$15:$B$18,0)))*1440,0)),""))</f>
        <v>0.93541666666666667</v>
      </c>
      <c r="V76" s="5"/>
    </row>
    <row r="77" spans="1:22" x14ac:dyDescent="0.25">
      <c r="A77" s="77">
        <v>46244</v>
      </c>
      <c r="B77" s="2" t="s">
        <v>31</v>
      </c>
      <c r="C77" t="str">
        <f>IFERROR(INDEX(Ejecutivos!$B$2:$B$100,MATCH(B77,Ejecutivos!$A$2:$A$100,0)),"")</f>
        <v>JOHANA LLANCAPICHUN</v>
      </c>
      <c r="D77" s="78" t="s">
        <v>137</v>
      </c>
      <c r="E77" s="78" t="s">
        <v>133</v>
      </c>
      <c r="F77" s="78" t="s">
        <v>230</v>
      </c>
      <c r="G77" s="78" t="s">
        <v>300</v>
      </c>
      <c r="H77" s="79">
        <v>15</v>
      </c>
      <c r="I77" s="79">
        <v>15</v>
      </c>
      <c r="J77" s="79">
        <v>3</v>
      </c>
      <c r="K77" s="78">
        <v>1</v>
      </c>
      <c r="L77" s="18">
        <v>0</v>
      </c>
      <c r="M77">
        <f t="shared" si="7"/>
        <v>8.5299999999999994</v>
      </c>
      <c r="N77">
        <f>IF(OR($D77="",$S77=""),"",IFERROR(MAX(0,ROUND(($D77-INDEX(Config!$C$15:$C$18,MATCH($S77,Config!$B$15:$B$18,0)))*24*60,0)),""))</f>
        <v>0</v>
      </c>
      <c r="O77">
        <f t="shared" si="8"/>
        <v>59</v>
      </c>
      <c r="P77">
        <f t="shared" si="9"/>
        <v>89</v>
      </c>
      <c r="Q77">
        <f>IF(OR($P77="",$S77=""),"",IFERROR($P77-INDEX(Config!$E$15:$E$18,MATCH($S77,Config!$B$15:$B$18,0)),""))</f>
        <v>29</v>
      </c>
      <c r="R77" t="str">
        <f t="shared" si="10"/>
        <v>Puntual</v>
      </c>
      <c r="S77" s="6" t="str">
        <f>IF(OR($A77="",$C77=""),"",IFERROR(INDEX(Turno!$C$3:$V$32,MATCH($C77,Turno!$B$3:$B$32,0),MATCH(DAY($A77),Turno!$C$1:$V$1,0)),""))</f>
        <v>A</v>
      </c>
      <c r="T77">
        <f>IF(OR($E77="",$S77=""),"",IFERROR(MAX(0,ROUND((INDEX(Config!$D$15:$D$18,MATCH($S77,Config!$B$15:$B$18,0))-$E77)*1440,0)),""))</f>
        <v>0</v>
      </c>
      <c r="U77" s="13">
        <f>IF(OR($N77="",$T77=""),"",IFERROR(MAX(0,1-($N77+$T77+MAX(0,N($Q77)))/ROUND((INDEX(Config!$D$15:$D$18,MATCH($S77,Config!$B$15:$B$18,0))-INDEX(Config!$C$15:$C$18,MATCH($S77,Config!$B$15:$B$18,0)))*1440,0)),""))</f>
        <v>0.95166666666666666</v>
      </c>
      <c r="V77" s="5"/>
    </row>
    <row r="78" spans="1:22" x14ac:dyDescent="0.25">
      <c r="A78" s="77">
        <v>46244</v>
      </c>
      <c r="B78" s="2" t="s">
        <v>33</v>
      </c>
      <c r="C78" t="str">
        <f>IFERROR(INDEX(Ejecutivos!$B$2:$B$100,MATCH(B78,Ejecutivos!$A$2:$A$100,0)),"")</f>
        <v>KATIA HALD</v>
      </c>
      <c r="D78" s="78" t="s">
        <v>134</v>
      </c>
      <c r="E78" s="78" t="s">
        <v>133</v>
      </c>
      <c r="F78" s="78" t="s">
        <v>238</v>
      </c>
      <c r="G78" s="78" t="s">
        <v>202</v>
      </c>
      <c r="H78" s="79">
        <v>16</v>
      </c>
      <c r="I78" s="79">
        <v>15</v>
      </c>
      <c r="J78" s="79">
        <v>14</v>
      </c>
      <c r="K78" s="78">
        <v>1</v>
      </c>
      <c r="L78" s="18">
        <v>0</v>
      </c>
      <c r="M78">
        <f t="shared" si="7"/>
        <v>8.48</v>
      </c>
      <c r="N78">
        <f>IF(OR($D78="",$S78=""),"",IFERROR(MAX(0,ROUND(($D78-INDEX(Config!$C$15:$C$18,MATCH($S78,Config!$B$15:$B$18,0)))*24*60,0)),""))</f>
        <v>1</v>
      </c>
      <c r="O78">
        <f t="shared" si="8"/>
        <v>60</v>
      </c>
      <c r="P78">
        <f t="shared" si="9"/>
        <v>91</v>
      </c>
      <c r="Q78">
        <f>IF(OR($P78="",$S78=""),"",IFERROR($P78-INDEX(Config!$E$15:$E$18,MATCH($S78,Config!$B$15:$B$18,0)),""))</f>
        <v>31</v>
      </c>
      <c r="R78" t="str">
        <f t="shared" si="10"/>
        <v>Atrasado</v>
      </c>
      <c r="S78" s="6" t="str">
        <f>IF(OR($A78="",$C78=""),"",IFERROR(INDEX(Turno!$C$3:$V$32,MATCH($C78,Turno!$B$3:$B$32,0),MATCH(DAY($A78),Turno!$C$1:$V$1,0)),""))</f>
        <v>A</v>
      </c>
      <c r="T78">
        <f>IF(OR($E78="",$S78=""),"",IFERROR(MAX(0,ROUND((INDEX(Config!$D$15:$D$18,MATCH($S78,Config!$B$15:$B$18,0))-$E78)*1440,0)),""))</f>
        <v>0</v>
      </c>
      <c r="U78" s="13">
        <f>IF(OR($N78="",$T78=""),"",IFERROR(MAX(0,1-($N78+$T78+MAX(0,N($Q78)))/ROUND((INDEX(Config!$D$15:$D$18,MATCH($S78,Config!$B$15:$B$18,0))-INDEX(Config!$C$15:$C$18,MATCH($S78,Config!$B$15:$B$18,0)))*1440,0)),""))</f>
        <v>0.94666666666666666</v>
      </c>
      <c r="V78" s="5"/>
    </row>
    <row r="79" spans="1:22" x14ac:dyDescent="0.25">
      <c r="A79" s="77">
        <v>46244</v>
      </c>
      <c r="B79" s="2" t="s">
        <v>35</v>
      </c>
      <c r="C79" t="str">
        <f>IFERROR(INDEX(Ejecutivos!$B$2:$B$100,MATCH(B79,Ejecutivos!$A$2:$A$100,0)),"")</f>
        <v>MANUEL MONSALVE</v>
      </c>
      <c r="D79" s="78" t="s">
        <v>294</v>
      </c>
      <c r="E79" s="78" t="s">
        <v>133</v>
      </c>
      <c r="F79" s="78" t="s">
        <v>259</v>
      </c>
      <c r="G79" s="78" t="s">
        <v>301</v>
      </c>
      <c r="H79" s="79">
        <v>17</v>
      </c>
      <c r="I79" s="78">
        <v>0</v>
      </c>
      <c r="J79" s="79">
        <v>5</v>
      </c>
      <c r="K79" s="78">
        <v>2</v>
      </c>
      <c r="L79" s="18">
        <v>0</v>
      </c>
      <c r="M79">
        <f t="shared" si="7"/>
        <v>8.8800000000000008</v>
      </c>
      <c r="N79">
        <f>IF(OR($D79="",$S79=""),"",IFERROR(MAX(0,ROUND(($D79-INDEX(Config!$C$15:$C$18,MATCH($S79,Config!$B$15:$B$18,0)))*24*60,0)),""))</f>
        <v>0</v>
      </c>
      <c r="O79">
        <f t="shared" si="8"/>
        <v>57</v>
      </c>
      <c r="P79">
        <f t="shared" si="9"/>
        <v>74</v>
      </c>
      <c r="Q79">
        <f>IF(OR($P79="",$S79=""),"",IFERROR($P79-INDEX(Config!$E$15:$E$18,MATCH($S79,Config!$B$15:$B$18,0)),""))</f>
        <v>14</v>
      </c>
      <c r="R79" t="str">
        <f t="shared" si="10"/>
        <v>Puntual</v>
      </c>
      <c r="S79" s="6" t="str">
        <f>IF(OR($A79="",$C79=""),"",IFERROR(INDEX(Turno!$C$3:$V$32,MATCH($C79,Turno!$B$3:$B$32,0),MATCH(DAY($A79),Turno!$C$1:$V$1,0)),""))</f>
        <v>C</v>
      </c>
      <c r="T79">
        <f>IF(OR($E79="",$S79=""),"",IFERROR(MAX(0,ROUND((INDEX(Config!$D$15:$D$18,MATCH($S79,Config!$B$15:$B$18,0))-$E79)*1440,0)),""))</f>
        <v>0</v>
      </c>
      <c r="U79" s="13">
        <f>IF(OR($N79="",$T79=""),"",IFERROR(MAX(0,1-($N79+$T79+MAX(0,N($Q79)))/ROUND((INDEX(Config!$D$15:$D$18,MATCH($S79,Config!$B$15:$B$18,0))-INDEX(Config!$C$15:$C$18,MATCH($S79,Config!$B$15:$B$18,0)))*1440,0)),""))</f>
        <v>0.97083333333333333</v>
      </c>
      <c r="V79" s="5"/>
    </row>
    <row r="80" spans="1:22" x14ac:dyDescent="0.25">
      <c r="A80" s="77">
        <v>46244</v>
      </c>
      <c r="B80" s="2" t="s">
        <v>37</v>
      </c>
      <c r="C80" t="str">
        <f>IFERROR(INDEX(Ejecutivos!$B$2:$B$100,MATCH(B80,Ejecutivos!$A$2:$A$100,0)),"")</f>
        <v>MANUELA ASTUDILLO</v>
      </c>
      <c r="D80" s="78" t="s">
        <v>132</v>
      </c>
      <c r="E80" s="78" t="s">
        <v>175</v>
      </c>
      <c r="F80" s="78" t="s">
        <v>284</v>
      </c>
      <c r="G80" s="78" t="s">
        <v>227</v>
      </c>
      <c r="H80" s="79">
        <v>16</v>
      </c>
      <c r="I80" s="79">
        <v>15</v>
      </c>
      <c r="J80" s="79">
        <v>6</v>
      </c>
      <c r="K80" s="78">
        <v>1</v>
      </c>
      <c r="L80" s="18">
        <v>0</v>
      </c>
      <c r="M80">
        <f t="shared" si="7"/>
        <v>8.5</v>
      </c>
      <c r="N80">
        <f>IF(OR($D80="",$S80=""),"",IFERROR(MAX(0,ROUND(($D80-INDEX(Config!$C$15:$C$18,MATCH($S80,Config!$B$15:$B$18,0)))*24*60,0)),""))</f>
        <v>0</v>
      </c>
      <c r="O80">
        <f t="shared" si="8"/>
        <v>31</v>
      </c>
      <c r="P80">
        <f t="shared" si="9"/>
        <v>62</v>
      </c>
      <c r="Q80">
        <f>IF(OR($P80="",$S80=""),"",IFERROR($P80-INDEX(Config!$E$15:$E$18,MATCH($S80,Config!$B$15:$B$18,0)),""))</f>
        <v>2</v>
      </c>
      <c r="R80" t="str">
        <f t="shared" si="10"/>
        <v>Puntual</v>
      </c>
      <c r="S80" s="6" t="str">
        <f>IF(OR($A80="",$C80=""),"",IFERROR(INDEX(Turno!$C$3:$V$32,MATCH($C80,Turno!$B$3:$B$32,0),MATCH(DAY($A80),Turno!$C$1:$V$1,0)),""))</f>
        <v>A</v>
      </c>
      <c r="T80">
        <f>IF(OR($E80="",$S80=""),"",IFERROR(MAX(0,ROUND((INDEX(Config!$D$15:$D$18,MATCH($S80,Config!$B$15:$B$18,0))-$E80)*1440,0)),""))</f>
        <v>29</v>
      </c>
      <c r="U80" s="13">
        <f>IF(OR($N80="",$T80=""),"",IFERROR(MAX(0,1-($N80+$T80+MAX(0,N($Q80)))/ROUND((INDEX(Config!$D$15:$D$18,MATCH($S80,Config!$B$15:$B$18,0))-INDEX(Config!$C$15:$C$18,MATCH($S80,Config!$B$15:$B$18,0)))*1440,0)),""))</f>
        <v>0.94833333333333336</v>
      </c>
      <c r="V80" s="5"/>
    </row>
    <row r="81" spans="1:22" x14ac:dyDescent="0.25">
      <c r="A81" s="77">
        <v>46244</v>
      </c>
      <c r="B81" s="2" t="s">
        <v>42</v>
      </c>
      <c r="C81" t="str">
        <f>IFERROR(INDEX(Ejecutivos!$B$2:$B$100,MATCH(B81,Ejecutivos!$A$2:$A$100,0)),"")</f>
        <v>MAXIMILIANO OLIVARES</v>
      </c>
      <c r="D81" s="78" t="s">
        <v>214</v>
      </c>
      <c r="E81" s="78" t="s">
        <v>171</v>
      </c>
      <c r="F81" s="78">
        <v>0</v>
      </c>
      <c r="G81" s="78">
        <v>0</v>
      </c>
      <c r="H81" s="79">
        <v>15</v>
      </c>
      <c r="I81" s="79">
        <v>16</v>
      </c>
      <c r="J81" s="80">
        <v>34</v>
      </c>
      <c r="K81" s="78">
        <v>5</v>
      </c>
      <c r="L81" s="18">
        <v>0</v>
      </c>
      <c r="M81">
        <f t="shared" si="7"/>
        <v>8.33</v>
      </c>
      <c r="N81">
        <f>IF(OR($D81="",$S81=""),"",IFERROR(MAX(0,ROUND(($D81-INDEX(Config!$C$15:$C$18,MATCH($S81,Config!$B$15:$B$18,0)))*24*60,0)),""))</f>
        <v>9</v>
      </c>
      <c r="O81">
        <f t="shared" si="8"/>
        <v>0</v>
      </c>
      <c r="P81">
        <f t="shared" si="9"/>
        <v>31</v>
      </c>
      <c r="Q81">
        <f>IF(OR($P81="",$S81=""),"",IFERROR($P81-INDEX(Config!$E$15:$E$18,MATCH($S81,Config!$B$15:$B$18,0)),""))</f>
        <v>-29</v>
      </c>
      <c r="R81" t="str">
        <f t="shared" si="10"/>
        <v>Atrasado</v>
      </c>
      <c r="S81" s="6" t="str">
        <f>IF(OR($A81="",$C81=""),"",IFERROR(INDEX(Turno!$C$3:$V$32,MATCH($C81,Turno!$B$3:$B$32,0),MATCH(DAY($A81),Turno!$C$1:$V$1,0)),""))</f>
        <v>B</v>
      </c>
      <c r="T81">
        <f>IF(OR($E81="",$S81=""),"",IFERROR(MAX(0,ROUND((INDEX(Config!$D$15:$D$18,MATCH($S81,Config!$B$15:$B$18,0))-$E81)*1440,0)),""))</f>
        <v>0</v>
      </c>
      <c r="U81" s="13">
        <f>IF(OR($N81="",$T81=""),"",IFERROR(MAX(0,1-($N81+$T81+MAX(0,N($Q81)))/ROUND((INDEX(Config!$D$15:$D$18,MATCH($S81,Config!$B$15:$B$18,0))-INDEX(Config!$C$15:$C$18,MATCH($S81,Config!$B$15:$B$18,0)))*1440,0)),""))</f>
        <v>0.98333333333333328</v>
      </c>
      <c r="V81" s="5"/>
    </row>
    <row r="82" spans="1:22" x14ac:dyDescent="0.25">
      <c r="A82" s="77">
        <v>46244</v>
      </c>
      <c r="B82" s="2" t="s">
        <v>44</v>
      </c>
      <c r="C82" t="str">
        <f>IFERROR(INDEX(Ejecutivos!$B$2:$B$100,MATCH(B82,Ejecutivos!$A$2:$A$100,0)),"")</f>
        <v>MELISSA SALGADO</v>
      </c>
      <c r="D82" s="78" t="s">
        <v>155</v>
      </c>
      <c r="E82" s="78" t="s">
        <v>135</v>
      </c>
      <c r="F82" s="78" t="s">
        <v>302</v>
      </c>
      <c r="G82" s="78" t="s">
        <v>195</v>
      </c>
      <c r="H82" s="79">
        <v>15</v>
      </c>
      <c r="I82" s="79">
        <v>15</v>
      </c>
      <c r="J82" s="80">
        <v>25</v>
      </c>
      <c r="K82" s="78">
        <v>5</v>
      </c>
      <c r="L82" s="18">
        <v>0</v>
      </c>
      <c r="M82">
        <f t="shared" si="7"/>
        <v>8.4700000000000006</v>
      </c>
      <c r="N82">
        <f>IF(OR($D82="",$S82=""),"",IFERROR(MAX(0,ROUND(($D82-INDEX(Config!$C$15:$C$18,MATCH($S82,Config!$B$15:$B$18,0)))*24*60,0)),""))</f>
        <v>2</v>
      </c>
      <c r="O82">
        <f t="shared" si="8"/>
        <v>60</v>
      </c>
      <c r="P82">
        <f t="shared" si="9"/>
        <v>90</v>
      </c>
      <c r="Q82">
        <f>IF(OR($P82="",$S82=""),"",IFERROR($P82-INDEX(Config!$E$15:$E$18,MATCH($S82,Config!$B$15:$B$18,0)),""))</f>
        <v>30</v>
      </c>
      <c r="R82" t="str">
        <f t="shared" si="10"/>
        <v>Atrasado</v>
      </c>
      <c r="S82" s="6" t="str">
        <f>IF(OR($A82="",$C82=""),"",IFERROR(INDEX(Turno!$C$3:$V$32,MATCH($C82,Turno!$B$3:$B$32,0),MATCH(DAY($A82),Turno!$C$1:$V$1,0)),""))</f>
        <v>A</v>
      </c>
      <c r="T82">
        <f>IF(OR($E82="",$S82=""),"",IFERROR(MAX(0,ROUND((INDEX(Config!$D$15:$D$18,MATCH($S82,Config!$B$15:$B$18,0))-$E82)*1440,0)),""))</f>
        <v>0</v>
      </c>
      <c r="U82" s="13">
        <f>IF(OR($N82="",$T82=""),"",IFERROR(MAX(0,1-($N82+$T82+MAX(0,N($Q82)))/ROUND((INDEX(Config!$D$15:$D$18,MATCH($S82,Config!$B$15:$B$18,0))-INDEX(Config!$C$15:$C$18,MATCH($S82,Config!$B$15:$B$18,0)))*1440,0)),""))</f>
        <v>0.94666666666666666</v>
      </c>
      <c r="V82" s="5"/>
    </row>
    <row r="83" spans="1:22" x14ac:dyDescent="0.25">
      <c r="A83" s="77">
        <v>46244</v>
      </c>
      <c r="B83" s="2" t="s">
        <v>46</v>
      </c>
      <c r="C83" t="str">
        <f>IFERROR(INDEX(Ejecutivos!$B$2:$B$100,MATCH(B83,Ejecutivos!$A$2:$A$100,0)),"")</f>
        <v>NANCI MENDEZ</v>
      </c>
      <c r="D83" s="78" t="s">
        <v>295</v>
      </c>
      <c r="E83" s="78" t="s">
        <v>142</v>
      </c>
      <c r="F83" s="78" t="s">
        <v>240</v>
      </c>
      <c r="G83" s="78" t="s">
        <v>251</v>
      </c>
      <c r="H83" s="79">
        <v>15</v>
      </c>
      <c r="I83" s="79">
        <v>16</v>
      </c>
      <c r="J83" s="79">
        <v>0</v>
      </c>
      <c r="K83" s="78">
        <v>0</v>
      </c>
      <c r="L83" s="18">
        <v>0</v>
      </c>
      <c r="M83">
        <f t="shared" si="7"/>
        <v>8.6</v>
      </c>
      <c r="N83">
        <f>IF(OR($D83="",$S83=""),"",IFERROR(MAX(0,ROUND(($D83-INDEX(Config!$C$15:$C$18,MATCH($S83,Config!$B$15:$B$18,0)))*24*60,0)),""))</f>
        <v>0</v>
      </c>
      <c r="O83">
        <f t="shared" si="8"/>
        <v>60</v>
      </c>
      <c r="P83">
        <f t="shared" si="9"/>
        <v>91</v>
      </c>
      <c r="Q83">
        <f>IF(OR($P83="",$S83=""),"",IFERROR($P83-INDEX(Config!$E$15:$E$18,MATCH($S83,Config!$B$15:$B$18,0)),""))</f>
        <v>31</v>
      </c>
      <c r="R83" t="str">
        <f t="shared" si="10"/>
        <v>Puntual</v>
      </c>
      <c r="S83" s="6" t="str">
        <f>IF(OR($A83="",$C83=""),"",IFERROR(INDEX(Turno!$C$3:$V$32,MATCH($C83,Turno!$B$3:$B$32,0),MATCH(DAY($A83),Turno!$C$1:$V$1,0)),""))</f>
        <v>A</v>
      </c>
      <c r="T83">
        <f>IF(OR($E83="",$S83=""),"",IFERROR(MAX(0,ROUND((INDEX(Config!$D$15:$D$18,MATCH($S83,Config!$B$15:$B$18,0))-$E83)*1440,0)),""))</f>
        <v>0</v>
      </c>
      <c r="U83" s="13">
        <f>IF(OR($N83="",$T83=""),"",IFERROR(MAX(0,1-($N83+$T83+MAX(0,N($Q83)))/ROUND((INDEX(Config!$D$15:$D$18,MATCH($S83,Config!$B$15:$B$18,0))-INDEX(Config!$C$15:$C$18,MATCH($S83,Config!$B$15:$B$18,0)))*1440,0)),""))</f>
        <v>0.94833333333333336</v>
      </c>
      <c r="V83" s="5"/>
    </row>
    <row r="84" spans="1:22" x14ac:dyDescent="0.25">
      <c r="A84" s="77">
        <v>46244</v>
      </c>
      <c r="B84" s="2" t="s">
        <v>49</v>
      </c>
      <c r="C84" t="str">
        <f>IFERROR(INDEX(Ejecutivos!$B$2:$B$100,MATCH(B84,Ejecutivos!$A$2:$A$100,0)),"")</f>
        <v>TOMAS MAULEN</v>
      </c>
      <c r="D84" s="78" t="s">
        <v>296</v>
      </c>
      <c r="E84" s="78" t="s">
        <v>173</v>
      </c>
      <c r="F84" s="78" t="s">
        <v>200</v>
      </c>
      <c r="G84" s="78" t="s">
        <v>303</v>
      </c>
      <c r="H84" s="79">
        <v>16</v>
      </c>
      <c r="I84" s="79">
        <v>3</v>
      </c>
      <c r="J84" s="79">
        <v>20</v>
      </c>
      <c r="K84" s="78">
        <v>1</v>
      </c>
      <c r="L84" s="18">
        <v>0</v>
      </c>
      <c r="M84">
        <f t="shared" si="7"/>
        <v>8.73</v>
      </c>
      <c r="N84">
        <f>IF(OR($D84="",$S84=""),"",IFERROR(MAX(0,ROUND(($D84-INDEX(Config!$C$15:$C$18,MATCH($S84,Config!$B$15:$B$18,0)))*24*60,0)),""))</f>
        <v>3</v>
      </c>
      <c r="O84">
        <f t="shared" si="8"/>
        <v>61</v>
      </c>
      <c r="P84">
        <f t="shared" si="9"/>
        <v>80</v>
      </c>
      <c r="Q84">
        <f>IF(OR($P84="",$S84=""),"",IFERROR($P84-INDEX(Config!$E$15:$E$18,MATCH($S84,Config!$B$15:$B$18,0)),""))</f>
        <v>20</v>
      </c>
      <c r="R84" t="str">
        <f t="shared" si="10"/>
        <v>Atrasado</v>
      </c>
      <c r="S84" s="6" t="str">
        <f>IF(OR($A84="",$C84=""),"",IFERROR(INDEX(Turno!$C$3:$V$32,MATCH($C84,Turno!$B$3:$B$32,0),MATCH(DAY($A84),Turno!$C$1:$V$1,0)),""))</f>
        <v>A</v>
      </c>
      <c r="T84">
        <f>IF(OR($E84="",$S84=""),"",IFERROR(MAX(0,ROUND((INDEX(Config!$D$15:$D$18,MATCH($S84,Config!$B$15:$B$18,0))-$E84)*1440,0)),""))</f>
        <v>0</v>
      </c>
      <c r="U84" s="13">
        <f>IF(OR($N84="",$T84=""),"",IFERROR(MAX(0,1-($N84+$T84+MAX(0,N($Q84)))/ROUND((INDEX(Config!$D$15:$D$18,MATCH($S84,Config!$B$15:$B$18,0))-INDEX(Config!$C$15:$C$18,MATCH($S84,Config!$B$15:$B$18,0)))*1440,0)),""))</f>
        <v>0.96166666666666667</v>
      </c>
      <c r="V84" s="5"/>
    </row>
    <row r="85" spans="1:22" x14ac:dyDescent="0.25">
      <c r="A85" s="11"/>
      <c r="B85" s="16"/>
      <c r="C85" t="str">
        <f>IFERROR(INDEX(Ejecutivos!$B$2:$B$100,MATCH(B85,Ejecutivos!$A$2:$A$100,0)),"")</f>
        <v/>
      </c>
      <c r="D85" s="19"/>
      <c r="E85" s="21"/>
      <c r="F85" s="19"/>
      <c r="G85" s="21"/>
      <c r="H85" s="20"/>
      <c r="I85" s="20"/>
      <c r="J85" s="20"/>
      <c r="K85" s="20"/>
      <c r="L85" s="18">
        <v>0</v>
      </c>
      <c r="M85" t="str">
        <f t="shared" si="7"/>
        <v/>
      </c>
      <c r="N85" t="str">
        <f>IF(OR($D85="",$S85=""),"",IFERROR(MAX(0,ROUND(($D85-INDEX(Config!$C$15:$C$18,MATCH($S85,Config!$B$15:$B$18,0)))*24*60,0)),""))</f>
        <v/>
      </c>
      <c r="O85" t="str">
        <f t="shared" si="8"/>
        <v/>
      </c>
      <c r="P85" t="str">
        <f t="shared" si="9"/>
        <v/>
      </c>
      <c r="Q85" t="str">
        <f>IF(OR($P85="",$S85=""),"",IFERROR($P85-INDEX(Config!$E$15:$E$18,MATCH($S85,Config!$B$15:$B$18,0)),""))</f>
        <v/>
      </c>
      <c r="R85" t="str">
        <f t="shared" si="10"/>
        <v/>
      </c>
      <c r="S85" s="6" t="str">
        <f>IF(OR($A85="",$C85=""),"",IFERROR(INDEX(Turno!$C$3:$V$32,MATCH($C85,Turno!$B$3:$B$32,0),MATCH(DAY($A85),Turno!$C$1:$V$1,0)),""))</f>
        <v/>
      </c>
      <c r="T85" t="str">
        <f>IF(OR($E85="",$S85=""),"",IFERROR(MAX(0,ROUND((INDEX(Config!$D$15:$D$18,MATCH($S85,Config!$B$15:$B$18,0))-$E85)*1440,0)),""))</f>
        <v/>
      </c>
      <c r="U85" s="13" t="str">
        <f>IF(OR($N85="",$T85=""),"",IFERROR(MAX(0,1-($N85+$T85+MAX(0,N($Q85)))/ROUND((INDEX(Config!$D$15:$D$18,MATCH($S85,Config!$B$15:$B$18,0))-INDEX(Config!$C$15:$C$18,MATCH($S85,Config!$B$15:$B$18,0)))*1440,0)),""))</f>
        <v/>
      </c>
      <c r="V85" s="5"/>
    </row>
    <row r="86" spans="1:22" x14ac:dyDescent="0.25">
      <c r="A86" s="11"/>
      <c r="B86" s="16"/>
      <c r="C86" t="str">
        <f>IFERROR(INDEX(Ejecutivos!$B$2:$B$100,MATCH(B86,Ejecutivos!$A$2:$A$100,0)),"")</f>
        <v/>
      </c>
      <c r="D86" s="19"/>
      <c r="E86" s="21"/>
      <c r="F86" s="19"/>
      <c r="G86" s="21"/>
      <c r="H86" s="20"/>
      <c r="I86" s="20"/>
      <c r="J86" s="20"/>
      <c r="K86" s="20"/>
      <c r="L86" s="18">
        <v>0</v>
      </c>
      <c r="M86" t="str">
        <f t="shared" si="7"/>
        <v/>
      </c>
      <c r="N86" t="str">
        <f>IF(OR($D86="",$S86=""),"",IFERROR(MAX(0,ROUND(($D86-INDEX(Config!$C$15:$C$18,MATCH($S86,Config!$B$15:$B$18,0)))*24*60,0)),""))</f>
        <v/>
      </c>
      <c r="O86" t="str">
        <f t="shared" si="8"/>
        <v/>
      </c>
      <c r="P86" t="str">
        <f t="shared" si="9"/>
        <v/>
      </c>
      <c r="Q86" t="str">
        <f>IF(OR($P86="",$S86=""),"",IFERROR($P86-INDEX(Config!$E$15:$E$18,MATCH($S86,Config!$B$15:$B$18,0)),""))</f>
        <v/>
      </c>
      <c r="R86" t="str">
        <f t="shared" si="10"/>
        <v/>
      </c>
      <c r="S86" s="6" t="str">
        <f>IF(OR($A86="",$C86=""),"",IFERROR(INDEX(Turno!$C$3:$V$32,MATCH($C86,Turno!$B$3:$B$32,0),MATCH(DAY($A86),Turno!$C$1:$V$1,0)),""))</f>
        <v/>
      </c>
      <c r="T86" t="str">
        <f>IF(OR($E86="",$S86=""),"",IFERROR(MAX(0,ROUND((INDEX(Config!$D$15:$D$18,MATCH($S86,Config!$B$15:$B$18,0))-$E86)*1440,0)),""))</f>
        <v/>
      </c>
      <c r="U86" s="13" t="str">
        <f>IF(OR($N86="",$T86=""),"",IFERROR(MAX(0,1-($N86+$T86+MAX(0,N($Q86)))/ROUND((INDEX(Config!$D$15:$D$18,MATCH($S86,Config!$B$15:$B$18,0))-INDEX(Config!$C$15:$C$18,MATCH($S86,Config!$B$15:$B$18,0)))*1440,0)),""))</f>
        <v/>
      </c>
      <c r="V86" s="5"/>
    </row>
    <row r="87" spans="1:22" x14ac:dyDescent="0.25">
      <c r="A87" s="11"/>
      <c r="B87" s="16"/>
      <c r="C87" t="str">
        <f>IFERROR(INDEX(Ejecutivos!$B$2:$B$100,MATCH(B87,Ejecutivos!$A$2:$A$100,0)),"")</f>
        <v/>
      </c>
      <c r="D87" s="19"/>
      <c r="E87" s="21"/>
      <c r="F87" s="19"/>
      <c r="G87" s="21"/>
      <c r="H87" s="20"/>
      <c r="I87" s="20"/>
      <c r="J87" s="20"/>
      <c r="K87" s="20"/>
      <c r="L87" s="18">
        <v>0</v>
      </c>
      <c r="M87" t="str">
        <f t="shared" si="7"/>
        <v/>
      </c>
      <c r="N87" t="str">
        <f>IF(OR($D87="",$S87=""),"",IFERROR(MAX(0,ROUND(($D87-INDEX(Config!$C$15:$C$18,MATCH($S87,Config!$B$15:$B$18,0)))*24*60,0)),""))</f>
        <v/>
      </c>
      <c r="O87" t="str">
        <f t="shared" si="8"/>
        <v/>
      </c>
      <c r="P87" t="str">
        <f t="shared" si="9"/>
        <v/>
      </c>
      <c r="Q87" t="str">
        <f>IF(OR($P87="",$S87=""),"",IFERROR($P87-INDEX(Config!$E$15:$E$18,MATCH($S87,Config!$B$15:$B$18,0)),""))</f>
        <v/>
      </c>
      <c r="R87" t="str">
        <f t="shared" si="10"/>
        <v/>
      </c>
      <c r="S87" s="6" t="str">
        <f>IF(OR($A87="",$C87=""),"",IFERROR(INDEX(Turno!$C$3:$V$32,MATCH($C87,Turno!$B$3:$B$32,0),MATCH(DAY($A87),Turno!$C$1:$V$1,0)),""))</f>
        <v/>
      </c>
      <c r="T87" t="str">
        <f>IF(OR($E87="",$S87=""),"",IFERROR(MAX(0,ROUND((INDEX(Config!$D$15:$D$18,MATCH($S87,Config!$B$15:$B$18,0))-$E87)*1440,0)),""))</f>
        <v/>
      </c>
      <c r="U87" s="13" t="str">
        <f>IF(OR($N87="",$T87=""),"",IFERROR(MAX(0,1-($N87+$T87+MAX(0,N($Q87)))/ROUND((INDEX(Config!$D$15:$D$18,MATCH($S87,Config!$B$15:$B$18,0))-INDEX(Config!$C$15:$C$18,MATCH($S87,Config!$B$15:$B$18,0)))*1440,0)),""))</f>
        <v/>
      </c>
      <c r="V87" s="5"/>
    </row>
    <row r="88" spans="1:22" x14ac:dyDescent="0.25">
      <c r="A88" s="11"/>
      <c r="B88" s="16"/>
      <c r="C88" t="str">
        <f>IFERROR(INDEX(Ejecutivos!$B$2:$B$100,MATCH(B88,Ejecutivos!$A$2:$A$100,0)),"")</f>
        <v/>
      </c>
      <c r="D88" s="19"/>
      <c r="E88" s="21"/>
      <c r="F88" s="19"/>
      <c r="G88" s="21"/>
      <c r="H88" s="20"/>
      <c r="I88" s="20"/>
      <c r="J88" s="20"/>
      <c r="K88" s="20"/>
      <c r="L88" s="18">
        <v>0</v>
      </c>
      <c r="M88" t="str">
        <f t="shared" si="7"/>
        <v/>
      </c>
      <c r="N88" t="str">
        <f>IF(OR($D88="",$S88=""),"",IFERROR(MAX(0,ROUND(($D88-INDEX(Config!$C$15:$C$18,MATCH($S88,Config!$B$15:$B$18,0)))*24*60,0)),""))</f>
        <v/>
      </c>
      <c r="O88" t="str">
        <f t="shared" si="8"/>
        <v/>
      </c>
      <c r="P88" t="str">
        <f t="shared" si="9"/>
        <v/>
      </c>
      <c r="Q88" t="str">
        <f>IF(OR($P88="",$S88=""),"",IFERROR($P88-INDEX(Config!$E$15:$E$18,MATCH($S88,Config!$B$15:$B$18,0)),""))</f>
        <v/>
      </c>
      <c r="R88" t="str">
        <f t="shared" si="10"/>
        <v/>
      </c>
      <c r="S88" s="6" t="str">
        <f>IF(OR($A88="",$C88=""),"",IFERROR(INDEX(Turno!$C$3:$V$32,MATCH($C88,Turno!$B$3:$B$32,0),MATCH(DAY($A88),Turno!$C$1:$V$1,0)),""))</f>
        <v/>
      </c>
      <c r="T88" t="str">
        <f>IF(OR($E88="",$S88=""),"",IFERROR(MAX(0,ROUND((INDEX(Config!$D$15:$D$18,MATCH($S88,Config!$B$15:$B$18,0))-$E88)*1440,0)),""))</f>
        <v/>
      </c>
      <c r="U88" s="13" t="str">
        <f>IF(OR($N88="",$T88=""),"",IFERROR(MAX(0,1-($N88+$T88+MAX(0,N($Q88)))/ROUND((INDEX(Config!$D$15:$D$18,MATCH($S88,Config!$B$15:$B$18,0))-INDEX(Config!$C$15:$C$18,MATCH($S88,Config!$B$15:$B$18,0)))*1440,0)),""))</f>
        <v/>
      </c>
      <c r="V88" s="5"/>
    </row>
    <row r="89" spans="1:22" x14ac:dyDescent="0.25">
      <c r="A89" s="11"/>
      <c r="B89" s="16"/>
      <c r="C89" t="str">
        <f>IFERROR(INDEX(Ejecutivos!$B$2:$B$100,MATCH(B89,Ejecutivos!$A$2:$A$100,0)),"")</f>
        <v/>
      </c>
      <c r="D89" s="19"/>
      <c r="E89" s="21"/>
      <c r="F89" s="19"/>
      <c r="G89" s="21"/>
      <c r="H89" s="20"/>
      <c r="I89" s="20"/>
      <c r="J89" s="20"/>
      <c r="K89" s="20"/>
      <c r="L89" s="18">
        <v>0</v>
      </c>
      <c r="M89" t="str">
        <f t="shared" si="7"/>
        <v/>
      </c>
      <c r="N89" t="str">
        <f>IF(OR($D89="",$S89=""),"",IFERROR(MAX(0,ROUND(($D89-INDEX(Config!$C$15:$C$18,MATCH($S89,Config!$B$15:$B$18,0)))*24*60,0)),""))</f>
        <v/>
      </c>
      <c r="O89" t="str">
        <f t="shared" si="8"/>
        <v/>
      </c>
      <c r="P89" t="str">
        <f t="shared" si="9"/>
        <v/>
      </c>
      <c r="Q89" t="str">
        <f>IF(OR($P89="",$S89=""),"",IFERROR($P89-INDEX(Config!$E$15:$E$18,MATCH($S89,Config!$B$15:$B$18,0)),""))</f>
        <v/>
      </c>
      <c r="R89" t="str">
        <f t="shared" si="10"/>
        <v/>
      </c>
      <c r="S89" s="6" t="str">
        <f>IF(OR($A89="",$C89=""),"",IFERROR(INDEX(Turno!$C$3:$V$32,MATCH($C89,Turno!$B$3:$B$32,0),MATCH(DAY($A89),Turno!$C$1:$V$1,0)),""))</f>
        <v/>
      </c>
      <c r="T89" t="str">
        <f>IF(OR($E89="",$S89=""),"",IFERROR(MAX(0,ROUND((INDEX(Config!$D$15:$D$18,MATCH($S89,Config!$B$15:$B$18,0))-$E89)*1440,0)),""))</f>
        <v/>
      </c>
      <c r="U89" s="13" t="str">
        <f>IF(OR($N89="",$T89=""),"",IFERROR(MAX(0,1-($N89+$T89+MAX(0,N($Q89)))/ROUND((INDEX(Config!$D$15:$D$18,MATCH($S89,Config!$B$15:$B$18,0))-INDEX(Config!$C$15:$C$18,MATCH($S89,Config!$B$15:$B$18,0)))*1440,0)),""))</f>
        <v/>
      </c>
      <c r="V89" s="5"/>
    </row>
    <row r="90" spans="1:22" x14ac:dyDescent="0.25">
      <c r="A90" s="11"/>
      <c r="B90" s="16"/>
      <c r="C90" t="str">
        <f>IFERROR(INDEX(Ejecutivos!$B$2:$B$100,MATCH(B90,Ejecutivos!$A$2:$A$100,0)),"")</f>
        <v/>
      </c>
      <c r="D90" s="19"/>
      <c r="E90" s="21"/>
      <c r="F90" s="19"/>
      <c r="G90" s="21"/>
      <c r="H90" s="20"/>
      <c r="I90" s="20"/>
      <c r="J90" s="20"/>
      <c r="K90" s="20"/>
      <c r="L90" s="18">
        <v>0</v>
      </c>
      <c r="M90" t="str">
        <f t="shared" si="7"/>
        <v/>
      </c>
      <c r="N90" t="str">
        <f>IF(OR($D90="",$S90=""),"",IFERROR(MAX(0,ROUND(($D90-INDEX(Config!$C$15:$C$18,MATCH($S90,Config!$B$15:$B$18,0)))*24*60,0)),""))</f>
        <v/>
      </c>
      <c r="O90" t="str">
        <f t="shared" si="8"/>
        <v/>
      </c>
      <c r="P90" t="str">
        <f t="shared" si="9"/>
        <v/>
      </c>
      <c r="Q90" t="str">
        <f>IF(OR($P90="",$S90=""),"",IFERROR($P90-INDEX(Config!$E$15:$E$18,MATCH($S90,Config!$B$15:$B$18,0)),""))</f>
        <v/>
      </c>
      <c r="R90" t="str">
        <f t="shared" si="10"/>
        <v/>
      </c>
      <c r="S90" s="6" t="str">
        <f>IF(OR($A90="",$C90=""),"",IFERROR(INDEX(Turno!$C$3:$V$32,MATCH($C90,Turno!$B$3:$B$32,0),MATCH(DAY($A90),Turno!$C$1:$V$1,0)),""))</f>
        <v/>
      </c>
      <c r="T90" t="str">
        <f>IF(OR($E90="",$S90=""),"",IFERROR(MAX(0,ROUND((INDEX(Config!$D$15:$D$18,MATCH($S90,Config!$B$15:$B$18,0))-$E90)*1440,0)),""))</f>
        <v/>
      </c>
      <c r="U90" s="13" t="str">
        <f>IF(OR($N90="",$T90=""),"",IFERROR(MAX(0,1-($N90+$T90+MAX(0,N($Q90)))/ROUND((INDEX(Config!$D$15:$D$18,MATCH($S90,Config!$B$15:$B$18,0))-INDEX(Config!$C$15:$C$18,MATCH($S90,Config!$B$15:$B$18,0)))*1440,0)),""))</f>
        <v/>
      </c>
      <c r="V90" s="5"/>
    </row>
    <row r="91" spans="1:22" x14ac:dyDescent="0.25">
      <c r="A91" s="11"/>
      <c r="B91" s="16"/>
      <c r="C91" t="str">
        <f>IFERROR(INDEX(Ejecutivos!$B$2:$B$100,MATCH(B91,Ejecutivos!$A$2:$A$100,0)),"")</f>
        <v/>
      </c>
      <c r="D91" s="19"/>
      <c r="E91" s="21"/>
      <c r="F91" s="19"/>
      <c r="G91" s="21"/>
      <c r="H91" s="20"/>
      <c r="I91" s="20"/>
      <c r="J91" s="20"/>
      <c r="K91" s="20"/>
      <c r="L91" s="18">
        <v>0</v>
      </c>
      <c r="M91" t="str">
        <f t="shared" si="7"/>
        <v/>
      </c>
      <c r="N91" t="str">
        <f>IF(OR($D91="",$S91=""),"",IFERROR(MAX(0,ROUND(($D91-INDEX(Config!$C$15:$C$18,MATCH($S91,Config!$B$15:$B$18,0)))*24*60,0)),""))</f>
        <v/>
      </c>
      <c r="O91" t="str">
        <f t="shared" si="8"/>
        <v/>
      </c>
      <c r="P91" t="str">
        <f t="shared" si="9"/>
        <v/>
      </c>
      <c r="Q91" t="str">
        <f>IF(OR($P91="",$S91=""),"",IFERROR($P91-INDEX(Config!$E$15:$E$18,MATCH($S91,Config!$B$15:$B$18,0)),""))</f>
        <v/>
      </c>
      <c r="R91" t="str">
        <f t="shared" si="10"/>
        <v/>
      </c>
      <c r="S91" s="6" t="str">
        <f>IF(OR($A91="",$C91=""),"",IFERROR(INDEX(Turno!$C$3:$V$32,MATCH($C91,Turno!$B$3:$B$32,0),MATCH(DAY($A91),Turno!$C$1:$V$1,0)),""))</f>
        <v/>
      </c>
      <c r="T91" t="str">
        <f>IF(OR($E91="",$S91=""),"",IFERROR(MAX(0,ROUND((INDEX(Config!$D$15:$D$18,MATCH($S91,Config!$B$15:$B$18,0))-$E91)*1440,0)),""))</f>
        <v/>
      </c>
      <c r="U91" s="13" t="str">
        <f>IF(OR($N91="",$T91=""),"",IFERROR(MAX(0,1-($N91+$T91+MAX(0,N($Q91)))/ROUND((INDEX(Config!$D$15:$D$18,MATCH($S91,Config!$B$15:$B$18,0))-INDEX(Config!$C$15:$C$18,MATCH($S91,Config!$B$15:$B$18,0)))*1440,0)),""))</f>
        <v/>
      </c>
      <c r="V91" s="5"/>
    </row>
    <row r="92" spans="1:22" x14ac:dyDescent="0.25">
      <c r="A92" s="11"/>
      <c r="B92" s="16"/>
      <c r="C92" t="str">
        <f>IFERROR(INDEX(Ejecutivos!$B$2:$B$100,MATCH(B92,Ejecutivos!$A$2:$A$100,0)),"")</f>
        <v/>
      </c>
      <c r="D92" s="19"/>
      <c r="E92" s="21"/>
      <c r="F92" s="19"/>
      <c r="G92" s="21"/>
      <c r="H92" s="20"/>
      <c r="I92" s="20"/>
      <c r="J92" s="20"/>
      <c r="K92" s="20"/>
      <c r="L92" s="18">
        <v>0</v>
      </c>
      <c r="M92" t="str">
        <f t="shared" si="7"/>
        <v/>
      </c>
      <c r="N92" t="str">
        <f>IF(OR($D92="",$S92=""),"",IFERROR(MAX(0,ROUND(($D92-INDEX(Config!$C$15:$C$18,MATCH($S92,Config!$B$15:$B$18,0)))*24*60,0)),""))</f>
        <v/>
      </c>
      <c r="O92" t="str">
        <f t="shared" si="8"/>
        <v/>
      </c>
      <c r="P92" t="str">
        <f t="shared" si="9"/>
        <v/>
      </c>
      <c r="Q92" t="str">
        <f>IF(OR($P92="",$S92=""),"",IFERROR($P92-INDEX(Config!$E$15:$E$18,MATCH($S92,Config!$B$15:$B$18,0)),""))</f>
        <v/>
      </c>
      <c r="R92" t="str">
        <f t="shared" si="10"/>
        <v/>
      </c>
      <c r="S92" s="6" t="str">
        <f>IF(OR($A92="",$C92=""),"",IFERROR(INDEX(Turno!$C$3:$V$32,MATCH($C92,Turno!$B$3:$B$32,0),MATCH(DAY($A92),Turno!$C$1:$V$1,0)),""))</f>
        <v/>
      </c>
      <c r="T92" t="str">
        <f>IF(OR($E92="",$S92=""),"",IFERROR(MAX(0,ROUND((INDEX(Config!$D$15:$D$18,MATCH($S92,Config!$B$15:$B$18,0))-$E92)*1440,0)),""))</f>
        <v/>
      </c>
      <c r="U92" s="13" t="str">
        <f>IF(OR($N92="",$T92=""),"",IFERROR(MAX(0,1-($N92+$T92+MAX(0,N($Q92)))/ROUND((INDEX(Config!$D$15:$D$18,MATCH($S92,Config!$B$15:$B$18,0))-INDEX(Config!$C$15:$C$18,MATCH($S92,Config!$B$15:$B$18,0)))*1440,0)),""))</f>
        <v/>
      </c>
      <c r="V92" s="5"/>
    </row>
    <row r="93" spans="1:22" x14ac:dyDescent="0.25">
      <c r="A93" s="11"/>
      <c r="B93" s="16"/>
      <c r="C93" t="str">
        <f>IFERROR(INDEX(Ejecutivos!$B$2:$B$100,MATCH(B93,Ejecutivos!$A$2:$A$100,0)),"")</f>
        <v/>
      </c>
      <c r="D93" s="19"/>
      <c r="E93" s="21"/>
      <c r="F93" s="19"/>
      <c r="G93" s="21"/>
      <c r="H93" s="20"/>
      <c r="I93" s="20"/>
      <c r="J93" s="20"/>
      <c r="K93" s="20"/>
      <c r="L93" s="18">
        <v>0</v>
      </c>
      <c r="M93" t="str">
        <f t="shared" si="7"/>
        <v/>
      </c>
      <c r="N93" t="str">
        <f>IF(OR($D93="",$S93=""),"",IFERROR(MAX(0,ROUND(($D93-INDEX(Config!$C$15:$C$18,MATCH($S93,Config!$B$15:$B$18,0)))*24*60,0)),""))</f>
        <v/>
      </c>
      <c r="O93" t="str">
        <f t="shared" si="8"/>
        <v/>
      </c>
      <c r="P93" t="str">
        <f t="shared" si="9"/>
        <v/>
      </c>
      <c r="Q93" t="str">
        <f>IF(OR($P93="",$S93=""),"",IFERROR($P93-INDEX(Config!$E$15:$E$18,MATCH($S93,Config!$B$15:$B$18,0)),""))</f>
        <v/>
      </c>
      <c r="R93" t="str">
        <f t="shared" si="10"/>
        <v/>
      </c>
      <c r="S93" s="6" t="str">
        <f>IF(OR($A93="",$C93=""),"",IFERROR(INDEX(Turno!$C$3:$V$32,MATCH($C93,Turno!$B$3:$B$32,0),MATCH(DAY($A93),Turno!$C$1:$V$1,0)),""))</f>
        <v/>
      </c>
      <c r="T93" t="str">
        <f>IF(OR($E93="",$S93=""),"",IFERROR(MAX(0,ROUND((INDEX(Config!$D$15:$D$18,MATCH($S93,Config!$B$15:$B$18,0))-$E93)*1440,0)),""))</f>
        <v/>
      </c>
      <c r="U93" s="13" t="str">
        <f>IF(OR($N93="",$T93=""),"",IFERROR(MAX(0,1-($N93+$T93+MAX(0,N($Q93)))/ROUND((INDEX(Config!$D$15:$D$18,MATCH($S93,Config!$B$15:$B$18,0))-INDEX(Config!$C$15:$C$18,MATCH($S93,Config!$B$15:$B$18,0)))*1440,0)),""))</f>
        <v/>
      </c>
      <c r="V93" s="5"/>
    </row>
    <row r="94" spans="1:22" x14ac:dyDescent="0.25">
      <c r="A94" s="11"/>
      <c r="B94" s="16"/>
      <c r="C94" t="str">
        <f>IFERROR(INDEX(Ejecutivos!$B$2:$B$100,MATCH(B94,Ejecutivos!$A$2:$A$100,0)),"")</f>
        <v/>
      </c>
      <c r="D94" s="19"/>
      <c r="E94" s="21"/>
      <c r="F94" s="19"/>
      <c r="G94" s="21"/>
      <c r="H94" s="20"/>
      <c r="I94" s="20"/>
      <c r="J94" s="20"/>
      <c r="K94" s="20"/>
      <c r="L94" s="18">
        <v>0</v>
      </c>
      <c r="M94" t="str">
        <f t="shared" si="7"/>
        <v/>
      </c>
      <c r="N94" t="str">
        <f>IF(OR($D94="",$S94=""),"",IFERROR(MAX(0,ROUND(($D94-INDEX(Config!$C$15:$C$18,MATCH($S94,Config!$B$15:$B$18,0)))*24*60,0)),""))</f>
        <v/>
      </c>
      <c r="O94" t="str">
        <f t="shared" si="8"/>
        <v/>
      </c>
      <c r="P94" t="str">
        <f t="shared" si="9"/>
        <v/>
      </c>
      <c r="Q94" t="str">
        <f>IF(OR($P94="",$S94=""),"",IFERROR($P94-INDEX(Config!$E$15:$E$18,MATCH($S94,Config!$B$15:$B$18,0)),""))</f>
        <v/>
      </c>
      <c r="R94" t="str">
        <f t="shared" si="10"/>
        <v/>
      </c>
      <c r="S94" s="6" t="str">
        <f>IF(OR($A94="",$C94=""),"",IFERROR(INDEX(Turno!$C$3:$V$32,MATCH($C94,Turno!$B$3:$B$32,0),MATCH(DAY($A94),Turno!$C$1:$V$1,0)),""))</f>
        <v/>
      </c>
      <c r="T94" t="str">
        <f>IF(OR($E94="",$S94=""),"",IFERROR(MAX(0,ROUND((INDEX(Config!$D$15:$D$18,MATCH($S94,Config!$B$15:$B$18,0))-$E94)*1440,0)),""))</f>
        <v/>
      </c>
      <c r="U94" s="13" t="str">
        <f>IF(OR($N94="",$T94=""),"",IFERROR(MAX(0,1-($N94+$T94+MAX(0,N($Q94)))/ROUND((INDEX(Config!$D$15:$D$18,MATCH($S94,Config!$B$15:$B$18,0))-INDEX(Config!$C$15:$C$18,MATCH($S94,Config!$B$15:$B$18,0)))*1440,0)),""))</f>
        <v/>
      </c>
      <c r="V94" s="5"/>
    </row>
    <row r="95" spans="1:22" x14ac:dyDescent="0.25">
      <c r="A95" s="11"/>
      <c r="B95" s="16"/>
      <c r="C95" t="str">
        <f>IFERROR(INDEX(Ejecutivos!$B$2:$B$100,MATCH(B95,Ejecutivos!$A$2:$A$100,0)),"")</f>
        <v/>
      </c>
      <c r="D95" s="19"/>
      <c r="E95" s="21"/>
      <c r="F95" s="19"/>
      <c r="G95" s="21"/>
      <c r="H95" s="20"/>
      <c r="I95" s="20"/>
      <c r="J95" s="20"/>
      <c r="K95" s="20"/>
      <c r="L95" s="18">
        <v>0</v>
      </c>
      <c r="M95" t="str">
        <f t="shared" si="7"/>
        <v/>
      </c>
      <c r="N95" t="str">
        <f>IF(OR($D95="",$S95=""),"",IFERROR(MAX(0,ROUND(($D95-INDEX(Config!$C$15:$C$18,MATCH($S95,Config!$B$15:$B$18,0)))*24*60,0)),""))</f>
        <v/>
      </c>
      <c r="O95" t="str">
        <f t="shared" si="8"/>
        <v/>
      </c>
      <c r="P95" t="str">
        <f t="shared" si="9"/>
        <v/>
      </c>
      <c r="Q95" t="str">
        <f>IF(OR($P95="",$S95=""),"",IFERROR($P95-INDEX(Config!$E$15:$E$18,MATCH($S95,Config!$B$15:$B$18,0)),""))</f>
        <v/>
      </c>
      <c r="R95" t="str">
        <f t="shared" si="10"/>
        <v/>
      </c>
      <c r="S95" s="6" t="str">
        <f>IF(OR($A95="",$C95=""),"",IFERROR(INDEX(Turno!$C$3:$V$32,MATCH($C95,Turno!$B$3:$B$32,0),MATCH(DAY($A95),Turno!$C$1:$V$1,0)),""))</f>
        <v/>
      </c>
      <c r="T95" t="str">
        <f>IF(OR($E95="",$S95=""),"",IFERROR(MAX(0,ROUND((INDEX(Config!$D$15:$D$18,MATCH($S95,Config!$B$15:$B$18,0))-$E95)*1440,0)),""))</f>
        <v/>
      </c>
      <c r="U95" s="13" t="str">
        <f>IF(OR($N95="",$T95=""),"",IFERROR(MAX(0,1-($N95+$T95+MAX(0,N($Q95)))/ROUND((INDEX(Config!$D$15:$D$18,MATCH($S95,Config!$B$15:$B$18,0))-INDEX(Config!$C$15:$C$18,MATCH($S95,Config!$B$15:$B$18,0)))*1440,0)),""))</f>
        <v/>
      </c>
      <c r="V95" s="5"/>
    </row>
    <row r="96" spans="1:22" x14ac:dyDescent="0.25">
      <c r="A96" s="11"/>
      <c r="B96" s="16"/>
      <c r="C96" t="str">
        <f>IFERROR(INDEX(Ejecutivos!$B$2:$B$100,MATCH(B96,Ejecutivos!$A$2:$A$100,0)),"")</f>
        <v/>
      </c>
      <c r="D96" s="19"/>
      <c r="E96" s="21"/>
      <c r="F96" s="19"/>
      <c r="G96" s="21"/>
      <c r="H96" s="20"/>
      <c r="I96" s="20"/>
      <c r="J96" s="20"/>
      <c r="K96" s="20"/>
      <c r="L96" s="18">
        <v>0</v>
      </c>
      <c r="M96" t="str">
        <f t="shared" si="7"/>
        <v/>
      </c>
      <c r="N96" t="str">
        <f>IF(OR($D96="",$S96=""),"",IFERROR(MAX(0,ROUND(($D96-INDEX(Config!$C$15:$C$18,MATCH($S96,Config!$B$15:$B$18,0)))*24*60,0)),""))</f>
        <v/>
      </c>
      <c r="O96" t="str">
        <f t="shared" si="8"/>
        <v/>
      </c>
      <c r="P96" t="str">
        <f t="shared" si="9"/>
        <v/>
      </c>
      <c r="Q96" t="str">
        <f>IF(OR($P96="",$S96=""),"",IFERROR($P96-INDEX(Config!$E$15:$E$18,MATCH($S96,Config!$B$15:$B$18,0)),""))</f>
        <v/>
      </c>
      <c r="R96" t="str">
        <f t="shared" si="10"/>
        <v/>
      </c>
      <c r="S96" s="6" t="str">
        <f>IF(OR($A96="",$C96=""),"",IFERROR(INDEX(Turno!$C$3:$V$32,MATCH($C96,Turno!$B$3:$B$32,0),MATCH(DAY($A96),Turno!$C$1:$V$1,0)),""))</f>
        <v/>
      </c>
      <c r="T96" t="str">
        <f>IF(OR($E96="",$S96=""),"",IFERROR(MAX(0,ROUND((INDEX(Config!$D$15:$D$18,MATCH($S96,Config!$B$15:$B$18,0))-$E96)*1440,0)),""))</f>
        <v/>
      </c>
      <c r="U96" s="13" t="str">
        <f>IF(OR($N96="",$T96=""),"",IFERROR(MAX(0,1-($N96+$T96+MAX(0,N($Q96)))/ROUND((INDEX(Config!$D$15:$D$18,MATCH($S96,Config!$B$15:$B$18,0))-INDEX(Config!$C$15:$C$18,MATCH($S96,Config!$B$15:$B$18,0)))*1440,0)),""))</f>
        <v/>
      </c>
      <c r="V96" s="5"/>
    </row>
    <row r="97" spans="1:22" x14ac:dyDescent="0.25">
      <c r="A97" s="11"/>
      <c r="B97" s="16"/>
      <c r="C97" t="str">
        <f>IFERROR(INDEX(Ejecutivos!$B$2:$B$100,MATCH(B97,Ejecutivos!$A$2:$A$100,0)),"")</f>
        <v/>
      </c>
      <c r="D97" s="19"/>
      <c r="E97" s="21"/>
      <c r="F97" s="19"/>
      <c r="G97" s="21"/>
      <c r="H97" s="20"/>
      <c r="I97" s="20"/>
      <c r="J97" s="20"/>
      <c r="K97" s="20"/>
      <c r="L97" s="18">
        <v>0</v>
      </c>
      <c r="M97" t="str">
        <f t="shared" si="7"/>
        <v/>
      </c>
      <c r="N97" t="str">
        <f>IF(OR($D97="",$S97=""),"",IFERROR(MAX(0,ROUND(($D97-INDEX(Config!$C$15:$C$18,MATCH($S97,Config!$B$15:$B$18,0)))*24*60,0)),""))</f>
        <v/>
      </c>
      <c r="O97" t="str">
        <f t="shared" si="8"/>
        <v/>
      </c>
      <c r="P97" t="str">
        <f t="shared" si="9"/>
        <v/>
      </c>
      <c r="Q97" t="str">
        <f>IF(OR($P97="",$S97=""),"",IFERROR($P97-INDEX(Config!$E$15:$E$18,MATCH($S97,Config!$B$15:$B$18,0)),""))</f>
        <v/>
      </c>
      <c r="R97" t="str">
        <f t="shared" si="10"/>
        <v/>
      </c>
      <c r="S97" s="6" t="str">
        <f>IF(OR($A97="",$C97=""),"",IFERROR(INDEX(Turno!$C$3:$V$32,MATCH($C97,Turno!$B$3:$B$32,0),MATCH(DAY($A97),Turno!$C$1:$V$1,0)),""))</f>
        <v/>
      </c>
      <c r="T97" t="str">
        <f>IF(OR($E97="",$S97=""),"",IFERROR(MAX(0,ROUND((INDEX(Config!$D$15:$D$18,MATCH($S97,Config!$B$15:$B$18,0))-$E97)*1440,0)),""))</f>
        <v/>
      </c>
      <c r="U97" s="13" t="str">
        <f>IF(OR($N97="",$T97=""),"",IFERROR(MAX(0,1-($N97+$T97+MAX(0,N($Q97)))/ROUND((INDEX(Config!$D$15:$D$18,MATCH($S97,Config!$B$15:$B$18,0))-INDEX(Config!$C$15:$C$18,MATCH($S97,Config!$B$15:$B$18,0)))*1440,0)),""))</f>
        <v/>
      </c>
      <c r="V97" s="5"/>
    </row>
    <row r="98" spans="1:22" x14ac:dyDescent="0.25">
      <c r="A98" s="11"/>
      <c r="B98" s="16"/>
      <c r="C98" t="str">
        <f>IFERROR(INDEX(Ejecutivos!$B$2:$B$100,MATCH(B98,Ejecutivos!$A$2:$A$100,0)),"")</f>
        <v/>
      </c>
      <c r="D98" s="19"/>
      <c r="E98" s="21"/>
      <c r="F98" s="19"/>
      <c r="G98" s="21"/>
      <c r="H98" s="20"/>
      <c r="I98" s="20"/>
      <c r="J98" s="20"/>
      <c r="K98" s="20"/>
      <c r="L98" s="18">
        <v>0</v>
      </c>
      <c r="M98" t="str">
        <f t="shared" si="7"/>
        <v/>
      </c>
      <c r="N98" t="str">
        <f>IF(OR($D98="",$S98=""),"",IFERROR(MAX(0,ROUND(($D98-INDEX(Config!$C$15:$C$18,MATCH($S98,Config!$B$15:$B$18,0)))*24*60,0)),""))</f>
        <v/>
      </c>
      <c r="O98" t="str">
        <f t="shared" si="8"/>
        <v/>
      </c>
      <c r="P98" t="str">
        <f t="shared" si="9"/>
        <v/>
      </c>
      <c r="Q98" t="str">
        <f>IF(OR($P98="",$S98=""),"",IFERROR($P98-INDEX(Config!$E$15:$E$18,MATCH($S98,Config!$B$15:$B$18,0)),""))</f>
        <v/>
      </c>
      <c r="R98" t="str">
        <f t="shared" si="10"/>
        <v/>
      </c>
      <c r="S98" s="6" t="str">
        <f>IF(OR($A98="",$C98=""),"",IFERROR(INDEX(Turno!$C$3:$V$32,MATCH($C98,Turno!$B$3:$B$32,0),MATCH(DAY($A98),Turno!$C$1:$V$1,0)),""))</f>
        <v/>
      </c>
      <c r="T98" t="str">
        <f>IF(OR($E98="",$S98=""),"",IFERROR(MAX(0,ROUND((INDEX(Config!$D$15:$D$18,MATCH($S98,Config!$B$15:$B$18,0))-$E98)*1440,0)),""))</f>
        <v/>
      </c>
      <c r="U98" s="13" t="str">
        <f>IF(OR($N98="",$T98=""),"",IFERROR(MAX(0,1-($N98+$T98+MAX(0,N($Q98)))/ROUND((INDEX(Config!$D$15:$D$18,MATCH($S98,Config!$B$15:$B$18,0))-INDEX(Config!$C$15:$C$18,MATCH($S98,Config!$B$15:$B$18,0)))*1440,0)),""))</f>
        <v/>
      </c>
      <c r="V98" s="5"/>
    </row>
    <row r="99" spans="1:22" x14ac:dyDescent="0.25">
      <c r="A99" s="11"/>
      <c r="B99" s="16"/>
      <c r="C99" t="str">
        <f>IFERROR(INDEX(Ejecutivos!$B$2:$B$100,MATCH(B99,Ejecutivos!$A$2:$A$100,0)),"")</f>
        <v/>
      </c>
      <c r="D99" s="19"/>
      <c r="E99" s="21"/>
      <c r="F99" s="19"/>
      <c r="G99" s="21"/>
      <c r="H99" s="20"/>
      <c r="I99" s="20"/>
      <c r="J99" s="20"/>
      <c r="K99" s="20"/>
      <c r="L99" s="18">
        <v>0</v>
      </c>
      <c r="M99" t="str">
        <f t="shared" si="7"/>
        <v/>
      </c>
      <c r="N99" t="str">
        <f>IF(OR($D99="",$S99=""),"",IFERROR(MAX(0,ROUND(($D99-INDEX(Config!$C$15:$C$18,MATCH($S99,Config!$B$15:$B$18,0)))*24*60,0)),""))</f>
        <v/>
      </c>
      <c r="O99" t="str">
        <f t="shared" si="8"/>
        <v/>
      </c>
      <c r="P99" t="str">
        <f t="shared" si="9"/>
        <v/>
      </c>
      <c r="Q99" t="str">
        <f>IF(OR($P99="",$S99=""),"",IFERROR($P99-INDEX(Config!$E$15:$E$18,MATCH($S99,Config!$B$15:$B$18,0)),""))</f>
        <v/>
      </c>
      <c r="R99" t="str">
        <f t="shared" si="10"/>
        <v/>
      </c>
      <c r="S99" s="6" t="str">
        <f>IF(OR($A99="",$C99=""),"",IFERROR(INDEX(Turno!$C$3:$V$32,MATCH($C99,Turno!$B$3:$B$32,0),MATCH(DAY($A99),Turno!$C$1:$V$1,0)),""))</f>
        <v/>
      </c>
      <c r="T99" t="str">
        <f>IF(OR($E99="",$S99=""),"",IFERROR(MAX(0,ROUND((INDEX(Config!$D$15:$D$18,MATCH($S99,Config!$B$15:$B$18,0))-$E99)*1440,0)),""))</f>
        <v/>
      </c>
      <c r="U99" s="13" t="str">
        <f>IF(OR($N99="",$T99=""),"",IFERROR(MAX(0,1-($N99+$T99+MAX(0,N($Q99)))/ROUND((INDEX(Config!$D$15:$D$18,MATCH($S99,Config!$B$15:$B$18,0))-INDEX(Config!$C$15:$C$18,MATCH($S99,Config!$B$15:$B$18,0)))*1440,0)),""))</f>
        <v/>
      </c>
      <c r="V99" s="5"/>
    </row>
    <row r="100" spans="1:22" x14ac:dyDescent="0.25">
      <c r="A100" s="11"/>
      <c r="B100" s="16"/>
      <c r="C100" t="str">
        <f>IFERROR(INDEX(Ejecutivos!$B$2:$B$100,MATCH(B100,Ejecutivos!$A$2:$A$100,0)),"")</f>
        <v/>
      </c>
      <c r="D100" s="19"/>
      <c r="E100" s="21"/>
      <c r="F100" s="19"/>
      <c r="G100" s="21"/>
      <c r="H100" s="20"/>
      <c r="I100" s="20"/>
      <c r="J100" s="20"/>
      <c r="K100" s="20"/>
      <c r="L100" s="18">
        <v>0</v>
      </c>
      <c r="M100" t="str">
        <f t="shared" si="7"/>
        <v/>
      </c>
      <c r="N100" t="str">
        <f>IF(OR($D100="",$S100=""),"",IFERROR(MAX(0,ROUND(($D100-INDEX(Config!$C$15:$C$18,MATCH($S100,Config!$B$15:$B$18,0)))*24*60,0)),""))</f>
        <v/>
      </c>
      <c r="O100" t="str">
        <f t="shared" si="8"/>
        <v/>
      </c>
      <c r="P100" t="str">
        <f t="shared" si="9"/>
        <v/>
      </c>
      <c r="Q100" t="str">
        <f>IF(OR($P100="",$S100=""),"",IFERROR($P100-INDEX(Config!$E$15:$E$18,MATCH($S100,Config!$B$15:$B$18,0)),""))</f>
        <v/>
      </c>
      <c r="R100" t="str">
        <f t="shared" si="10"/>
        <v/>
      </c>
      <c r="S100" s="6" t="str">
        <f>IF(OR($A100="",$C100=""),"",IFERROR(INDEX(Turno!$C$3:$V$32,MATCH($C100,Turno!$B$3:$B$32,0),MATCH(DAY($A100),Turno!$C$1:$V$1,0)),""))</f>
        <v/>
      </c>
      <c r="T100" t="str">
        <f>IF(OR($E100="",$S100=""),"",IFERROR(MAX(0,ROUND((INDEX(Config!$D$15:$D$18,MATCH($S100,Config!$B$15:$B$18,0))-$E100)*1440,0)),""))</f>
        <v/>
      </c>
      <c r="U100" s="13" t="str">
        <f>IF(OR($N100="",$T100=""),"",IFERROR(MAX(0,1-($N100+$T100+MAX(0,N($Q100)))/ROUND((INDEX(Config!$D$15:$D$18,MATCH($S100,Config!$B$15:$B$18,0))-INDEX(Config!$C$15:$C$18,MATCH($S100,Config!$B$15:$B$18,0)))*1440,0)),""))</f>
        <v/>
      </c>
      <c r="V100" s="5"/>
    </row>
    <row r="101" spans="1:22" x14ac:dyDescent="0.25">
      <c r="A101" s="11"/>
      <c r="B101" s="16"/>
      <c r="C101" t="str">
        <f>IFERROR(INDEX(Ejecutivos!$B$2:$B$100,MATCH(B101,Ejecutivos!$A$2:$A$100,0)),"")</f>
        <v/>
      </c>
      <c r="D101" s="19"/>
      <c r="E101" s="21"/>
      <c r="F101" s="19"/>
      <c r="G101" s="21"/>
      <c r="H101" s="20"/>
      <c r="I101" s="20"/>
      <c r="J101" s="20"/>
      <c r="K101" s="20"/>
      <c r="L101" s="18">
        <v>0</v>
      </c>
      <c r="M101" t="str">
        <f t="shared" si="7"/>
        <v/>
      </c>
      <c r="N101" t="str">
        <f>IF(OR($D101="",$S101=""),"",IFERROR(MAX(0,ROUND(($D101-INDEX(Config!$C$15:$C$18,MATCH($S101,Config!$B$15:$B$18,0)))*24*60,0)),""))</f>
        <v/>
      </c>
      <c r="O101" t="str">
        <f t="shared" si="8"/>
        <v/>
      </c>
      <c r="P101" t="str">
        <f t="shared" si="9"/>
        <v/>
      </c>
      <c r="Q101" t="str">
        <f>IF(OR($P101="",$S101=""),"",IFERROR($P101-INDEX(Config!$E$15:$E$18,MATCH($S101,Config!$B$15:$B$18,0)),""))</f>
        <v/>
      </c>
      <c r="R101" t="str">
        <f t="shared" si="10"/>
        <v/>
      </c>
      <c r="S101" s="6" t="str">
        <f>IF(OR($A101="",$C101=""),"",IFERROR(INDEX(Turno!$C$3:$V$32,MATCH($C101,Turno!$B$3:$B$32,0),MATCH(DAY($A101),Turno!$C$1:$V$1,0)),""))</f>
        <v/>
      </c>
      <c r="T101" t="str">
        <f>IF(OR($E101="",$S101=""),"",IFERROR(MAX(0,ROUND((INDEX(Config!$D$15:$D$18,MATCH($S101,Config!$B$15:$B$18,0))-$E101)*1440,0)),""))</f>
        <v/>
      </c>
      <c r="U101" s="13" t="str">
        <f>IF(OR($N101="",$T101=""),"",IFERROR(MAX(0,1-($N101+$T101+MAX(0,N($Q101)))/ROUND((INDEX(Config!$D$15:$D$18,MATCH($S101,Config!$B$15:$B$18,0))-INDEX(Config!$C$15:$C$18,MATCH($S101,Config!$B$15:$B$18,0)))*1440,0)),""))</f>
        <v/>
      </c>
      <c r="V101" s="5"/>
    </row>
    <row r="102" spans="1:22" x14ac:dyDescent="0.25">
      <c r="A102" s="11"/>
      <c r="B102" s="16"/>
      <c r="C102" t="str">
        <f>IFERROR(INDEX(Ejecutivos!$B$2:$B$100,MATCH(B102,Ejecutivos!$A$2:$A$100,0)),"")</f>
        <v/>
      </c>
      <c r="D102" s="19"/>
      <c r="E102" s="21"/>
      <c r="F102" s="19"/>
      <c r="G102" s="21"/>
      <c r="H102" s="20"/>
      <c r="I102" s="20"/>
      <c r="J102" s="20"/>
      <c r="K102" s="20"/>
      <c r="L102" s="18">
        <v>0</v>
      </c>
      <c r="M102" t="str">
        <f t="shared" si="7"/>
        <v/>
      </c>
      <c r="N102" t="str">
        <f>IF(OR($D102="",$S102=""),"",IFERROR(MAX(0,ROUND(($D102-INDEX(Config!$C$15:$C$18,MATCH($S102,Config!$B$15:$B$18,0)))*24*60,0)),""))</f>
        <v/>
      </c>
      <c r="O102" t="str">
        <f t="shared" si="8"/>
        <v/>
      </c>
      <c r="P102" t="str">
        <f t="shared" si="9"/>
        <v/>
      </c>
      <c r="Q102" t="str">
        <f>IF(OR($P102="",$S102=""),"",IFERROR($P102-INDEX(Config!$E$15:$E$18,MATCH($S102,Config!$B$15:$B$18,0)),""))</f>
        <v/>
      </c>
      <c r="R102" t="str">
        <f t="shared" si="10"/>
        <v/>
      </c>
      <c r="S102" s="6" t="str">
        <f>IF(OR($A102="",$C102=""),"",IFERROR(INDEX(Turno!$C$3:$V$32,MATCH($C102,Turno!$B$3:$B$32,0),MATCH(DAY($A102),Turno!$C$1:$V$1,0)),""))</f>
        <v/>
      </c>
      <c r="T102" t="str">
        <f>IF(OR($E102="",$S102=""),"",IFERROR(MAX(0,ROUND((INDEX(Config!$D$15:$D$18,MATCH($S102,Config!$B$15:$B$18,0))-$E102)*1440,0)),""))</f>
        <v/>
      </c>
      <c r="U102" s="13" t="str">
        <f>IF(OR($N102="",$T102=""),"",IFERROR(MAX(0,1-($N102+$T102+MAX(0,N($Q102)))/ROUND((INDEX(Config!$D$15:$D$18,MATCH($S102,Config!$B$15:$B$18,0))-INDEX(Config!$C$15:$C$18,MATCH($S102,Config!$B$15:$B$18,0)))*1440,0)),""))</f>
        <v/>
      </c>
      <c r="V102" s="5"/>
    </row>
    <row r="103" spans="1:22" x14ac:dyDescent="0.25">
      <c r="A103" s="11"/>
      <c r="B103" s="16"/>
      <c r="C103" t="str">
        <f>IFERROR(INDEX(Ejecutivos!$B$2:$B$100,MATCH(B103,Ejecutivos!$A$2:$A$100,0)),"")</f>
        <v/>
      </c>
      <c r="D103" s="19"/>
      <c r="E103" s="21"/>
      <c r="F103" s="19"/>
      <c r="G103" s="21"/>
      <c r="H103" s="20"/>
      <c r="I103" s="20"/>
      <c r="J103" s="20"/>
      <c r="K103" s="20"/>
      <c r="L103" s="18">
        <v>0</v>
      </c>
      <c r="M103" t="str">
        <f t="shared" si="7"/>
        <v/>
      </c>
      <c r="N103" t="str">
        <f>IF(OR($D103="",$S103=""),"",IFERROR(MAX(0,ROUND(($D103-INDEX(Config!$C$15:$C$18,MATCH($S103,Config!$B$15:$B$18,0)))*24*60,0)),""))</f>
        <v/>
      </c>
      <c r="O103" t="str">
        <f t="shared" si="8"/>
        <v/>
      </c>
      <c r="P103" t="str">
        <f t="shared" si="9"/>
        <v/>
      </c>
      <c r="Q103" t="str">
        <f>IF(OR($P103="",$S103=""),"",IFERROR($P103-INDEX(Config!$E$15:$E$18,MATCH($S103,Config!$B$15:$B$18,0)),""))</f>
        <v/>
      </c>
      <c r="R103" t="str">
        <f t="shared" si="10"/>
        <v/>
      </c>
      <c r="S103" s="6" t="str">
        <f>IF(OR($A103="",$C103=""),"",IFERROR(INDEX(Turno!$C$3:$V$32,MATCH($C103,Turno!$B$3:$B$32,0),MATCH(DAY($A103),Turno!$C$1:$V$1,0)),""))</f>
        <v/>
      </c>
      <c r="T103" t="str">
        <f>IF(OR($E103="",$S103=""),"",IFERROR(MAX(0,ROUND((INDEX(Config!$D$15:$D$18,MATCH($S103,Config!$B$15:$B$18,0))-$E103)*1440,0)),""))</f>
        <v/>
      </c>
      <c r="U103" s="13" t="str">
        <f>IF(OR($N103="",$T103=""),"",IFERROR(MAX(0,1-($N103+$T103+MAX(0,N($Q103)))/ROUND((INDEX(Config!$D$15:$D$18,MATCH($S103,Config!$B$15:$B$18,0))-INDEX(Config!$C$15:$C$18,MATCH($S103,Config!$B$15:$B$18,0)))*1440,0)),""))</f>
        <v/>
      </c>
      <c r="V103" s="5"/>
    </row>
    <row r="104" spans="1:22" x14ac:dyDescent="0.25">
      <c r="A104" s="11"/>
      <c r="B104" s="16"/>
      <c r="C104" t="str">
        <f>IFERROR(INDEX(Ejecutivos!$B$2:$B$100,MATCH(B104,Ejecutivos!$A$2:$A$100,0)),"")</f>
        <v/>
      </c>
      <c r="D104" s="19"/>
      <c r="E104" s="21"/>
      <c r="F104" s="19"/>
      <c r="G104" s="21"/>
      <c r="H104" s="20"/>
      <c r="I104" s="20"/>
      <c r="J104" s="20"/>
      <c r="K104" s="20"/>
      <c r="L104" s="18">
        <v>0</v>
      </c>
      <c r="M104" t="str">
        <f t="shared" si="7"/>
        <v/>
      </c>
      <c r="N104" t="str">
        <f>IF(OR($D104="",$S104=""),"",IFERROR(MAX(0,ROUND(($D104-INDEX(Config!$C$15:$C$18,MATCH($S104,Config!$B$15:$B$18,0)))*24*60,0)),""))</f>
        <v/>
      </c>
      <c r="O104" t="str">
        <f t="shared" si="8"/>
        <v/>
      </c>
      <c r="P104" t="str">
        <f t="shared" si="9"/>
        <v/>
      </c>
      <c r="Q104" t="str">
        <f>IF(OR($P104="",$S104=""),"",IFERROR($P104-INDEX(Config!$E$15:$E$18,MATCH($S104,Config!$B$15:$B$18,0)),""))</f>
        <v/>
      </c>
      <c r="R104" t="str">
        <f t="shared" si="10"/>
        <v/>
      </c>
      <c r="S104" s="6" t="str">
        <f>IF(OR($A104="",$C104=""),"",IFERROR(INDEX(Turno!$C$3:$V$32,MATCH($C104,Turno!$B$3:$B$32,0),MATCH(DAY($A104),Turno!$C$1:$V$1,0)),""))</f>
        <v/>
      </c>
      <c r="T104" t="str">
        <f>IF(OR($E104="",$S104=""),"",IFERROR(MAX(0,ROUND((INDEX(Config!$D$15:$D$18,MATCH($S104,Config!$B$15:$B$18,0))-$E104)*1440,0)),""))</f>
        <v/>
      </c>
      <c r="U104" s="13" t="str">
        <f>IF(OR($N104="",$T104=""),"",IFERROR(MAX(0,1-($N104+$T104+MAX(0,N($Q104)))/ROUND((INDEX(Config!$D$15:$D$18,MATCH($S104,Config!$B$15:$B$18,0))-INDEX(Config!$C$15:$C$18,MATCH($S104,Config!$B$15:$B$18,0)))*1440,0)),""))</f>
        <v/>
      </c>
      <c r="V104" s="5"/>
    </row>
    <row r="105" spans="1:22" x14ac:dyDescent="0.25">
      <c r="A105" s="11"/>
      <c r="B105" s="16"/>
      <c r="C105" t="str">
        <f>IFERROR(INDEX(Ejecutivos!$B$2:$B$100,MATCH(B105,Ejecutivos!$A$2:$A$100,0)),"")</f>
        <v/>
      </c>
      <c r="D105" s="19"/>
      <c r="E105" s="21"/>
      <c r="F105" s="19"/>
      <c r="G105" s="21"/>
      <c r="H105" s="20"/>
      <c r="I105" s="20"/>
      <c r="J105" s="20"/>
      <c r="K105" s="20"/>
      <c r="L105" s="18">
        <v>0</v>
      </c>
      <c r="M105" t="str">
        <f t="shared" si="7"/>
        <v/>
      </c>
      <c r="N105" t="str">
        <f>IF(OR($D105="",$S105=""),"",IFERROR(MAX(0,ROUND(($D105-INDEX(Config!$C$15:$C$18,MATCH($S105,Config!$B$15:$B$18,0)))*24*60,0)),""))</f>
        <v/>
      </c>
      <c r="O105" t="str">
        <f t="shared" si="8"/>
        <v/>
      </c>
      <c r="P105" t="str">
        <f t="shared" si="9"/>
        <v/>
      </c>
      <c r="Q105" t="str">
        <f>IF(OR($P105="",$S105=""),"",IFERROR($P105-INDEX(Config!$E$15:$E$18,MATCH($S105,Config!$B$15:$B$18,0)),""))</f>
        <v/>
      </c>
      <c r="R105" t="str">
        <f t="shared" si="10"/>
        <v/>
      </c>
      <c r="S105" s="6" t="str">
        <f>IF(OR($A105="",$C105=""),"",IFERROR(INDEX(Turno!$C$3:$V$32,MATCH($C105,Turno!$B$3:$B$32,0),MATCH(DAY($A105),Turno!$C$1:$V$1,0)),""))</f>
        <v/>
      </c>
      <c r="T105" t="str">
        <f>IF(OR($E105="",$S105=""),"",IFERROR(MAX(0,ROUND((INDEX(Config!$D$15:$D$18,MATCH($S105,Config!$B$15:$B$18,0))-$E105)*1440,0)),""))</f>
        <v/>
      </c>
      <c r="U105" s="13" t="str">
        <f>IF(OR($N105="",$T105=""),"",IFERROR(MAX(0,1-($N105+$T105+MAX(0,N($Q105)))/ROUND((INDEX(Config!$D$15:$D$18,MATCH($S105,Config!$B$15:$B$18,0))-INDEX(Config!$C$15:$C$18,MATCH($S105,Config!$B$15:$B$18,0)))*1440,0)),""))</f>
        <v/>
      </c>
      <c r="V105" s="5"/>
    </row>
    <row r="106" spans="1:22" x14ac:dyDescent="0.25">
      <c r="A106" s="11"/>
      <c r="B106" s="16"/>
      <c r="C106" t="str">
        <f>IFERROR(INDEX(Ejecutivos!$B$2:$B$100,MATCH(B106,Ejecutivos!$A$2:$A$100,0)),"")</f>
        <v/>
      </c>
      <c r="D106" s="19"/>
      <c r="E106" s="21"/>
      <c r="F106" s="19"/>
      <c r="G106" s="21"/>
      <c r="H106" s="20"/>
      <c r="I106" s="20"/>
      <c r="J106" s="20"/>
      <c r="K106" s="20"/>
      <c r="L106" s="18">
        <v>0</v>
      </c>
      <c r="M106" t="str">
        <f t="shared" si="7"/>
        <v/>
      </c>
      <c r="N106" t="str">
        <f>IF(OR($D106="",$S106=""),"",IFERROR(MAX(0,ROUND(($D106-INDEX(Config!$C$15:$C$18,MATCH($S106,Config!$B$15:$B$18,0)))*24*60,0)),""))</f>
        <v/>
      </c>
      <c r="O106" t="str">
        <f t="shared" si="8"/>
        <v/>
      </c>
      <c r="P106" t="str">
        <f t="shared" si="9"/>
        <v/>
      </c>
      <c r="Q106" t="str">
        <f>IF(OR($P106="",$S106=""),"",IFERROR($P106-INDEX(Config!$E$15:$E$18,MATCH($S106,Config!$B$15:$B$18,0)),""))</f>
        <v/>
      </c>
      <c r="R106" t="str">
        <f t="shared" si="10"/>
        <v/>
      </c>
      <c r="S106" s="6" t="str">
        <f>IF(OR($A106="",$C106=""),"",IFERROR(INDEX(Turno!$C$3:$V$32,MATCH($C106,Turno!$B$3:$B$32,0),MATCH(DAY($A106),Turno!$C$1:$V$1,0)),""))</f>
        <v/>
      </c>
      <c r="T106" t="str">
        <f>IF(OR($E106="",$S106=""),"",IFERROR(MAX(0,ROUND((INDEX(Config!$D$15:$D$18,MATCH($S106,Config!$B$15:$B$18,0))-$E106)*1440,0)),""))</f>
        <v/>
      </c>
      <c r="U106" s="13" t="str">
        <f>IF(OR($N106="",$T106=""),"",IFERROR(MAX(0,1-($N106+$T106+MAX(0,N($Q106)))/ROUND((INDEX(Config!$D$15:$D$18,MATCH($S106,Config!$B$15:$B$18,0))-INDEX(Config!$C$15:$C$18,MATCH($S106,Config!$B$15:$B$18,0)))*1440,0)),""))</f>
        <v/>
      </c>
      <c r="V106" s="5"/>
    </row>
    <row r="107" spans="1:22" x14ac:dyDescent="0.25">
      <c r="A107" s="11"/>
      <c r="B107" s="16"/>
      <c r="C107" t="str">
        <f>IFERROR(INDEX(Ejecutivos!$B$2:$B$100,MATCH(B107,Ejecutivos!$A$2:$A$100,0)),"")</f>
        <v/>
      </c>
      <c r="D107" s="19"/>
      <c r="E107" s="21"/>
      <c r="F107" s="19"/>
      <c r="G107" s="21"/>
      <c r="H107" s="20"/>
      <c r="I107" s="20"/>
      <c r="J107" s="20"/>
      <c r="K107" s="20"/>
      <c r="L107" s="18">
        <v>0</v>
      </c>
      <c r="M107" t="str">
        <f t="shared" si="7"/>
        <v/>
      </c>
      <c r="N107" t="str">
        <f>IF(OR($D107="",$S107=""),"",IFERROR(MAX(0,ROUND(($D107-INDEX(Config!$C$15:$C$18,MATCH($S107,Config!$B$15:$B$18,0)))*24*60,0)),""))</f>
        <v/>
      </c>
      <c r="O107" t="str">
        <f t="shared" si="8"/>
        <v/>
      </c>
      <c r="P107" t="str">
        <f t="shared" si="9"/>
        <v/>
      </c>
      <c r="Q107" t="str">
        <f>IF(OR($P107="",$S107=""),"",IFERROR($P107-INDEX(Config!$E$15:$E$18,MATCH($S107,Config!$B$15:$B$18,0)),""))</f>
        <v/>
      </c>
      <c r="R107" t="str">
        <f t="shared" si="10"/>
        <v/>
      </c>
      <c r="S107" s="6" t="str">
        <f>IF(OR($A107="",$C107=""),"",IFERROR(INDEX(Turno!$C$3:$V$32,MATCH($C107,Turno!$B$3:$B$32,0),MATCH(DAY($A107),Turno!$C$1:$V$1,0)),""))</f>
        <v/>
      </c>
      <c r="T107" t="str">
        <f>IF(OR($E107="",$S107=""),"",IFERROR(MAX(0,ROUND((INDEX(Config!$D$15:$D$18,MATCH($S107,Config!$B$15:$B$18,0))-$E107)*1440,0)),""))</f>
        <v/>
      </c>
      <c r="U107" s="13" t="str">
        <f>IF(OR($N107="",$T107=""),"",IFERROR(MAX(0,1-($N107+$T107+MAX(0,N($Q107)))/ROUND((INDEX(Config!$D$15:$D$18,MATCH($S107,Config!$B$15:$B$18,0))-INDEX(Config!$C$15:$C$18,MATCH($S107,Config!$B$15:$B$18,0)))*1440,0)),""))</f>
        <v/>
      </c>
      <c r="V107" s="5"/>
    </row>
    <row r="108" spans="1:22" x14ac:dyDescent="0.25">
      <c r="A108" s="11"/>
      <c r="B108" s="16"/>
      <c r="C108" t="str">
        <f>IFERROR(INDEX(Ejecutivos!$B$2:$B$100,MATCH(B108,Ejecutivos!$A$2:$A$100,0)),"")</f>
        <v/>
      </c>
      <c r="D108" s="19"/>
      <c r="E108" s="21"/>
      <c r="F108" s="19"/>
      <c r="G108" s="21"/>
      <c r="H108" s="20"/>
      <c r="I108" s="20"/>
      <c r="J108" s="20"/>
      <c r="K108" s="20"/>
      <c r="L108" s="18">
        <v>0</v>
      </c>
      <c r="M108" t="str">
        <f t="shared" si="7"/>
        <v/>
      </c>
      <c r="N108" t="str">
        <f>IF(OR($D108="",$S108=""),"",IFERROR(MAX(0,ROUND(($D108-INDEX(Config!$C$15:$C$18,MATCH($S108,Config!$B$15:$B$18,0)))*24*60,0)),""))</f>
        <v/>
      </c>
      <c r="O108" t="str">
        <f t="shared" si="8"/>
        <v/>
      </c>
      <c r="P108" t="str">
        <f t="shared" si="9"/>
        <v/>
      </c>
      <c r="Q108" t="str">
        <f>IF(OR($P108="",$S108=""),"",IFERROR($P108-INDEX(Config!$E$15:$E$18,MATCH($S108,Config!$B$15:$B$18,0)),""))</f>
        <v/>
      </c>
      <c r="R108" t="str">
        <f t="shared" si="10"/>
        <v/>
      </c>
      <c r="S108" s="6" t="str">
        <f>IF(OR($A108="",$C108=""),"",IFERROR(INDEX(Turno!$C$3:$V$32,MATCH($C108,Turno!$B$3:$B$32,0),MATCH(DAY($A108),Turno!$C$1:$V$1,0)),""))</f>
        <v/>
      </c>
      <c r="T108" t="str">
        <f>IF(OR($E108="",$S108=""),"",IFERROR(MAX(0,ROUND((INDEX(Config!$D$15:$D$18,MATCH($S108,Config!$B$15:$B$18,0))-$E108)*1440,0)),""))</f>
        <v/>
      </c>
      <c r="U108" s="13" t="str">
        <f>IF(OR($N108="",$T108=""),"",IFERROR(MAX(0,1-($N108+$T108+MAX(0,N($Q108)))/ROUND((INDEX(Config!$D$15:$D$18,MATCH($S108,Config!$B$15:$B$18,0))-INDEX(Config!$C$15:$C$18,MATCH($S108,Config!$B$15:$B$18,0)))*1440,0)),""))</f>
        <v/>
      </c>
      <c r="V108" s="5"/>
    </row>
    <row r="109" spans="1:22" x14ac:dyDescent="0.25">
      <c r="A109" s="11"/>
      <c r="B109" s="16"/>
      <c r="C109" t="str">
        <f>IFERROR(INDEX(Ejecutivos!$B$2:$B$100,MATCH(B109,Ejecutivos!$A$2:$A$100,0)),"")</f>
        <v/>
      </c>
      <c r="D109" s="19"/>
      <c r="E109" s="21"/>
      <c r="F109" s="19"/>
      <c r="G109" s="21"/>
      <c r="H109" s="20"/>
      <c r="I109" s="20"/>
      <c r="J109" s="20"/>
      <c r="K109" s="20"/>
      <c r="L109" s="18">
        <v>0</v>
      </c>
      <c r="M109" t="str">
        <f t="shared" si="7"/>
        <v/>
      </c>
      <c r="N109" t="str">
        <f>IF(OR($D109="",$S109=""),"",IFERROR(MAX(0,ROUND(($D109-INDEX(Config!$C$15:$C$18,MATCH($S109,Config!$B$15:$B$18,0)))*24*60,0)),""))</f>
        <v/>
      </c>
      <c r="O109" t="str">
        <f t="shared" si="8"/>
        <v/>
      </c>
      <c r="P109" t="str">
        <f t="shared" si="9"/>
        <v/>
      </c>
      <c r="Q109" t="str">
        <f>IF(OR($P109="",$S109=""),"",IFERROR($P109-INDEX(Config!$E$15:$E$18,MATCH($S109,Config!$B$15:$B$18,0)),""))</f>
        <v/>
      </c>
      <c r="R109" t="str">
        <f t="shared" si="10"/>
        <v/>
      </c>
      <c r="S109" s="6" t="str">
        <f>IF(OR($A109="",$C109=""),"",IFERROR(INDEX(Turno!$C$3:$V$32,MATCH($C109,Turno!$B$3:$B$32,0),MATCH(DAY($A109),Turno!$C$1:$V$1,0)),""))</f>
        <v/>
      </c>
      <c r="T109" t="str">
        <f>IF(OR($E109="",$S109=""),"",IFERROR(MAX(0,ROUND((INDEX(Config!$D$15:$D$18,MATCH($S109,Config!$B$15:$B$18,0))-$E109)*1440,0)),""))</f>
        <v/>
      </c>
      <c r="U109" s="13" t="str">
        <f>IF(OR($N109="",$T109=""),"",IFERROR(MAX(0,1-($N109+$T109+MAX(0,N($Q109)))/ROUND((INDEX(Config!$D$15:$D$18,MATCH($S109,Config!$B$15:$B$18,0))-INDEX(Config!$C$15:$C$18,MATCH($S109,Config!$B$15:$B$18,0)))*1440,0)),""))</f>
        <v/>
      </c>
      <c r="V109" s="5"/>
    </row>
    <row r="110" spans="1:22" x14ac:dyDescent="0.25">
      <c r="A110" s="11"/>
      <c r="B110" s="16"/>
      <c r="C110" t="str">
        <f>IFERROR(INDEX(Ejecutivos!$B$2:$B$100,MATCH(B110,Ejecutivos!$A$2:$A$100,0)),"")</f>
        <v/>
      </c>
      <c r="D110" s="19"/>
      <c r="E110" s="21"/>
      <c r="F110" s="19"/>
      <c r="G110" s="21"/>
      <c r="H110" s="20"/>
      <c r="I110" s="20"/>
      <c r="J110" s="20"/>
      <c r="K110" s="20"/>
      <c r="L110" s="18">
        <v>0</v>
      </c>
      <c r="M110" t="str">
        <f t="shared" si="7"/>
        <v/>
      </c>
      <c r="N110" t="str">
        <f>IF(OR($D110="",$S110=""),"",IFERROR(MAX(0,ROUND(($D110-INDEX(Config!$C$15:$C$18,MATCH($S110,Config!$B$15:$B$18,0)))*24*60,0)),""))</f>
        <v/>
      </c>
      <c r="O110" t="str">
        <f t="shared" si="8"/>
        <v/>
      </c>
      <c r="P110" t="str">
        <f t="shared" si="9"/>
        <v/>
      </c>
      <c r="Q110" t="str">
        <f>IF(OR($P110="",$S110=""),"",IFERROR($P110-INDEX(Config!$E$15:$E$18,MATCH($S110,Config!$B$15:$B$18,0)),""))</f>
        <v/>
      </c>
      <c r="R110" t="str">
        <f t="shared" si="10"/>
        <v/>
      </c>
      <c r="S110" s="6" t="str">
        <f>IF(OR($A110="",$C110=""),"",IFERROR(INDEX(Turno!$C$3:$V$32,MATCH($C110,Turno!$B$3:$B$32,0),MATCH(DAY($A110),Turno!$C$1:$V$1,0)),""))</f>
        <v/>
      </c>
      <c r="T110" t="str">
        <f>IF(OR($E110="",$S110=""),"",IFERROR(MAX(0,ROUND((INDEX(Config!$D$15:$D$18,MATCH($S110,Config!$B$15:$B$18,0))-$E110)*1440,0)),""))</f>
        <v/>
      </c>
      <c r="U110" s="13" t="str">
        <f>IF(OR($N110="",$T110=""),"",IFERROR(MAX(0,1-($N110+$T110+MAX(0,N($Q110)))/ROUND((INDEX(Config!$D$15:$D$18,MATCH($S110,Config!$B$15:$B$18,0))-INDEX(Config!$C$15:$C$18,MATCH($S110,Config!$B$15:$B$18,0)))*1440,0)),""))</f>
        <v/>
      </c>
      <c r="V110" s="5"/>
    </row>
    <row r="111" spans="1:22" x14ac:dyDescent="0.25">
      <c r="A111" s="11"/>
      <c r="B111" s="16"/>
      <c r="C111" t="str">
        <f>IFERROR(INDEX(Ejecutivos!$B$2:$B$100,MATCH(B111,Ejecutivos!$A$2:$A$100,0)),"")</f>
        <v/>
      </c>
      <c r="D111" s="19"/>
      <c r="E111" s="21"/>
      <c r="F111" s="19"/>
      <c r="G111" s="21"/>
      <c r="H111" s="20"/>
      <c r="I111" s="20"/>
      <c r="J111" s="20"/>
      <c r="K111" s="20"/>
      <c r="L111" s="18">
        <v>0</v>
      </c>
      <c r="M111" t="str">
        <f t="shared" si="7"/>
        <v/>
      </c>
      <c r="N111" t="str">
        <f>IF(OR($D111="",$S111=""),"",IFERROR(MAX(0,ROUND(($D111-INDEX(Config!$C$15:$C$18,MATCH($S111,Config!$B$15:$B$18,0)))*24*60,0)),""))</f>
        <v/>
      </c>
      <c r="O111" t="str">
        <f t="shared" si="8"/>
        <v/>
      </c>
      <c r="P111" t="str">
        <f t="shared" si="9"/>
        <v/>
      </c>
      <c r="Q111" t="str">
        <f>IF(OR($P111="",$S111=""),"",IFERROR($P111-INDEX(Config!$E$15:$E$18,MATCH($S111,Config!$B$15:$B$18,0)),""))</f>
        <v/>
      </c>
      <c r="R111" t="str">
        <f t="shared" si="10"/>
        <v/>
      </c>
      <c r="S111" s="6" t="str">
        <f>IF(OR($A111="",$C111=""),"",IFERROR(INDEX(Turno!$C$3:$V$32,MATCH($C111,Turno!$B$3:$B$32,0),MATCH(DAY($A111),Turno!$C$1:$V$1,0)),""))</f>
        <v/>
      </c>
      <c r="T111" t="str">
        <f>IF(OR($E111="",$S111=""),"",IFERROR(MAX(0,ROUND((INDEX(Config!$D$15:$D$18,MATCH($S111,Config!$B$15:$B$18,0))-$E111)*1440,0)),""))</f>
        <v/>
      </c>
      <c r="U111" s="13" t="str">
        <f>IF(OR($N111="",$T111=""),"",IFERROR(MAX(0,1-($N111+$T111+MAX(0,N($Q111)))/ROUND((INDEX(Config!$D$15:$D$18,MATCH($S111,Config!$B$15:$B$18,0))-INDEX(Config!$C$15:$C$18,MATCH($S111,Config!$B$15:$B$18,0)))*1440,0)),""))</f>
        <v/>
      </c>
      <c r="V111" s="5"/>
    </row>
    <row r="112" spans="1:22" x14ac:dyDescent="0.25">
      <c r="A112" s="11"/>
      <c r="B112" s="16"/>
      <c r="C112" t="str">
        <f>IFERROR(INDEX(Ejecutivos!$B$2:$B$100,MATCH(B112,Ejecutivos!$A$2:$A$100,0)),"")</f>
        <v/>
      </c>
      <c r="D112" s="19"/>
      <c r="E112" s="21"/>
      <c r="F112" s="19"/>
      <c r="G112" s="21"/>
      <c r="H112" s="20"/>
      <c r="I112" s="20"/>
      <c r="J112" s="20"/>
      <c r="K112" s="20"/>
      <c r="L112" s="18">
        <v>0</v>
      </c>
      <c r="M112" t="str">
        <f t="shared" si="7"/>
        <v/>
      </c>
      <c r="N112" t="str">
        <f>IF(OR($D112="",$S112=""),"",IFERROR(MAX(0,ROUND(($D112-INDEX(Config!$C$15:$C$18,MATCH($S112,Config!$B$15:$B$18,0)))*24*60,0)),""))</f>
        <v/>
      </c>
      <c r="O112" t="str">
        <f t="shared" si="8"/>
        <v/>
      </c>
      <c r="P112" t="str">
        <f t="shared" si="9"/>
        <v/>
      </c>
      <c r="Q112" t="str">
        <f>IF(OR($P112="",$S112=""),"",IFERROR($P112-INDEX(Config!$E$15:$E$18,MATCH($S112,Config!$B$15:$B$18,0)),""))</f>
        <v/>
      </c>
      <c r="R112" t="str">
        <f t="shared" si="10"/>
        <v/>
      </c>
      <c r="S112" s="6" t="str">
        <f>IF(OR($A112="",$C112=""),"",IFERROR(INDEX(Turno!$C$3:$V$32,MATCH($C112,Turno!$B$3:$B$32,0),MATCH(DAY($A112),Turno!$C$1:$V$1,0)),""))</f>
        <v/>
      </c>
      <c r="T112" t="str">
        <f>IF(OR($E112="",$S112=""),"",IFERROR(MAX(0,ROUND((INDEX(Config!$D$15:$D$18,MATCH($S112,Config!$B$15:$B$18,0))-$E112)*1440,0)),""))</f>
        <v/>
      </c>
      <c r="U112" s="13" t="str">
        <f>IF(OR($N112="",$T112=""),"",IFERROR(MAX(0,1-($N112+$T112+MAX(0,N($Q112)))/ROUND((INDEX(Config!$D$15:$D$18,MATCH($S112,Config!$B$15:$B$18,0))-INDEX(Config!$C$15:$C$18,MATCH($S112,Config!$B$15:$B$18,0)))*1440,0)),""))</f>
        <v/>
      </c>
      <c r="V112" s="5"/>
    </row>
    <row r="113" spans="1:22" x14ac:dyDescent="0.25">
      <c r="A113" s="11"/>
      <c r="B113" s="16"/>
      <c r="C113" t="str">
        <f>IFERROR(INDEX(Ejecutivos!$B$2:$B$100,MATCH(B113,Ejecutivos!$A$2:$A$100,0)),"")</f>
        <v/>
      </c>
      <c r="D113" s="19"/>
      <c r="E113" s="21"/>
      <c r="F113" s="19"/>
      <c r="G113" s="21"/>
      <c r="H113" s="20"/>
      <c r="I113" s="20"/>
      <c r="J113" s="20"/>
      <c r="K113" s="20"/>
      <c r="L113" s="18">
        <v>0</v>
      </c>
      <c r="M113" t="str">
        <f t="shared" si="7"/>
        <v/>
      </c>
      <c r="N113" t="str">
        <f>IF(OR($D113="",$S113=""),"",IFERROR(MAX(0,ROUND(($D113-INDEX(Config!$C$15:$C$18,MATCH($S113,Config!$B$15:$B$18,0)))*24*60,0)),""))</f>
        <v/>
      </c>
      <c r="O113" t="str">
        <f t="shared" si="8"/>
        <v/>
      </c>
      <c r="P113" t="str">
        <f t="shared" si="9"/>
        <v/>
      </c>
      <c r="Q113" t="str">
        <f>IF(OR($P113="",$S113=""),"",IFERROR($P113-INDEX(Config!$E$15:$E$18,MATCH($S113,Config!$B$15:$B$18,0)),""))</f>
        <v/>
      </c>
      <c r="R113" t="str">
        <f t="shared" si="10"/>
        <v/>
      </c>
      <c r="S113" s="6" t="str">
        <f>IF(OR($A113="",$C113=""),"",IFERROR(INDEX(Turno!$C$3:$V$32,MATCH($C113,Turno!$B$3:$B$32,0),MATCH(DAY($A113),Turno!$C$1:$V$1,0)),""))</f>
        <v/>
      </c>
      <c r="T113" t="str">
        <f>IF(OR($E113="",$S113=""),"",IFERROR(MAX(0,ROUND((INDEX(Config!$D$15:$D$18,MATCH($S113,Config!$B$15:$B$18,0))-$E113)*1440,0)),""))</f>
        <v/>
      </c>
      <c r="U113" s="13" t="str">
        <f>IF(OR($N113="",$T113=""),"",IFERROR(MAX(0,1-($N113+$T113+MAX(0,N($Q113)))/ROUND((INDEX(Config!$D$15:$D$18,MATCH($S113,Config!$B$15:$B$18,0))-INDEX(Config!$C$15:$C$18,MATCH($S113,Config!$B$15:$B$18,0)))*1440,0)),""))</f>
        <v/>
      </c>
      <c r="V113" s="5"/>
    </row>
    <row r="114" spans="1:22" x14ac:dyDescent="0.25">
      <c r="A114" s="11"/>
      <c r="B114" s="16"/>
      <c r="C114" t="str">
        <f>IFERROR(INDEX(Ejecutivos!$B$2:$B$100,MATCH(B114,Ejecutivos!$A$2:$A$100,0)),"")</f>
        <v/>
      </c>
      <c r="D114" s="19"/>
      <c r="E114" s="21"/>
      <c r="F114" s="19"/>
      <c r="G114" s="21"/>
      <c r="H114" s="20"/>
      <c r="I114" s="20"/>
      <c r="J114" s="20"/>
      <c r="K114" s="20"/>
      <c r="L114" s="18">
        <v>0</v>
      </c>
      <c r="M114" t="str">
        <f t="shared" si="7"/>
        <v/>
      </c>
      <c r="N114" t="str">
        <f>IF(OR($D114="",$S114=""),"",IFERROR(MAX(0,ROUND(($D114-INDEX(Config!$C$15:$C$18,MATCH($S114,Config!$B$15:$B$18,0)))*24*60,0)),""))</f>
        <v/>
      </c>
      <c r="O114" t="str">
        <f t="shared" si="8"/>
        <v/>
      </c>
      <c r="P114" t="str">
        <f t="shared" si="9"/>
        <v/>
      </c>
      <c r="Q114" t="str">
        <f>IF(OR($P114="",$S114=""),"",IFERROR($P114-INDEX(Config!$E$15:$E$18,MATCH($S114,Config!$B$15:$B$18,0)),""))</f>
        <v/>
      </c>
      <c r="R114" t="str">
        <f t="shared" si="10"/>
        <v/>
      </c>
      <c r="S114" s="6" t="str">
        <f>IF(OR($A114="",$C114=""),"",IFERROR(INDEX(Turno!$C$3:$V$32,MATCH($C114,Turno!$B$3:$B$32,0),MATCH(DAY($A114),Turno!$C$1:$V$1,0)),""))</f>
        <v/>
      </c>
      <c r="T114" t="str">
        <f>IF(OR($E114="",$S114=""),"",IFERROR(MAX(0,ROUND((INDEX(Config!$D$15:$D$18,MATCH($S114,Config!$B$15:$B$18,0))-$E114)*1440,0)),""))</f>
        <v/>
      </c>
      <c r="U114" s="13" t="str">
        <f>IF(OR($N114="",$T114=""),"",IFERROR(MAX(0,1-($N114+$T114+MAX(0,N($Q114)))/ROUND((INDEX(Config!$D$15:$D$18,MATCH($S114,Config!$B$15:$B$18,0))-INDEX(Config!$C$15:$C$18,MATCH($S114,Config!$B$15:$B$18,0)))*1440,0)),""))</f>
        <v/>
      </c>
      <c r="V114" s="5"/>
    </row>
    <row r="115" spans="1:22" x14ac:dyDescent="0.25">
      <c r="A115" s="11"/>
      <c r="B115" s="16"/>
      <c r="C115" t="str">
        <f>IFERROR(INDEX(Ejecutivos!$B$2:$B$100,MATCH(B115,Ejecutivos!$A$2:$A$100,0)),"")</f>
        <v/>
      </c>
      <c r="D115" s="19"/>
      <c r="E115" s="21"/>
      <c r="F115" s="19"/>
      <c r="G115" s="21"/>
      <c r="H115" s="20"/>
      <c r="I115" s="20"/>
      <c r="J115" s="20"/>
      <c r="K115" s="20"/>
      <c r="L115" s="18">
        <v>0</v>
      </c>
      <c r="M115" t="str">
        <f t="shared" si="7"/>
        <v/>
      </c>
      <c r="N115" t="str">
        <f>IF(OR($D115="",$S115=""),"",IFERROR(MAX(0,ROUND(($D115-INDEX(Config!$C$15:$C$18,MATCH($S115,Config!$B$15:$B$18,0)))*24*60,0)),""))</f>
        <v/>
      </c>
      <c r="O115" t="str">
        <f t="shared" si="8"/>
        <v/>
      </c>
      <c r="P115" t="str">
        <f t="shared" si="9"/>
        <v/>
      </c>
      <c r="Q115" t="str">
        <f>IF(OR($P115="",$S115=""),"",IFERROR($P115-INDEX(Config!$E$15:$E$18,MATCH($S115,Config!$B$15:$B$18,0)),""))</f>
        <v/>
      </c>
      <c r="R115" t="str">
        <f t="shared" si="10"/>
        <v/>
      </c>
      <c r="S115" s="6" t="str">
        <f>IF(OR($A115="",$C115=""),"",IFERROR(INDEX(Turno!$C$3:$V$32,MATCH($C115,Turno!$B$3:$B$32,0),MATCH(DAY($A115),Turno!$C$1:$V$1,0)),""))</f>
        <v/>
      </c>
      <c r="T115" t="str">
        <f>IF(OR($E115="",$S115=""),"",IFERROR(MAX(0,ROUND((INDEX(Config!$D$15:$D$18,MATCH($S115,Config!$B$15:$B$18,0))-$E115)*1440,0)),""))</f>
        <v/>
      </c>
      <c r="U115" s="13" t="str">
        <f>IF(OR($N115="",$T115=""),"",IFERROR(MAX(0,1-($N115+$T115+MAX(0,N($Q115)))/ROUND((INDEX(Config!$D$15:$D$18,MATCH($S115,Config!$B$15:$B$18,0))-INDEX(Config!$C$15:$C$18,MATCH($S115,Config!$B$15:$B$18,0)))*1440,0)),""))</f>
        <v/>
      </c>
      <c r="V115" s="5"/>
    </row>
    <row r="116" spans="1:22" x14ac:dyDescent="0.25">
      <c r="A116" s="11"/>
      <c r="B116" s="16"/>
      <c r="C116" t="str">
        <f>IFERROR(INDEX(Ejecutivos!$B$2:$B$100,MATCH(B116,Ejecutivos!$A$2:$A$100,0)),"")</f>
        <v/>
      </c>
      <c r="D116" s="19"/>
      <c r="E116" s="21"/>
      <c r="F116" s="19"/>
      <c r="G116" s="21"/>
      <c r="H116" s="20"/>
      <c r="I116" s="20"/>
      <c r="J116" s="20"/>
      <c r="K116" s="20"/>
      <c r="L116" s="18">
        <v>0</v>
      </c>
      <c r="M116" t="str">
        <f t="shared" si="7"/>
        <v/>
      </c>
      <c r="N116" t="str">
        <f>IF(OR($D116="",$S116=""),"",IFERROR(MAX(0,ROUND(($D116-INDEX(Config!$C$15:$C$18,MATCH($S116,Config!$B$15:$B$18,0)))*24*60,0)),""))</f>
        <v/>
      </c>
      <c r="O116" t="str">
        <f t="shared" si="8"/>
        <v/>
      </c>
      <c r="P116" t="str">
        <f t="shared" si="9"/>
        <v/>
      </c>
      <c r="Q116" t="str">
        <f>IF(OR($P116="",$S116=""),"",IFERROR($P116-INDEX(Config!$E$15:$E$18,MATCH($S116,Config!$B$15:$B$18,0)),""))</f>
        <v/>
      </c>
      <c r="R116" t="str">
        <f t="shared" si="10"/>
        <v/>
      </c>
      <c r="S116" s="6" t="str">
        <f>IF(OR($A116="",$C116=""),"",IFERROR(INDEX(Turno!$C$3:$V$32,MATCH($C116,Turno!$B$3:$B$32,0),MATCH(DAY($A116),Turno!$C$1:$V$1,0)),""))</f>
        <v/>
      </c>
      <c r="T116" t="str">
        <f>IF(OR($E116="",$S116=""),"",IFERROR(MAX(0,ROUND((INDEX(Config!$D$15:$D$18,MATCH($S116,Config!$B$15:$B$18,0))-$E116)*1440,0)),""))</f>
        <v/>
      </c>
      <c r="U116" s="13" t="str">
        <f>IF(OR($N116="",$T116=""),"",IFERROR(MAX(0,1-($N116+$T116+MAX(0,N($Q116)))/ROUND((INDEX(Config!$D$15:$D$18,MATCH($S116,Config!$B$15:$B$18,0))-INDEX(Config!$C$15:$C$18,MATCH($S116,Config!$B$15:$B$18,0)))*1440,0)),""))</f>
        <v/>
      </c>
      <c r="V116" s="5"/>
    </row>
    <row r="117" spans="1:22" x14ac:dyDescent="0.25">
      <c r="A117" s="11"/>
      <c r="B117" s="16"/>
      <c r="C117" t="str">
        <f>IFERROR(INDEX(Ejecutivos!$B$2:$B$100,MATCH(B117,Ejecutivos!$A$2:$A$100,0)),"")</f>
        <v/>
      </c>
      <c r="D117" s="19"/>
      <c r="E117" s="21"/>
      <c r="F117" s="19"/>
      <c r="G117" s="21"/>
      <c r="H117" s="20"/>
      <c r="I117" s="20"/>
      <c r="J117" s="20"/>
      <c r="K117" s="20"/>
      <c r="L117" s="18">
        <v>0</v>
      </c>
      <c r="M117" t="str">
        <f t="shared" ref="M117:M180" si="11">IF(OR(D117="",E117=""),"",ROUND(((E117-D117)*24)-((G117-F117)*24)-((H117+I117)/60),2))</f>
        <v/>
      </c>
      <c r="N117" t="str">
        <f>IF(OR($D117="",$S117=""),"",IFERROR(MAX(0,ROUND(($D117-INDEX(Config!$C$15:$C$18,MATCH($S117,Config!$B$15:$B$18,0)))*24*60,0)),""))</f>
        <v/>
      </c>
      <c r="O117" t="str">
        <f t="shared" ref="O117:O180" si="12">IF(OR(F117="",G117=""),"",ROUND((G117-F117)*24*60,0))</f>
        <v/>
      </c>
      <c r="P117" t="str">
        <f t="shared" ref="P117:P180" si="13">IF(O117="","",O117+H117+I117)</f>
        <v/>
      </c>
      <c r="Q117" t="str">
        <f>IF(OR($P117="",$S117=""),"",IFERROR($P117-INDEX(Config!$E$15:$E$18,MATCH($S117,Config!$B$15:$B$18,0)),""))</f>
        <v/>
      </c>
      <c r="R117" t="str">
        <f t="shared" ref="R117:R180" si="14">IF($A117="","",IF($D117="","Ausente",IF($N117="","",IF($N117&gt;0,"Atrasado","Puntual"))))</f>
        <v/>
      </c>
      <c r="S117" s="6" t="str">
        <f>IF(OR($A117="",$C117=""),"",IFERROR(INDEX(Turno!$C$3:$V$32,MATCH($C117,Turno!$B$3:$B$32,0),MATCH(DAY($A117),Turno!$C$1:$V$1,0)),""))</f>
        <v/>
      </c>
      <c r="T117" t="str">
        <f>IF(OR($E117="",$S117=""),"",IFERROR(MAX(0,ROUND((INDEX(Config!$D$15:$D$18,MATCH($S117,Config!$B$15:$B$18,0))-$E117)*1440,0)),""))</f>
        <v/>
      </c>
      <c r="U117" s="13" t="str">
        <f>IF(OR($N117="",$T117=""),"",IFERROR(MAX(0,1-($N117+$T117+MAX(0,N($Q117)))/ROUND((INDEX(Config!$D$15:$D$18,MATCH($S117,Config!$B$15:$B$18,0))-INDEX(Config!$C$15:$C$18,MATCH($S117,Config!$B$15:$B$18,0)))*1440,0)),""))</f>
        <v/>
      </c>
      <c r="V117" s="5"/>
    </row>
    <row r="118" spans="1:22" x14ac:dyDescent="0.25">
      <c r="A118" s="11"/>
      <c r="B118" s="16"/>
      <c r="C118" t="str">
        <f>IFERROR(INDEX(Ejecutivos!$B$2:$B$100,MATCH(B118,Ejecutivos!$A$2:$A$100,0)),"")</f>
        <v/>
      </c>
      <c r="D118" s="19"/>
      <c r="E118" s="21"/>
      <c r="F118" s="19"/>
      <c r="G118" s="21"/>
      <c r="H118" s="20"/>
      <c r="I118" s="20"/>
      <c r="J118" s="20"/>
      <c r="K118" s="20"/>
      <c r="L118" s="18">
        <v>0</v>
      </c>
      <c r="M118" t="str">
        <f t="shared" si="11"/>
        <v/>
      </c>
      <c r="N118" t="str">
        <f>IF(OR($D118="",$S118=""),"",IFERROR(MAX(0,ROUND(($D118-INDEX(Config!$C$15:$C$18,MATCH($S118,Config!$B$15:$B$18,0)))*24*60,0)),""))</f>
        <v/>
      </c>
      <c r="O118" t="str">
        <f t="shared" si="12"/>
        <v/>
      </c>
      <c r="P118" t="str">
        <f t="shared" si="13"/>
        <v/>
      </c>
      <c r="Q118" t="str">
        <f>IF(OR($P118="",$S118=""),"",IFERROR($P118-INDEX(Config!$E$15:$E$18,MATCH($S118,Config!$B$15:$B$18,0)),""))</f>
        <v/>
      </c>
      <c r="R118" t="str">
        <f t="shared" si="14"/>
        <v/>
      </c>
      <c r="S118" s="6" t="str">
        <f>IF(OR($A118="",$C118=""),"",IFERROR(INDEX(Turno!$C$3:$V$32,MATCH($C118,Turno!$B$3:$B$32,0),MATCH(DAY($A118),Turno!$C$1:$V$1,0)),""))</f>
        <v/>
      </c>
      <c r="T118" t="str">
        <f>IF(OR($E118="",$S118=""),"",IFERROR(MAX(0,ROUND((INDEX(Config!$D$15:$D$18,MATCH($S118,Config!$B$15:$B$18,0))-$E118)*1440,0)),""))</f>
        <v/>
      </c>
      <c r="U118" s="13" t="str">
        <f>IF(OR($N118="",$T118=""),"",IFERROR(MAX(0,1-($N118+$T118+MAX(0,N($Q118)))/ROUND((INDEX(Config!$D$15:$D$18,MATCH($S118,Config!$B$15:$B$18,0))-INDEX(Config!$C$15:$C$18,MATCH($S118,Config!$B$15:$B$18,0)))*1440,0)),""))</f>
        <v/>
      </c>
      <c r="V118" s="5"/>
    </row>
    <row r="119" spans="1:22" x14ac:dyDescent="0.25">
      <c r="A119" s="11"/>
      <c r="B119" s="16"/>
      <c r="C119" t="str">
        <f>IFERROR(INDEX(Ejecutivos!$B$2:$B$100,MATCH(B119,Ejecutivos!$A$2:$A$100,0)),"")</f>
        <v/>
      </c>
      <c r="D119" s="19"/>
      <c r="E119" s="21"/>
      <c r="F119" s="19"/>
      <c r="G119" s="21"/>
      <c r="H119" s="20"/>
      <c r="I119" s="20"/>
      <c r="J119" s="20"/>
      <c r="K119" s="20"/>
      <c r="L119" s="18">
        <v>0</v>
      </c>
      <c r="M119" t="str">
        <f t="shared" si="11"/>
        <v/>
      </c>
      <c r="N119" t="str">
        <f>IF(OR($D119="",$S119=""),"",IFERROR(MAX(0,ROUND(($D119-INDEX(Config!$C$15:$C$18,MATCH($S119,Config!$B$15:$B$18,0)))*24*60,0)),""))</f>
        <v/>
      </c>
      <c r="O119" t="str">
        <f t="shared" si="12"/>
        <v/>
      </c>
      <c r="P119" t="str">
        <f t="shared" si="13"/>
        <v/>
      </c>
      <c r="Q119" t="str">
        <f>IF(OR($P119="",$S119=""),"",IFERROR($P119-INDEX(Config!$E$15:$E$18,MATCH($S119,Config!$B$15:$B$18,0)),""))</f>
        <v/>
      </c>
      <c r="R119" t="str">
        <f t="shared" si="14"/>
        <v/>
      </c>
      <c r="S119" s="6" t="str">
        <f>IF(OR($A119="",$C119=""),"",IFERROR(INDEX(Turno!$C$3:$V$32,MATCH($C119,Turno!$B$3:$B$32,0),MATCH(DAY($A119),Turno!$C$1:$V$1,0)),""))</f>
        <v/>
      </c>
      <c r="T119" t="str">
        <f>IF(OR($E119="",$S119=""),"",IFERROR(MAX(0,ROUND((INDEX(Config!$D$15:$D$18,MATCH($S119,Config!$B$15:$B$18,0))-$E119)*1440,0)),""))</f>
        <v/>
      </c>
      <c r="U119" s="13" t="str">
        <f>IF(OR($N119="",$T119=""),"",IFERROR(MAX(0,1-($N119+$T119+MAX(0,N($Q119)))/ROUND((INDEX(Config!$D$15:$D$18,MATCH($S119,Config!$B$15:$B$18,0))-INDEX(Config!$C$15:$C$18,MATCH($S119,Config!$B$15:$B$18,0)))*1440,0)),""))</f>
        <v/>
      </c>
      <c r="V119" s="5"/>
    </row>
    <row r="120" spans="1:22" x14ac:dyDescent="0.25">
      <c r="A120" s="11"/>
      <c r="B120" s="16"/>
      <c r="C120" t="str">
        <f>IFERROR(INDEX(Ejecutivos!$B$2:$B$100,MATCH(B120,Ejecutivos!$A$2:$A$100,0)),"")</f>
        <v/>
      </c>
      <c r="D120" s="19"/>
      <c r="E120" s="21"/>
      <c r="F120" s="19"/>
      <c r="G120" s="21"/>
      <c r="H120" s="20"/>
      <c r="I120" s="20"/>
      <c r="J120" s="20"/>
      <c r="K120" s="20"/>
      <c r="L120" s="18">
        <v>0</v>
      </c>
      <c r="M120" t="str">
        <f t="shared" si="11"/>
        <v/>
      </c>
      <c r="N120" t="str">
        <f>IF(OR($D120="",$S120=""),"",IFERROR(MAX(0,ROUND(($D120-INDEX(Config!$C$15:$C$18,MATCH($S120,Config!$B$15:$B$18,0)))*24*60,0)),""))</f>
        <v/>
      </c>
      <c r="O120" t="str">
        <f t="shared" si="12"/>
        <v/>
      </c>
      <c r="P120" t="str">
        <f t="shared" si="13"/>
        <v/>
      </c>
      <c r="Q120" t="str">
        <f>IF(OR($P120="",$S120=""),"",IFERROR($P120-INDEX(Config!$E$15:$E$18,MATCH($S120,Config!$B$15:$B$18,0)),""))</f>
        <v/>
      </c>
      <c r="R120" t="str">
        <f t="shared" si="14"/>
        <v/>
      </c>
      <c r="S120" s="6" t="str">
        <f>IF(OR($A120="",$C120=""),"",IFERROR(INDEX(Turno!$C$3:$V$32,MATCH($C120,Turno!$B$3:$B$32,0),MATCH(DAY($A120),Turno!$C$1:$V$1,0)),""))</f>
        <v/>
      </c>
      <c r="T120" t="str">
        <f>IF(OR($E120="",$S120=""),"",IFERROR(MAX(0,ROUND((INDEX(Config!$D$15:$D$18,MATCH($S120,Config!$B$15:$B$18,0))-$E120)*1440,0)),""))</f>
        <v/>
      </c>
      <c r="U120" s="13" t="str">
        <f>IF(OR($N120="",$T120=""),"",IFERROR(MAX(0,1-($N120+$T120+MAX(0,N($Q120)))/ROUND((INDEX(Config!$D$15:$D$18,MATCH($S120,Config!$B$15:$B$18,0))-INDEX(Config!$C$15:$C$18,MATCH($S120,Config!$B$15:$B$18,0)))*1440,0)),""))</f>
        <v/>
      </c>
      <c r="V120" s="5"/>
    </row>
    <row r="121" spans="1:22" x14ac:dyDescent="0.25">
      <c r="A121" s="11"/>
      <c r="B121" s="16"/>
      <c r="C121" t="str">
        <f>IFERROR(INDEX(Ejecutivos!$B$2:$B$100,MATCH(B121,Ejecutivos!$A$2:$A$100,0)),"")</f>
        <v/>
      </c>
      <c r="D121" s="19"/>
      <c r="E121" s="21"/>
      <c r="F121" s="19"/>
      <c r="G121" s="21"/>
      <c r="H121" s="20"/>
      <c r="I121" s="20"/>
      <c r="J121" s="20"/>
      <c r="K121" s="20"/>
      <c r="L121" s="18">
        <v>0</v>
      </c>
      <c r="M121" t="str">
        <f t="shared" si="11"/>
        <v/>
      </c>
      <c r="N121" t="str">
        <f>IF(OR($D121="",$S121=""),"",IFERROR(MAX(0,ROUND(($D121-INDEX(Config!$C$15:$C$18,MATCH($S121,Config!$B$15:$B$18,0)))*24*60,0)),""))</f>
        <v/>
      </c>
      <c r="O121" t="str">
        <f t="shared" si="12"/>
        <v/>
      </c>
      <c r="P121" t="str">
        <f t="shared" si="13"/>
        <v/>
      </c>
      <c r="Q121" t="str">
        <f>IF(OR($P121="",$S121=""),"",IFERROR($P121-INDEX(Config!$E$15:$E$18,MATCH($S121,Config!$B$15:$B$18,0)),""))</f>
        <v/>
      </c>
      <c r="R121" t="str">
        <f t="shared" si="14"/>
        <v/>
      </c>
      <c r="S121" s="6" t="str">
        <f>IF(OR($A121="",$C121=""),"",IFERROR(INDEX(Turno!$C$3:$V$32,MATCH($C121,Turno!$B$3:$B$32,0),MATCH(DAY($A121),Turno!$C$1:$V$1,0)),""))</f>
        <v/>
      </c>
      <c r="T121" t="str">
        <f>IF(OR($E121="",$S121=""),"",IFERROR(MAX(0,ROUND((INDEX(Config!$D$15:$D$18,MATCH($S121,Config!$B$15:$B$18,0))-$E121)*1440,0)),""))</f>
        <v/>
      </c>
      <c r="U121" s="13" t="str">
        <f>IF(OR($N121="",$T121=""),"",IFERROR(MAX(0,1-($N121+$T121+MAX(0,N($Q121)))/ROUND((INDEX(Config!$D$15:$D$18,MATCH($S121,Config!$B$15:$B$18,0))-INDEX(Config!$C$15:$C$18,MATCH($S121,Config!$B$15:$B$18,0)))*1440,0)),""))</f>
        <v/>
      </c>
      <c r="V121" s="5"/>
    </row>
    <row r="122" spans="1:22" x14ac:dyDescent="0.25">
      <c r="A122" s="11"/>
      <c r="B122" s="16"/>
      <c r="C122" t="str">
        <f>IFERROR(INDEX(Ejecutivos!$B$2:$B$100,MATCH(B122,Ejecutivos!$A$2:$A$100,0)),"")</f>
        <v/>
      </c>
      <c r="D122" s="19"/>
      <c r="E122" s="21"/>
      <c r="F122" s="19"/>
      <c r="G122" s="21"/>
      <c r="H122" s="20"/>
      <c r="I122" s="20"/>
      <c r="J122" s="20"/>
      <c r="K122" s="20"/>
      <c r="L122" s="18">
        <v>0</v>
      </c>
      <c r="M122" t="str">
        <f t="shared" si="11"/>
        <v/>
      </c>
      <c r="N122" t="str">
        <f>IF(OR($D122="",$S122=""),"",IFERROR(MAX(0,ROUND(($D122-INDEX(Config!$C$15:$C$18,MATCH($S122,Config!$B$15:$B$18,0)))*24*60,0)),""))</f>
        <v/>
      </c>
      <c r="O122" t="str">
        <f t="shared" si="12"/>
        <v/>
      </c>
      <c r="P122" t="str">
        <f t="shared" si="13"/>
        <v/>
      </c>
      <c r="Q122" t="str">
        <f>IF(OR($P122="",$S122=""),"",IFERROR($P122-INDEX(Config!$E$15:$E$18,MATCH($S122,Config!$B$15:$B$18,0)),""))</f>
        <v/>
      </c>
      <c r="R122" t="str">
        <f t="shared" si="14"/>
        <v/>
      </c>
      <c r="S122" s="6" t="str">
        <f>IF(OR($A122="",$C122=""),"",IFERROR(INDEX(Turno!$C$3:$V$32,MATCH($C122,Turno!$B$3:$B$32,0),MATCH(DAY($A122),Turno!$C$1:$V$1,0)),""))</f>
        <v/>
      </c>
      <c r="T122" t="str">
        <f>IF(OR($E122="",$S122=""),"",IFERROR(MAX(0,ROUND((INDEX(Config!$D$15:$D$18,MATCH($S122,Config!$B$15:$B$18,0))-$E122)*1440,0)),""))</f>
        <v/>
      </c>
      <c r="U122" s="13" t="str">
        <f>IF(OR($N122="",$T122=""),"",IFERROR(MAX(0,1-($N122+$T122+MAX(0,N($Q122)))/ROUND((INDEX(Config!$D$15:$D$18,MATCH($S122,Config!$B$15:$B$18,0))-INDEX(Config!$C$15:$C$18,MATCH($S122,Config!$B$15:$B$18,0)))*1440,0)),""))</f>
        <v/>
      </c>
      <c r="V122" s="5"/>
    </row>
    <row r="123" spans="1:22" x14ac:dyDescent="0.25">
      <c r="A123" s="11"/>
      <c r="B123" s="16"/>
      <c r="C123" t="str">
        <f>IFERROR(INDEX(Ejecutivos!$B$2:$B$100,MATCH(B123,Ejecutivos!$A$2:$A$100,0)),"")</f>
        <v/>
      </c>
      <c r="D123" s="19"/>
      <c r="E123" s="21"/>
      <c r="F123" s="19"/>
      <c r="G123" s="21"/>
      <c r="H123" s="20"/>
      <c r="I123" s="20"/>
      <c r="J123" s="20"/>
      <c r="K123" s="20"/>
      <c r="L123" s="18">
        <v>0</v>
      </c>
      <c r="M123" t="str">
        <f t="shared" si="11"/>
        <v/>
      </c>
      <c r="N123" t="str">
        <f>IF(OR($D123="",$S123=""),"",IFERROR(MAX(0,ROUND(($D123-INDEX(Config!$C$15:$C$18,MATCH($S123,Config!$B$15:$B$18,0)))*24*60,0)),""))</f>
        <v/>
      </c>
      <c r="O123" t="str">
        <f t="shared" si="12"/>
        <v/>
      </c>
      <c r="P123" t="str">
        <f t="shared" si="13"/>
        <v/>
      </c>
      <c r="Q123" t="str">
        <f>IF(OR($P123="",$S123=""),"",IFERROR($P123-INDEX(Config!$E$15:$E$18,MATCH($S123,Config!$B$15:$B$18,0)),""))</f>
        <v/>
      </c>
      <c r="R123" t="str">
        <f t="shared" si="14"/>
        <v/>
      </c>
      <c r="S123" s="6" t="str">
        <f>IF(OR($A123="",$C123=""),"",IFERROR(INDEX(Turno!$C$3:$V$32,MATCH($C123,Turno!$B$3:$B$32,0),MATCH(DAY($A123),Turno!$C$1:$V$1,0)),""))</f>
        <v/>
      </c>
      <c r="T123" t="str">
        <f>IF(OR($E123="",$S123=""),"",IFERROR(MAX(0,ROUND((INDEX(Config!$D$15:$D$18,MATCH($S123,Config!$B$15:$B$18,0))-$E123)*1440,0)),""))</f>
        <v/>
      </c>
      <c r="U123" s="13" t="str">
        <f>IF(OR($N123="",$T123=""),"",IFERROR(MAX(0,1-($N123+$T123+MAX(0,N($Q123)))/ROUND((INDEX(Config!$D$15:$D$18,MATCH($S123,Config!$B$15:$B$18,0))-INDEX(Config!$C$15:$C$18,MATCH($S123,Config!$B$15:$B$18,0)))*1440,0)),""))</f>
        <v/>
      </c>
      <c r="V123" s="5"/>
    </row>
    <row r="124" spans="1:22" x14ac:dyDescent="0.25">
      <c r="A124" s="11"/>
      <c r="B124" s="16"/>
      <c r="C124" t="str">
        <f>IFERROR(INDEX(Ejecutivos!$B$2:$B$100,MATCH(B124,Ejecutivos!$A$2:$A$100,0)),"")</f>
        <v/>
      </c>
      <c r="D124" s="19"/>
      <c r="E124" s="21"/>
      <c r="F124" s="19"/>
      <c r="G124" s="21"/>
      <c r="H124" s="20"/>
      <c r="I124" s="20"/>
      <c r="J124" s="20"/>
      <c r="K124" s="20"/>
      <c r="L124" s="18">
        <v>0</v>
      </c>
      <c r="M124" t="str">
        <f t="shared" si="11"/>
        <v/>
      </c>
      <c r="N124" t="str">
        <f>IF(OR($D124="",$S124=""),"",IFERROR(MAX(0,ROUND(($D124-INDEX(Config!$C$15:$C$18,MATCH($S124,Config!$B$15:$B$18,0)))*24*60,0)),""))</f>
        <v/>
      </c>
      <c r="O124" t="str">
        <f t="shared" si="12"/>
        <v/>
      </c>
      <c r="P124" t="str">
        <f t="shared" si="13"/>
        <v/>
      </c>
      <c r="Q124" t="str">
        <f>IF(OR($P124="",$S124=""),"",IFERROR($P124-INDEX(Config!$E$15:$E$18,MATCH($S124,Config!$B$15:$B$18,0)),""))</f>
        <v/>
      </c>
      <c r="R124" t="str">
        <f t="shared" si="14"/>
        <v/>
      </c>
      <c r="S124" s="6" t="str">
        <f>IF(OR($A124="",$C124=""),"",IFERROR(INDEX(Turno!$C$3:$V$32,MATCH($C124,Turno!$B$3:$B$32,0),MATCH(DAY($A124),Turno!$C$1:$V$1,0)),""))</f>
        <v/>
      </c>
      <c r="T124" t="str">
        <f>IF(OR($E124="",$S124=""),"",IFERROR(MAX(0,ROUND((INDEX(Config!$D$15:$D$18,MATCH($S124,Config!$B$15:$B$18,0))-$E124)*1440,0)),""))</f>
        <v/>
      </c>
      <c r="U124" s="13" t="str">
        <f>IF(OR($N124="",$T124=""),"",IFERROR(MAX(0,1-($N124+$T124+MAX(0,N($Q124)))/ROUND((INDEX(Config!$D$15:$D$18,MATCH($S124,Config!$B$15:$B$18,0))-INDEX(Config!$C$15:$C$18,MATCH($S124,Config!$B$15:$B$18,0)))*1440,0)),""))</f>
        <v/>
      </c>
      <c r="V124" s="5"/>
    </row>
    <row r="125" spans="1:22" x14ac:dyDescent="0.25">
      <c r="A125" s="11"/>
      <c r="B125" s="16"/>
      <c r="C125" t="str">
        <f>IFERROR(INDEX(Ejecutivos!$B$2:$B$100,MATCH(B125,Ejecutivos!$A$2:$A$100,0)),"")</f>
        <v/>
      </c>
      <c r="D125" s="19"/>
      <c r="E125" s="21"/>
      <c r="F125" s="19"/>
      <c r="G125" s="21"/>
      <c r="H125" s="20"/>
      <c r="I125" s="20"/>
      <c r="J125" s="20"/>
      <c r="K125" s="20"/>
      <c r="L125" s="18">
        <v>0</v>
      </c>
      <c r="M125" t="str">
        <f t="shared" si="11"/>
        <v/>
      </c>
      <c r="N125" t="str">
        <f>IF(OR($D125="",$S125=""),"",IFERROR(MAX(0,ROUND(($D125-INDEX(Config!$C$15:$C$18,MATCH($S125,Config!$B$15:$B$18,0)))*24*60,0)),""))</f>
        <v/>
      </c>
      <c r="O125" t="str">
        <f t="shared" si="12"/>
        <v/>
      </c>
      <c r="P125" t="str">
        <f t="shared" si="13"/>
        <v/>
      </c>
      <c r="Q125" t="str">
        <f>IF(OR($P125="",$S125=""),"",IFERROR($P125-INDEX(Config!$E$15:$E$18,MATCH($S125,Config!$B$15:$B$18,0)),""))</f>
        <v/>
      </c>
      <c r="R125" t="str">
        <f t="shared" si="14"/>
        <v/>
      </c>
      <c r="S125" s="6" t="str">
        <f>IF(OR($A125="",$C125=""),"",IFERROR(INDEX(Turno!$C$3:$V$32,MATCH($C125,Turno!$B$3:$B$32,0),MATCH(DAY($A125),Turno!$C$1:$V$1,0)),""))</f>
        <v/>
      </c>
      <c r="T125" t="str">
        <f>IF(OR($E125="",$S125=""),"",IFERROR(MAX(0,ROUND((INDEX(Config!$D$15:$D$18,MATCH($S125,Config!$B$15:$B$18,0))-$E125)*1440,0)),""))</f>
        <v/>
      </c>
      <c r="U125" s="13" t="str">
        <f>IF(OR($N125="",$T125=""),"",IFERROR(MAX(0,1-($N125+$T125+MAX(0,N($Q125)))/ROUND((INDEX(Config!$D$15:$D$18,MATCH($S125,Config!$B$15:$B$18,0))-INDEX(Config!$C$15:$C$18,MATCH($S125,Config!$B$15:$B$18,0)))*1440,0)),""))</f>
        <v/>
      </c>
      <c r="V125" s="5"/>
    </row>
    <row r="126" spans="1:22" x14ac:dyDescent="0.25">
      <c r="A126" s="11"/>
      <c r="B126" s="16"/>
      <c r="C126" t="str">
        <f>IFERROR(INDEX(Ejecutivos!$B$2:$B$100,MATCH(B126,Ejecutivos!$A$2:$A$100,0)),"")</f>
        <v/>
      </c>
      <c r="D126" s="19"/>
      <c r="E126" s="21"/>
      <c r="F126" s="19"/>
      <c r="G126" s="21"/>
      <c r="H126" s="20"/>
      <c r="I126" s="20"/>
      <c r="J126" s="20"/>
      <c r="K126" s="20"/>
      <c r="L126" s="18">
        <v>0</v>
      </c>
      <c r="M126" t="str">
        <f t="shared" si="11"/>
        <v/>
      </c>
      <c r="N126" t="str">
        <f>IF(OR($D126="",$S126=""),"",IFERROR(MAX(0,ROUND(($D126-INDEX(Config!$C$15:$C$18,MATCH($S126,Config!$B$15:$B$18,0)))*24*60,0)),""))</f>
        <v/>
      </c>
      <c r="O126" t="str">
        <f t="shared" si="12"/>
        <v/>
      </c>
      <c r="P126" t="str">
        <f t="shared" si="13"/>
        <v/>
      </c>
      <c r="Q126" t="str">
        <f>IF(OR($P126="",$S126=""),"",IFERROR($P126-INDEX(Config!$E$15:$E$18,MATCH($S126,Config!$B$15:$B$18,0)),""))</f>
        <v/>
      </c>
      <c r="R126" t="str">
        <f t="shared" si="14"/>
        <v/>
      </c>
      <c r="S126" s="6" t="str">
        <f>IF(OR($A126="",$C126=""),"",IFERROR(INDEX(Turno!$C$3:$V$32,MATCH($C126,Turno!$B$3:$B$32,0),MATCH(DAY($A126),Turno!$C$1:$V$1,0)),""))</f>
        <v/>
      </c>
      <c r="T126" t="str">
        <f>IF(OR($E126="",$S126=""),"",IFERROR(MAX(0,ROUND((INDEX(Config!$D$15:$D$18,MATCH($S126,Config!$B$15:$B$18,0))-$E126)*1440,0)),""))</f>
        <v/>
      </c>
      <c r="U126" s="13" t="str">
        <f>IF(OR($N126="",$T126=""),"",IFERROR(MAX(0,1-($N126+$T126+MAX(0,N($Q126)))/ROUND((INDEX(Config!$D$15:$D$18,MATCH($S126,Config!$B$15:$B$18,0))-INDEX(Config!$C$15:$C$18,MATCH($S126,Config!$B$15:$B$18,0)))*1440,0)),""))</f>
        <v/>
      </c>
      <c r="V126" s="5"/>
    </row>
    <row r="127" spans="1:22" x14ac:dyDescent="0.25">
      <c r="A127" s="11"/>
      <c r="B127" s="16"/>
      <c r="C127" t="str">
        <f>IFERROR(INDEX(Ejecutivos!$B$2:$B$100,MATCH(B127,Ejecutivos!$A$2:$A$100,0)),"")</f>
        <v/>
      </c>
      <c r="D127" s="19"/>
      <c r="E127" s="21"/>
      <c r="F127" s="19"/>
      <c r="G127" s="21"/>
      <c r="H127" s="20"/>
      <c r="I127" s="20"/>
      <c r="J127" s="20"/>
      <c r="K127" s="20"/>
      <c r="L127" s="18">
        <v>0</v>
      </c>
      <c r="M127" t="str">
        <f t="shared" si="11"/>
        <v/>
      </c>
      <c r="N127" t="str">
        <f>IF(OR($D127="",$S127=""),"",IFERROR(MAX(0,ROUND(($D127-INDEX(Config!$C$15:$C$18,MATCH($S127,Config!$B$15:$B$18,0)))*24*60,0)),""))</f>
        <v/>
      </c>
      <c r="O127" t="str">
        <f t="shared" si="12"/>
        <v/>
      </c>
      <c r="P127" t="str">
        <f t="shared" si="13"/>
        <v/>
      </c>
      <c r="Q127" t="str">
        <f>IF(OR($P127="",$S127=""),"",IFERROR($P127-INDEX(Config!$E$15:$E$18,MATCH($S127,Config!$B$15:$B$18,0)),""))</f>
        <v/>
      </c>
      <c r="R127" t="str">
        <f t="shared" si="14"/>
        <v/>
      </c>
      <c r="S127" s="6" t="str">
        <f>IF(OR($A127="",$C127=""),"",IFERROR(INDEX(Turno!$C$3:$V$32,MATCH($C127,Turno!$B$3:$B$32,0),MATCH(DAY($A127),Turno!$C$1:$V$1,0)),""))</f>
        <v/>
      </c>
      <c r="T127" t="str">
        <f>IF(OR($E127="",$S127=""),"",IFERROR(MAX(0,ROUND((INDEX(Config!$D$15:$D$18,MATCH($S127,Config!$B$15:$B$18,0))-$E127)*1440,0)),""))</f>
        <v/>
      </c>
      <c r="U127" s="13" t="str">
        <f>IF(OR($N127="",$T127=""),"",IFERROR(MAX(0,1-($N127+$T127+MAX(0,N($Q127)))/ROUND((INDEX(Config!$D$15:$D$18,MATCH($S127,Config!$B$15:$B$18,0))-INDEX(Config!$C$15:$C$18,MATCH($S127,Config!$B$15:$B$18,0)))*1440,0)),""))</f>
        <v/>
      </c>
      <c r="V127" s="5"/>
    </row>
    <row r="128" spans="1:22" x14ac:dyDescent="0.25">
      <c r="A128" s="11"/>
      <c r="B128" s="16"/>
      <c r="C128" t="str">
        <f>IFERROR(INDEX(Ejecutivos!$B$2:$B$100,MATCH(B128,Ejecutivos!$A$2:$A$100,0)),"")</f>
        <v/>
      </c>
      <c r="D128" s="19"/>
      <c r="E128" s="21"/>
      <c r="F128" s="19"/>
      <c r="G128" s="21"/>
      <c r="H128" s="20"/>
      <c r="I128" s="20"/>
      <c r="J128" s="20"/>
      <c r="K128" s="20"/>
      <c r="L128" s="18">
        <v>0</v>
      </c>
      <c r="M128" t="str">
        <f t="shared" si="11"/>
        <v/>
      </c>
      <c r="N128" t="str">
        <f>IF(OR($D128="",$S128=""),"",IFERROR(MAX(0,ROUND(($D128-INDEX(Config!$C$15:$C$18,MATCH($S128,Config!$B$15:$B$18,0)))*24*60,0)),""))</f>
        <v/>
      </c>
      <c r="O128" t="str">
        <f t="shared" si="12"/>
        <v/>
      </c>
      <c r="P128" t="str">
        <f t="shared" si="13"/>
        <v/>
      </c>
      <c r="Q128" t="str">
        <f>IF(OR($P128="",$S128=""),"",IFERROR($P128-INDEX(Config!$E$15:$E$18,MATCH($S128,Config!$B$15:$B$18,0)),""))</f>
        <v/>
      </c>
      <c r="R128" t="str">
        <f t="shared" si="14"/>
        <v/>
      </c>
      <c r="S128" s="6" t="str">
        <f>IF(OR($A128="",$C128=""),"",IFERROR(INDEX(Turno!$C$3:$V$32,MATCH($C128,Turno!$B$3:$B$32,0),MATCH(DAY($A128),Turno!$C$1:$V$1,0)),""))</f>
        <v/>
      </c>
      <c r="T128" t="str">
        <f>IF(OR($E128="",$S128=""),"",IFERROR(MAX(0,ROUND((INDEX(Config!$D$15:$D$18,MATCH($S128,Config!$B$15:$B$18,0))-$E128)*1440,0)),""))</f>
        <v/>
      </c>
      <c r="U128" s="13" t="str">
        <f>IF(OR($N128="",$T128=""),"",IFERROR(MAX(0,1-($N128+$T128+MAX(0,N($Q128)))/ROUND((INDEX(Config!$D$15:$D$18,MATCH($S128,Config!$B$15:$B$18,0))-INDEX(Config!$C$15:$C$18,MATCH($S128,Config!$B$15:$B$18,0)))*1440,0)),""))</f>
        <v/>
      </c>
      <c r="V128" s="5"/>
    </row>
    <row r="129" spans="1:22" x14ac:dyDescent="0.25">
      <c r="A129" s="11"/>
      <c r="B129" s="16"/>
      <c r="C129" t="str">
        <f>IFERROR(INDEX(Ejecutivos!$B$2:$B$100,MATCH(B129,Ejecutivos!$A$2:$A$100,0)),"")</f>
        <v/>
      </c>
      <c r="D129" s="19"/>
      <c r="E129" s="21"/>
      <c r="F129" s="19"/>
      <c r="G129" s="21"/>
      <c r="H129" s="20"/>
      <c r="I129" s="20"/>
      <c r="J129" s="20"/>
      <c r="K129" s="20"/>
      <c r="L129" s="18">
        <v>0</v>
      </c>
      <c r="M129" t="str">
        <f t="shared" si="11"/>
        <v/>
      </c>
      <c r="N129" t="str">
        <f>IF(OR($D129="",$S129=""),"",IFERROR(MAX(0,ROUND(($D129-INDEX(Config!$C$15:$C$18,MATCH($S129,Config!$B$15:$B$18,0)))*24*60,0)),""))</f>
        <v/>
      </c>
      <c r="O129" t="str">
        <f t="shared" si="12"/>
        <v/>
      </c>
      <c r="P129" t="str">
        <f t="shared" si="13"/>
        <v/>
      </c>
      <c r="Q129" t="str">
        <f>IF(OR($P129="",$S129=""),"",IFERROR($P129-INDEX(Config!$E$15:$E$18,MATCH($S129,Config!$B$15:$B$18,0)),""))</f>
        <v/>
      </c>
      <c r="R129" t="str">
        <f t="shared" si="14"/>
        <v/>
      </c>
      <c r="S129" s="6" t="str">
        <f>IF(OR($A129="",$C129=""),"",IFERROR(INDEX(Turno!$C$3:$V$32,MATCH($C129,Turno!$B$3:$B$32,0),MATCH(DAY($A129),Turno!$C$1:$V$1,0)),""))</f>
        <v/>
      </c>
      <c r="T129" t="str">
        <f>IF(OR($E129="",$S129=""),"",IFERROR(MAX(0,ROUND((INDEX(Config!$D$15:$D$18,MATCH($S129,Config!$B$15:$B$18,0))-$E129)*1440,0)),""))</f>
        <v/>
      </c>
      <c r="U129" s="13" t="str">
        <f>IF(OR($N129="",$T129=""),"",IFERROR(MAX(0,1-($N129+$T129+MAX(0,N($Q129)))/ROUND((INDEX(Config!$D$15:$D$18,MATCH($S129,Config!$B$15:$B$18,0))-INDEX(Config!$C$15:$C$18,MATCH($S129,Config!$B$15:$B$18,0)))*1440,0)),""))</f>
        <v/>
      </c>
      <c r="V129" s="5"/>
    </row>
    <row r="130" spans="1:22" x14ac:dyDescent="0.25">
      <c r="A130" s="11"/>
      <c r="B130" s="16"/>
      <c r="C130" t="str">
        <f>IFERROR(INDEX(Ejecutivos!$B$2:$B$100,MATCH(B130,Ejecutivos!$A$2:$A$100,0)),"")</f>
        <v/>
      </c>
      <c r="D130" s="19"/>
      <c r="E130" s="21"/>
      <c r="F130" s="19"/>
      <c r="G130" s="21"/>
      <c r="H130" s="20"/>
      <c r="I130" s="20"/>
      <c r="J130" s="20"/>
      <c r="K130" s="20"/>
      <c r="L130" s="18">
        <v>0</v>
      </c>
      <c r="M130" t="str">
        <f t="shared" si="11"/>
        <v/>
      </c>
      <c r="N130" t="str">
        <f>IF(OR($D130="",$S130=""),"",IFERROR(MAX(0,ROUND(($D130-INDEX(Config!$C$15:$C$18,MATCH($S130,Config!$B$15:$B$18,0)))*24*60,0)),""))</f>
        <v/>
      </c>
      <c r="O130" t="str">
        <f t="shared" si="12"/>
        <v/>
      </c>
      <c r="P130" t="str">
        <f t="shared" si="13"/>
        <v/>
      </c>
      <c r="Q130" t="str">
        <f>IF(OR($P130="",$S130=""),"",IFERROR($P130-INDEX(Config!$E$15:$E$18,MATCH($S130,Config!$B$15:$B$18,0)),""))</f>
        <v/>
      </c>
      <c r="R130" t="str">
        <f t="shared" si="14"/>
        <v/>
      </c>
      <c r="S130" s="6" t="str">
        <f>IF(OR($A130="",$C130=""),"",IFERROR(INDEX(Turno!$C$3:$V$32,MATCH($C130,Turno!$B$3:$B$32,0),MATCH(DAY($A130),Turno!$C$1:$V$1,0)),""))</f>
        <v/>
      </c>
      <c r="T130" t="str">
        <f>IF(OR($E130="",$S130=""),"",IFERROR(MAX(0,ROUND((INDEX(Config!$D$15:$D$18,MATCH($S130,Config!$B$15:$B$18,0))-$E130)*1440,0)),""))</f>
        <v/>
      </c>
      <c r="U130" s="13" t="str">
        <f>IF(OR($N130="",$T130=""),"",IFERROR(MAX(0,1-($N130+$T130+MAX(0,N($Q130)))/ROUND((INDEX(Config!$D$15:$D$18,MATCH($S130,Config!$B$15:$B$18,0))-INDEX(Config!$C$15:$C$18,MATCH($S130,Config!$B$15:$B$18,0)))*1440,0)),""))</f>
        <v/>
      </c>
      <c r="V130" s="5"/>
    </row>
    <row r="131" spans="1:22" x14ac:dyDescent="0.25">
      <c r="A131" s="11"/>
      <c r="B131" s="16"/>
      <c r="C131" t="str">
        <f>IFERROR(INDEX(Ejecutivos!$B$2:$B$100,MATCH(B131,Ejecutivos!$A$2:$A$100,0)),"")</f>
        <v/>
      </c>
      <c r="D131" s="19"/>
      <c r="E131" s="21"/>
      <c r="F131" s="19"/>
      <c r="G131" s="21"/>
      <c r="H131" s="20"/>
      <c r="I131" s="20"/>
      <c r="J131" s="20"/>
      <c r="K131" s="20"/>
      <c r="L131" s="18">
        <v>0</v>
      </c>
      <c r="M131" t="str">
        <f t="shared" si="11"/>
        <v/>
      </c>
      <c r="N131" t="str">
        <f>IF(OR($D131="",$S131=""),"",IFERROR(MAX(0,ROUND(($D131-INDEX(Config!$C$15:$C$18,MATCH($S131,Config!$B$15:$B$18,0)))*24*60,0)),""))</f>
        <v/>
      </c>
      <c r="O131" t="str">
        <f t="shared" si="12"/>
        <v/>
      </c>
      <c r="P131" t="str">
        <f t="shared" si="13"/>
        <v/>
      </c>
      <c r="Q131" t="str">
        <f>IF(OR($P131="",$S131=""),"",IFERROR($P131-INDEX(Config!$E$15:$E$18,MATCH($S131,Config!$B$15:$B$18,0)),""))</f>
        <v/>
      </c>
      <c r="R131" t="str">
        <f t="shared" si="14"/>
        <v/>
      </c>
      <c r="S131" s="6" t="str">
        <f>IF(OR($A131="",$C131=""),"",IFERROR(INDEX(Turno!$C$3:$V$32,MATCH($C131,Turno!$B$3:$B$32,0),MATCH(DAY($A131),Turno!$C$1:$V$1,0)),""))</f>
        <v/>
      </c>
      <c r="T131" t="str">
        <f>IF(OR($E131="",$S131=""),"",IFERROR(MAX(0,ROUND((INDEX(Config!$D$15:$D$18,MATCH($S131,Config!$B$15:$B$18,0))-$E131)*1440,0)),""))</f>
        <v/>
      </c>
      <c r="U131" s="13" t="str">
        <f>IF(OR($N131="",$T131=""),"",IFERROR(MAX(0,1-($N131+$T131+MAX(0,N($Q131)))/ROUND((INDEX(Config!$D$15:$D$18,MATCH($S131,Config!$B$15:$B$18,0))-INDEX(Config!$C$15:$C$18,MATCH($S131,Config!$B$15:$B$18,0)))*1440,0)),""))</f>
        <v/>
      </c>
      <c r="V131" s="5"/>
    </row>
    <row r="132" spans="1:22" x14ac:dyDescent="0.25">
      <c r="A132" s="11"/>
      <c r="B132" s="16"/>
      <c r="C132" t="str">
        <f>IFERROR(INDEX(Ejecutivos!$B$2:$B$100,MATCH(B132,Ejecutivos!$A$2:$A$100,0)),"")</f>
        <v/>
      </c>
      <c r="D132" s="19"/>
      <c r="E132" s="21"/>
      <c r="F132" s="19"/>
      <c r="G132" s="21"/>
      <c r="H132" s="20"/>
      <c r="I132" s="20"/>
      <c r="J132" s="20"/>
      <c r="K132" s="20"/>
      <c r="L132" s="18">
        <v>0</v>
      </c>
      <c r="M132" t="str">
        <f t="shared" si="11"/>
        <v/>
      </c>
      <c r="N132" t="str">
        <f>IF(OR($D132="",$S132=""),"",IFERROR(MAX(0,ROUND(($D132-INDEX(Config!$C$15:$C$18,MATCH($S132,Config!$B$15:$B$18,0)))*24*60,0)),""))</f>
        <v/>
      </c>
      <c r="O132" t="str">
        <f t="shared" si="12"/>
        <v/>
      </c>
      <c r="P132" t="str">
        <f t="shared" si="13"/>
        <v/>
      </c>
      <c r="Q132" t="str">
        <f>IF(OR($P132="",$S132=""),"",IFERROR($P132-INDEX(Config!$E$15:$E$18,MATCH($S132,Config!$B$15:$B$18,0)),""))</f>
        <v/>
      </c>
      <c r="R132" t="str">
        <f t="shared" si="14"/>
        <v/>
      </c>
      <c r="S132" s="6" t="str">
        <f>IF(OR($A132="",$C132=""),"",IFERROR(INDEX(Turno!$C$3:$V$32,MATCH($C132,Turno!$B$3:$B$32,0),MATCH(DAY($A132),Turno!$C$1:$V$1,0)),""))</f>
        <v/>
      </c>
      <c r="T132" t="str">
        <f>IF(OR($E132="",$S132=""),"",IFERROR(MAX(0,ROUND((INDEX(Config!$D$15:$D$18,MATCH($S132,Config!$B$15:$B$18,0))-$E132)*1440,0)),""))</f>
        <v/>
      </c>
      <c r="U132" s="13" t="str">
        <f>IF(OR($N132="",$T132=""),"",IFERROR(MAX(0,1-($N132+$T132+MAX(0,N($Q132)))/ROUND((INDEX(Config!$D$15:$D$18,MATCH($S132,Config!$B$15:$B$18,0))-INDEX(Config!$C$15:$C$18,MATCH($S132,Config!$B$15:$B$18,0)))*1440,0)),""))</f>
        <v/>
      </c>
      <c r="V132" s="5"/>
    </row>
    <row r="133" spans="1:22" x14ac:dyDescent="0.25">
      <c r="A133" s="11"/>
      <c r="B133" s="16"/>
      <c r="C133" t="str">
        <f>IFERROR(INDEX(Ejecutivos!$B$2:$B$100,MATCH(B133,Ejecutivos!$A$2:$A$100,0)),"")</f>
        <v/>
      </c>
      <c r="D133" s="19"/>
      <c r="E133" s="21"/>
      <c r="F133" s="19"/>
      <c r="G133" s="21"/>
      <c r="H133" s="20"/>
      <c r="I133" s="20"/>
      <c r="J133" s="20"/>
      <c r="K133" s="20"/>
      <c r="L133" s="18">
        <v>0</v>
      </c>
      <c r="M133" t="str">
        <f t="shared" si="11"/>
        <v/>
      </c>
      <c r="N133" t="str">
        <f>IF(OR($D133="",$S133=""),"",IFERROR(MAX(0,ROUND(($D133-INDEX(Config!$C$15:$C$18,MATCH($S133,Config!$B$15:$B$18,0)))*24*60,0)),""))</f>
        <v/>
      </c>
      <c r="O133" t="str">
        <f t="shared" si="12"/>
        <v/>
      </c>
      <c r="P133" t="str">
        <f t="shared" si="13"/>
        <v/>
      </c>
      <c r="Q133" t="str">
        <f>IF(OR($P133="",$S133=""),"",IFERROR($P133-INDEX(Config!$E$15:$E$18,MATCH($S133,Config!$B$15:$B$18,0)),""))</f>
        <v/>
      </c>
      <c r="R133" t="str">
        <f t="shared" si="14"/>
        <v/>
      </c>
      <c r="S133" s="6" t="str">
        <f>IF(OR($A133="",$C133=""),"",IFERROR(INDEX(Turno!$C$3:$V$32,MATCH($C133,Turno!$B$3:$B$32,0),MATCH(DAY($A133),Turno!$C$1:$V$1,0)),""))</f>
        <v/>
      </c>
      <c r="T133" t="str">
        <f>IF(OR($E133="",$S133=""),"",IFERROR(MAX(0,ROUND((INDEX(Config!$D$15:$D$18,MATCH($S133,Config!$B$15:$B$18,0))-$E133)*1440,0)),""))</f>
        <v/>
      </c>
      <c r="U133" s="13" t="str">
        <f>IF(OR($N133="",$T133=""),"",IFERROR(MAX(0,1-($N133+$T133+MAX(0,N($Q133)))/ROUND((INDEX(Config!$D$15:$D$18,MATCH($S133,Config!$B$15:$B$18,0))-INDEX(Config!$C$15:$C$18,MATCH($S133,Config!$B$15:$B$18,0)))*1440,0)),""))</f>
        <v/>
      </c>
      <c r="V133" s="5"/>
    </row>
    <row r="134" spans="1:22" x14ac:dyDescent="0.25">
      <c r="A134" s="11"/>
      <c r="B134" s="16"/>
      <c r="C134" t="str">
        <f>IFERROR(INDEX(Ejecutivos!$B$2:$B$100,MATCH(B134,Ejecutivos!$A$2:$A$100,0)),"")</f>
        <v/>
      </c>
      <c r="D134" s="19"/>
      <c r="E134" s="21"/>
      <c r="F134" s="19"/>
      <c r="G134" s="21"/>
      <c r="H134" s="20"/>
      <c r="I134" s="20"/>
      <c r="J134" s="20"/>
      <c r="K134" s="20"/>
      <c r="L134" s="18">
        <v>0</v>
      </c>
      <c r="M134" t="str">
        <f t="shared" si="11"/>
        <v/>
      </c>
      <c r="N134" t="str">
        <f>IF(OR($D134="",$S134=""),"",IFERROR(MAX(0,ROUND(($D134-INDEX(Config!$C$15:$C$18,MATCH($S134,Config!$B$15:$B$18,0)))*24*60,0)),""))</f>
        <v/>
      </c>
      <c r="O134" t="str">
        <f t="shared" si="12"/>
        <v/>
      </c>
      <c r="P134" t="str">
        <f t="shared" si="13"/>
        <v/>
      </c>
      <c r="Q134" t="str">
        <f>IF(OR($P134="",$S134=""),"",IFERROR($P134-INDEX(Config!$E$15:$E$18,MATCH($S134,Config!$B$15:$B$18,0)),""))</f>
        <v/>
      </c>
      <c r="R134" t="str">
        <f t="shared" si="14"/>
        <v/>
      </c>
      <c r="S134" s="6" t="str">
        <f>IF(OR($A134="",$C134=""),"",IFERROR(INDEX(Turno!$C$3:$V$32,MATCH($C134,Turno!$B$3:$B$32,0),MATCH(DAY($A134),Turno!$C$1:$V$1,0)),""))</f>
        <v/>
      </c>
      <c r="T134" t="str">
        <f>IF(OR($E134="",$S134=""),"",IFERROR(MAX(0,ROUND((INDEX(Config!$D$15:$D$18,MATCH($S134,Config!$B$15:$B$18,0))-$E134)*1440,0)),""))</f>
        <v/>
      </c>
      <c r="U134" s="13" t="str">
        <f>IF(OR($N134="",$T134=""),"",IFERROR(MAX(0,1-($N134+$T134+MAX(0,N($Q134)))/ROUND((INDEX(Config!$D$15:$D$18,MATCH($S134,Config!$B$15:$B$18,0))-INDEX(Config!$C$15:$C$18,MATCH($S134,Config!$B$15:$B$18,0)))*1440,0)),""))</f>
        <v/>
      </c>
      <c r="V134" s="5"/>
    </row>
    <row r="135" spans="1:22" x14ac:dyDescent="0.25">
      <c r="A135" s="11"/>
      <c r="B135" s="16"/>
      <c r="C135" t="str">
        <f>IFERROR(INDEX(Ejecutivos!$B$2:$B$100,MATCH(B135,Ejecutivos!$A$2:$A$100,0)),"")</f>
        <v/>
      </c>
      <c r="D135" s="19"/>
      <c r="E135" s="21"/>
      <c r="F135" s="19"/>
      <c r="G135" s="21"/>
      <c r="H135" s="20"/>
      <c r="I135" s="20"/>
      <c r="J135" s="20"/>
      <c r="K135" s="20"/>
      <c r="L135" s="18">
        <v>0</v>
      </c>
      <c r="M135" t="str">
        <f t="shared" si="11"/>
        <v/>
      </c>
      <c r="N135" t="str">
        <f>IF(OR($D135="",$S135=""),"",IFERROR(MAX(0,ROUND(($D135-INDEX(Config!$C$15:$C$18,MATCH($S135,Config!$B$15:$B$18,0)))*24*60,0)),""))</f>
        <v/>
      </c>
      <c r="O135" t="str">
        <f t="shared" si="12"/>
        <v/>
      </c>
      <c r="P135" t="str">
        <f t="shared" si="13"/>
        <v/>
      </c>
      <c r="Q135" t="str">
        <f>IF(OR($P135="",$S135=""),"",IFERROR($P135-INDEX(Config!$E$15:$E$18,MATCH($S135,Config!$B$15:$B$18,0)),""))</f>
        <v/>
      </c>
      <c r="R135" t="str">
        <f t="shared" si="14"/>
        <v/>
      </c>
      <c r="S135" s="6" t="str">
        <f>IF(OR($A135="",$C135=""),"",IFERROR(INDEX(Turno!$C$3:$V$32,MATCH($C135,Turno!$B$3:$B$32,0),MATCH(DAY($A135),Turno!$C$1:$V$1,0)),""))</f>
        <v/>
      </c>
      <c r="T135" t="str">
        <f>IF(OR($E135="",$S135=""),"",IFERROR(MAX(0,ROUND((INDEX(Config!$D$15:$D$18,MATCH($S135,Config!$B$15:$B$18,0))-$E135)*1440,0)),""))</f>
        <v/>
      </c>
      <c r="U135" s="13" t="str">
        <f>IF(OR($N135="",$T135=""),"",IFERROR(MAX(0,1-($N135+$T135+MAX(0,N($Q135)))/ROUND((INDEX(Config!$D$15:$D$18,MATCH($S135,Config!$B$15:$B$18,0))-INDEX(Config!$C$15:$C$18,MATCH($S135,Config!$B$15:$B$18,0)))*1440,0)),""))</f>
        <v/>
      </c>
      <c r="V135" s="5"/>
    </row>
    <row r="136" spans="1:22" x14ac:dyDescent="0.25">
      <c r="A136" s="11"/>
      <c r="B136" s="16"/>
      <c r="C136" t="str">
        <f>IFERROR(INDEX(Ejecutivos!$B$2:$B$100,MATCH(B136,Ejecutivos!$A$2:$A$100,0)),"")</f>
        <v/>
      </c>
      <c r="D136" s="19"/>
      <c r="E136" s="21"/>
      <c r="F136" s="19"/>
      <c r="G136" s="21"/>
      <c r="H136" s="20"/>
      <c r="I136" s="20"/>
      <c r="J136" s="20"/>
      <c r="K136" s="20"/>
      <c r="L136" s="18">
        <v>0</v>
      </c>
      <c r="M136" t="str">
        <f t="shared" si="11"/>
        <v/>
      </c>
      <c r="N136" t="str">
        <f>IF(OR($D136="",$S136=""),"",IFERROR(MAX(0,ROUND(($D136-INDEX(Config!$C$15:$C$18,MATCH($S136,Config!$B$15:$B$18,0)))*24*60,0)),""))</f>
        <v/>
      </c>
      <c r="O136" t="str">
        <f t="shared" si="12"/>
        <v/>
      </c>
      <c r="P136" t="str">
        <f t="shared" si="13"/>
        <v/>
      </c>
      <c r="Q136" t="str">
        <f>IF(OR($P136="",$S136=""),"",IFERROR($P136-INDEX(Config!$E$15:$E$18,MATCH($S136,Config!$B$15:$B$18,0)),""))</f>
        <v/>
      </c>
      <c r="R136" t="str">
        <f t="shared" si="14"/>
        <v/>
      </c>
      <c r="S136" s="6" t="str">
        <f>IF(OR($A136="",$C136=""),"",IFERROR(INDEX(Turno!$C$3:$V$32,MATCH($C136,Turno!$B$3:$B$32,0),MATCH(DAY($A136),Turno!$C$1:$V$1,0)),""))</f>
        <v/>
      </c>
      <c r="T136" t="str">
        <f>IF(OR($E136="",$S136=""),"",IFERROR(MAX(0,ROUND((INDEX(Config!$D$15:$D$18,MATCH($S136,Config!$B$15:$B$18,0))-$E136)*1440,0)),""))</f>
        <v/>
      </c>
      <c r="U136" s="13" t="str">
        <f>IF(OR($N136="",$T136=""),"",IFERROR(MAX(0,1-($N136+$T136+MAX(0,N($Q136)))/ROUND((INDEX(Config!$D$15:$D$18,MATCH($S136,Config!$B$15:$B$18,0))-INDEX(Config!$C$15:$C$18,MATCH($S136,Config!$B$15:$B$18,0)))*1440,0)),""))</f>
        <v/>
      </c>
      <c r="V136" s="5"/>
    </row>
    <row r="137" spans="1:22" x14ac:dyDescent="0.25">
      <c r="A137" s="11"/>
      <c r="B137" s="16"/>
      <c r="C137" t="str">
        <f>IFERROR(INDEX(Ejecutivos!$B$2:$B$100,MATCH(B137,Ejecutivos!$A$2:$A$100,0)),"")</f>
        <v/>
      </c>
      <c r="D137" s="19"/>
      <c r="E137" s="21"/>
      <c r="F137" s="19"/>
      <c r="G137" s="21"/>
      <c r="H137" s="20"/>
      <c r="I137" s="20"/>
      <c r="J137" s="20"/>
      <c r="K137" s="20"/>
      <c r="L137" s="18">
        <v>0</v>
      </c>
      <c r="M137" t="str">
        <f t="shared" si="11"/>
        <v/>
      </c>
      <c r="N137" t="str">
        <f>IF(OR($D137="",$S137=""),"",IFERROR(MAX(0,ROUND(($D137-INDEX(Config!$C$15:$C$18,MATCH($S137,Config!$B$15:$B$18,0)))*24*60,0)),""))</f>
        <v/>
      </c>
      <c r="O137" t="str">
        <f t="shared" si="12"/>
        <v/>
      </c>
      <c r="P137" t="str">
        <f t="shared" si="13"/>
        <v/>
      </c>
      <c r="Q137" t="str">
        <f>IF(OR($P137="",$S137=""),"",IFERROR($P137-INDEX(Config!$E$15:$E$18,MATCH($S137,Config!$B$15:$B$18,0)),""))</f>
        <v/>
      </c>
      <c r="R137" t="str">
        <f t="shared" si="14"/>
        <v/>
      </c>
      <c r="S137" s="6" t="str">
        <f>IF(OR($A137="",$C137=""),"",IFERROR(INDEX(Turno!$C$3:$V$32,MATCH($C137,Turno!$B$3:$B$32,0),MATCH(DAY($A137),Turno!$C$1:$V$1,0)),""))</f>
        <v/>
      </c>
      <c r="T137" t="str">
        <f>IF(OR($E137="",$S137=""),"",IFERROR(MAX(0,ROUND((INDEX(Config!$D$15:$D$18,MATCH($S137,Config!$B$15:$B$18,0))-$E137)*1440,0)),""))</f>
        <v/>
      </c>
      <c r="U137" s="13" t="str">
        <f>IF(OR($N137="",$T137=""),"",IFERROR(MAX(0,1-($N137+$T137+MAX(0,N($Q137)))/ROUND((INDEX(Config!$D$15:$D$18,MATCH($S137,Config!$B$15:$B$18,0))-INDEX(Config!$C$15:$C$18,MATCH($S137,Config!$B$15:$B$18,0)))*1440,0)),""))</f>
        <v/>
      </c>
      <c r="V137" s="5"/>
    </row>
    <row r="138" spans="1:22" x14ac:dyDescent="0.25">
      <c r="A138" s="11"/>
      <c r="B138" s="16"/>
      <c r="C138" t="str">
        <f>IFERROR(INDEX(Ejecutivos!$B$2:$B$100,MATCH(B138,Ejecutivos!$A$2:$A$100,0)),"")</f>
        <v/>
      </c>
      <c r="D138" s="19"/>
      <c r="E138" s="21"/>
      <c r="F138" s="19"/>
      <c r="G138" s="21"/>
      <c r="H138" s="20"/>
      <c r="I138" s="20"/>
      <c r="J138" s="20"/>
      <c r="K138" s="20"/>
      <c r="L138" s="18">
        <v>0</v>
      </c>
      <c r="M138" t="str">
        <f t="shared" si="11"/>
        <v/>
      </c>
      <c r="N138" t="str">
        <f>IF(OR($D138="",$S138=""),"",IFERROR(MAX(0,ROUND(($D138-INDEX(Config!$C$15:$C$18,MATCH($S138,Config!$B$15:$B$18,0)))*24*60,0)),""))</f>
        <v/>
      </c>
      <c r="O138" t="str">
        <f t="shared" si="12"/>
        <v/>
      </c>
      <c r="P138" t="str">
        <f t="shared" si="13"/>
        <v/>
      </c>
      <c r="Q138" t="str">
        <f>IF(OR($P138="",$S138=""),"",IFERROR($P138-INDEX(Config!$E$15:$E$18,MATCH($S138,Config!$B$15:$B$18,0)),""))</f>
        <v/>
      </c>
      <c r="R138" t="str">
        <f t="shared" si="14"/>
        <v/>
      </c>
      <c r="S138" s="6" t="str">
        <f>IF(OR($A138="",$C138=""),"",IFERROR(INDEX(Turno!$C$3:$V$32,MATCH($C138,Turno!$B$3:$B$32,0),MATCH(DAY($A138),Turno!$C$1:$V$1,0)),""))</f>
        <v/>
      </c>
      <c r="T138" t="str">
        <f>IF(OR($E138="",$S138=""),"",IFERROR(MAX(0,ROUND((INDEX(Config!$D$15:$D$18,MATCH($S138,Config!$B$15:$B$18,0))-$E138)*1440,0)),""))</f>
        <v/>
      </c>
      <c r="U138" s="13" t="str">
        <f>IF(OR($N138="",$T138=""),"",IFERROR(MAX(0,1-($N138+$T138+MAX(0,N($Q138)))/ROUND((INDEX(Config!$D$15:$D$18,MATCH($S138,Config!$B$15:$B$18,0))-INDEX(Config!$C$15:$C$18,MATCH($S138,Config!$B$15:$B$18,0)))*1440,0)),""))</f>
        <v/>
      </c>
      <c r="V138" s="5"/>
    </row>
    <row r="139" spans="1:22" x14ac:dyDescent="0.25">
      <c r="A139" s="11"/>
      <c r="B139" s="16"/>
      <c r="C139" t="str">
        <f>IFERROR(INDEX(Ejecutivos!$B$2:$B$100,MATCH(B139,Ejecutivos!$A$2:$A$100,0)),"")</f>
        <v/>
      </c>
      <c r="D139" s="19"/>
      <c r="E139" s="21"/>
      <c r="F139" s="19"/>
      <c r="G139" s="21"/>
      <c r="H139" s="20"/>
      <c r="I139" s="20"/>
      <c r="J139" s="20"/>
      <c r="K139" s="20"/>
      <c r="L139" s="18">
        <v>0</v>
      </c>
      <c r="M139" t="str">
        <f t="shared" si="11"/>
        <v/>
      </c>
      <c r="N139" t="str">
        <f>IF(OR($D139="",$S139=""),"",IFERROR(MAX(0,ROUND(($D139-INDEX(Config!$C$15:$C$18,MATCH($S139,Config!$B$15:$B$18,0)))*24*60,0)),""))</f>
        <v/>
      </c>
      <c r="O139" t="str">
        <f t="shared" si="12"/>
        <v/>
      </c>
      <c r="P139" t="str">
        <f t="shared" si="13"/>
        <v/>
      </c>
      <c r="Q139" t="str">
        <f>IF(OR($P139="",$S139=""),"",IFERROR($P139-INDEX(Config!$E$15:$E$18,MATCH($S139,Config!$B$15:$B$18,0)),""))</f>
        <v/>
      </c>
      <c r="R139" t="str">
        <f t="shared" si="14"/>
        <v/>
      </c>
      <c r="S139" s="6" t="str">
        <f>IF(OR($A139="",$C139=""),"",IFERROR(INDEX(Turno!$C$3:$V$32,MATCH($C139,Turno!$B$3:$B$32,0),MATCH(DAY($A139),Turno!$C$1:$V$1,0)),""))</f>
        <v/>
      </c>
      <c r="T139" t="str">
        <f>IF(OR($E139="",$S139=""),"",IFERROR(MAX(0,ROUND((INDEX(Config!$D$15:$D$18,MATCH($S139,Config!$B$15:$B$18,0))-$E139)*1440,0)),""))</f>
        <v/>
      </c>
      <c r="U139" s="13" t="str">
        <f>IF(OR($N139="",$T139=""),"",IFERROR(MAX(0,1-($N139+$T139+MAX(0,N($Q139)))/ROUND((INDEX(Config!$D$15:$D$18,MATCH($S139,Config!$B$15:$B$18,0))-INDEX(Config!$C$15:$C$18,MATCH($S139,Config!$B$15:$B$18,0)))*1440,0)),""))</f>
        <v/>
      </c>
      <c r="V139" s="5"/>
    </row>
    <row r="140" spans="1:22" x14ac:dyDescent="0.25">
      <c r="A140" s="11"/>
      <c r="B140" s="16"/>
      <c r="C140" t="str">
        <f>IFERROR(INDEX(Ejecutivos!$B$2:$B$100,MATCH(B140,Ejecutivos!$A$2:$A$100,0)),"")</f>
        <v/>
      </c>
      <c r="D140" s="19"/>
      <c r="E140" s="21"/>
      <c r="F140" s="19"/>
      <c r="G140" s="21"/>
      <c r="H140" s="20"/>
      <c r="I140" s="20"/>
      <c r="J140" s="20"/>
      <c r="K140" s="20"/>
      <c r="L140" s="18">
        <v>0</v>
      </c>
      <c r="M140" t="str">
        <f t="shared" si="11"/>
        <v/>
      </c>
      <c r="N140" t="str">
        <f>IF(OR($D140="",$S140=""),"",IFERROR(MAX(0,ROUND(($D140-INDEX(Config!$C$15:$C$18,MATCH($S140,Config!$B$15:$B$18,0)))*24*60,0)),""))</f>
        <v/>
      </c>
      <c r="O140" t="str">
        <f t="shared" si="12"/>
        <v/>
      </c>
      <c r="P140" t="str">
        <f t="shared" si="13"/>
        <v/>
      </c>
      <c r="Q140" t="str">
        <f>IF(OR($P140="",$S140=""),"",IFERROR($P140-INDEX(Config!$E$15:$E$18,MATCH($S140,Config!$B$15:$B$18,0)),""))</f>
        <v/>
      </c>
      <c r="R140" t="str">
        <f t="shared" si="14"/>
        <v/>
      </c>
      <c r="S140" s="6" t="str">
        <f>IF(OR($A140="",$C140=""),"",IFERROR(INDEX(Turno!$C$3:$V$32,MATCH($C140,Turno!$B$3:$B$32,0),MATCH(DAY($A140),Turno!$C$1:$V$1,0)),""))</f>
        <v/>
      </c>
      <c r="T140" t="str">
        <f>IF(OR($E140="",$S140=""),"",IFERROR(MAX(0,ROUND((INDEX(Config!$D$15:$D$18,MATCH($S140,Config!$B$15:$B$18,0))-$E140)*1440,0)),""))</f>
        <v/>
      </c>
      <c r="U140" s="13" t="str">
        <f>IF(OR($N140="",$T140=""),"",IFERROR(MAX(0,1-($N140+$T140+MAX(0,N($Q140)))/ROUND((INDEX(Config!$D$15:$D$18,MATCH($S140,Config!$B$15:$B$18,0))-INDEX(Config!$C$15:$C$18,MATCH($S140,Config!$B$15:$B$18,0)))*1440,0)),""))</f>
        <v/>
      </c>
      <c r="V140" s="5"/>
    </row>
    <row r="141" spans="1:22" x14ac:dyDescent="0.25">
      <c r="A141" s="11"/>
      <c r="B141" s="16"/>
      <c r="C141" t="str">
        <f>IFERROR(INDEX(Ejecutivos!$B$2:$B$100,MATCH(B141,Ejecutivos!$A$2:$A$100,0)),"")</f>
        <v/>
      </c>
      <c r="D141" s="19"/>
      <c r="E141" s="21"/>
      <c r="F141" s="19"/>
      <c r="G141" s="21"/>
      <c r="H141" s="20"/>
      <c r="I141" s="20"/>
      <c r="J141" s="20"/>
      <c r="K141" s="20"/>
      <c r="L141" s="18">
        <v>0</v>
      </c>
      <c r="M141" t="str">
        <f t="shared" si="11"/>
        <v/>
      </c>
      <c r="N141" t="str">
        <f>IF(OR($D141="",$S141=""),"",IFERROR(MAX(0,ROUND(($D141-INDEX(Config!$C$15:$C$18,MATCH($S141,Config!$B$15:$B$18,0)))*24*60,0)),""))</f>
        <v/>
      </c>
      <c r="O141" t="str">
        <f t="shared" si="12"/>
        <v/>
      </c>
      <c r="P141" t="str">
        <f t="shared" si="13"/>
        <v/>
      </c>
      <c r="Q141" t="str">
        <f>IF(OR($P141="",$S141=""),"",IFERROR($P141-INDEX(Config!$E$15:$E$18,MATCH($S141,Config!$B$15:$B$18,0)),""))</f>
        <v/>
      </c>
      <c r="R141" t="str">
        <f t="shared" si="14"/>
        <v/>
      </c>
      <c r="S141" s="6" t="str">
        <f>IF(OR($A141="",$C141=""),"",IFERROR(INDEX(Turno!$C$3:$V$32,MATCH($C141,Turno!$B$3:$B$32,0),MATCH(DAY($A141),Turno!$C$1:$V$1,0)),""))</f>
        <v/>
      </c>
      <c r="T141" t="str">
        <f>IF(OR($E141="",$S141=""),"",IFERROR(MAX(0,ROUND((INDEX(Config!$D$15:$D$18,MATCH($S141,Config!$B$15:$B$18,0))-$E141)*1440,0)),""))</f>
        <v/>
      </c>
      <c r="U141" s="13" t="str">
        <f>IF(OR($N141="",$T141=""),"",IFERROR(MAX(0,1-($N141+$T141+MAX(0,N($Q141)))/ROUND((INDEX(Config!$D$15:$D$18,MATCH($S141,Config!$B$15:$B$18,0))-INDEX(Config!$C$15:$C$18,MATCH($S141,Config!$B$15:$B$18,0)))*1440,0)),""))</f>
        <v/>
      </c>
      <c r="V141" s="5"/>
    </row>
    <row r="142" spans="1:22" x14ac:dyDescent="0.25">
      <c r="A142" s="11"/>
      <c r="B142" s="16"/>
      <c r="C142" t="str">
        <f>IFERROR(INDEX(Ejecutivos!$B$2:$B$100,MATCH(B142,Ejecutivos!$A$2:$A$100,0)),"")</f>
        <v/>
      </c>
      <c r="D142" s="19"/>
      <c r="E142" s="21"/>
      <c r="F142" s="19"/>
      <c r="G142" s="21"/>
      <c r="H142" s="20"/>
      <c r="I142" s="20"/>
      <c r="J142" s="20"/>
      <c r="K142" s="20"/>
      <c r="L142" s="18">
        <v>0</v>
      </c>
      <c r="M142" t="str">
        <f t="shared" si="11"/>
        <v/>
      </c>
      <c r="N142" t="str">
        <f>IF(OR($D142="",$S142=""),"",IFERROR(MAX(0,ROUND(($D142-INDEX(Config!$C$15:$C$18,MATCH($S142,Config!$B$15:$B$18,0)))*24*60,0)),""))</f>
        <v/>
      </c>
      <c r="O142" t="str">
        <f t="shared" si="12"/>
        <v/>
      </c>
      <c r="P142" t="str">
        <f t="shared" si="13"/>
        <v/>
      </c>
      <c r="Q142" t="str">
        <f>IF(OR($P142="",$S142=""),"",IFERROR($P142-INDEX(Config!$E$15:$E$18,MATCH($S142,Config!$B$15:$B$18,0)),""))</f>
        <v/>
      </c>
      <c r="R142" t="str">
        <f t="shared" si="14"/>
        <v/>
      </c>
      <c r="S142" s="6" t="str">
        <f>IF(OR($A142="",$C142=""),"",IFERROR(INDEX(Turno!$C$3:$V$32,MATCH($C142,Turno!$B$3:$B$32,0),MATCH(DAY($A142),Turno!$C$1:$V$1,0)),""))</f>
        <v/>
      </c>
      <c r="T142" t="str">
        <f>IF(OR($E142="",$S142=""),"",IFERROR(MAX(0,ROUND((INDEX(Config!$D$15:$D$18,MATCH($S142,Config!$B$15:$B$18,0))-$E142)*1440,0)),""))</f>
        <v/>
      </c>
      <c r="U142" s="13" t="str">
        <f>IF(OR($N142="",$T142=""),"",IFERROR(MAX(0,1-($N142+$T142+MAX(0,N($Q142)))/ROUND((INDEX(Config!$D$15:$D$18,MATCH($S142,Config!$B$15:$B$18,0))-INDEX(Config!$C$15:$C$18,MATCH($S142,Config!$B$15:$B$18,0)))*1440,0)),""))</f>
        <v/>
      </c>
      <c r="V142" s="5"/>
    </row>
    <row r="143" spans="1:22" x14ac:dyDescent="0.25">
      <c r="A143" s="11"/>
      <c r="B143" s="16"/>
      <c r="C143" t="str">
        <f>IFERROR(INDEX(Ejecutivos!$B$2:$B$100,MATCH(B143,Ejecutivos!$A$2:$A$100,0)),"")</f>
        <v/>
      </c>
      <c r="D143" s="19"/>
      <c r="E143" s="21"/>
      <c r="F143" s="19"/>
      <c r="G143" s="21"/>
      <c r="H143" s="20"/>
      <c r="I143" s="20"/>
      <c r="J143" s="20"/>
      <c r="K143" s="20"/>
      <c r="L143" s="18">
        <v>0</v>
      </c>
      <c r="M143" t="str">
        <f t="shared" si="11"/>
        <v/>
      </c>
      <c r="N143" t="str">
        <f>IF(OR($D143="",$S143=""),"",IFERROR(MAX(0,ROUND(($D143-INDEX(Config!$C$15:$C$18,MATCH($S143,Config!$B$15:$B$18,0)))*24*60,0)),""))</f>
        <v/>
      </c>
      <c r="O143" t="str">
        <f t="shared" si="12"/>
        <v/>
      </c>
      <c r="P143" t="str">
        <f t="shared" si="13"/>
        <v/>
      </c>
      <c r="Q143" t="str">
        <f>IF(OR($P143="",$S143=""),"",IFERROR($P143-INDEX(Config!$E$15:$E$18,MATCH($S143,Config!$B$15:$B$18,0)),""))</f>
        <v/>
      </c>
      <c r="R143" t="str">
        <f t="shared" si="14"/>
        <v/>
      </c>
      <c r="S143" s="6" t="str">
        <f>IF(OR($A143="",$C143=""),"",IFERROR(INDEX(Turno!$C$3:$V$32,MATCH($C143,Turno!$B$3:$B$32,0),MATCH(DAY($A143),Turno!$C$1:$V$1,0)),""))</f>
        <v/>
      </c>
      <c r="T143" t="str">
        <f>IF(OR($E143="",$S143=""),"",IFERROR(MAX(0,ROUND((INDEX(Config!$D$15:$D$18,MATCH($S143,Config!$B$15:$B$18,0))-$E143)*1440,0)),""))</f>
        <v/>
      </c>
      <c r="U143" s="13" t="str">
        <f>IF(OR($N143="",$T143=""),"",IFERROR(MAX(0,1-($N143+$T143+MAX(0,N($Q143)))/ROUND((INDEX(Config!$D$15:$D$18,MATCH($S143,Config!$B$15:$B$18,0))-INDEX(Config!$C$15:$C$18,MATCH($S143,Config!$B$15:$B$18,0)))*1440,0)),""))</f>
        <v/>
      </c>
      <c r="V143" s="5"/>
    </row>
    <row r="144" spans="1:22" x14ac:dyDescent="0.25">
      <c r="A144" s="11"/>
      <c r="B144" s="16"/>
      <c r="C144" t="str">
        <f>IFERROR(INDEX(Ejecutivos!$B$2:$B$100,MATCH(B144,Ejecutivos!$A$2:$A$100,0)),"")</f>
        <v/>
      </c>
      <c r="D144" s="19"/>
      <c r="E144" s="21"/>
      <c r="F144" s="19"/>
      <c r="G144" s="21"/>
      <c r="H144" s="20"/>
      <c r="I144" s="20"/>
      <c r="J144" s="20"/>
      <c r="K144" s="20"/>
      <c r="L144" s="18">
        <v>0</v>
      </c>
      <c r="M144" t="str">
        <f t="shared" si="11"/>
        <v/>
      </c>
      <c r="N144" t="str">
        <f>IF(OR($D144="",$S144=""),"",IFERROR(MAX(0,ROUND(($D144-INDEX(Config!$C$15:$C$18,MATCH($S144,Config!$B$15:$B$18,0)))*24*60,0)),""))</f>
        <v/>
      </c>
      <c r="O144" t="str">
        <f t="shared" si="12"/>
        <v/>
      </c>
      <c r="P144" t="str">
        <f t="shared" si="13"/>
        <v/>
      </c>
      <c r="Q144" t="str">
        <f>IF(OR($P144="",$S144=""),"",IFERROR($P144-INDEX(Config!$E$15:$E$18,MATCH($S144,Config!$B$15:$B$18,0)),""))</f>
        <v/>
      </c>
      <c r="R144" t="str">
        <f t="shared" si="14"/>
        <v/>
      </c>
      <c r="S144" s="6" t="str">
        <f>IF(OR($A144="",$C144=""),"",IFERROR(INDEX(Turno!$C$3:$V$32,MATCH($C144,Turno!$B$3:$B$32,0),MATCH(DAY($A144),Turno!$C$1:$V$1,0)),""))</f>
        <v/>
      </c>
      <c r="T144" t="str">
        <f>IF(OR($E144="",$S144=""),"",IFERROR(MAX(0,ROUND((INDEX(Config!$D$15:$D$18,MATCH($S144,Config!$B$15:$B$18,0))-$E144)*1440,0)),""))</f>
        <v/>
      </c>
      <c r="U144" s="13" t="str">
        <f>IF(OR($N144="",$T144=""),"",IFERROR(MAX(0,1-($N144+$T144+MAX(0,N($Q144)))/ROUND((INDEX(Config!$D$15:$D$18,MATCH($S144,Config!$B$15:$B$18,0))-INDEX(Config!$C$15:$C$18,MATCH($S144,Config!$B$15:$B$18,0)))*1440,0)),""))</f>
        <v/>
      </c>
      <c r="V144" s="5"/>
    </row>
    <row r="145" spans="1:22" x14ac:dyDescent="0.25">
      <c r="A145" s="11"/>
      <c r="B145" s="16"/>
      <c r="C145" t="str">
        <f>IFERROR(INDEX(Ejecutivos!$B$2:$B$100,MATCH(B145,Ejecutivos!$A$2:$A$100,0)),"")</f>
        <v/>
      </c>
      <c r="D145" s="19"/>
      <c r="E145" s="21"/>
      <c r="F145" s="19"/>
      <c r="G145" s="21"/>
      <c r="H145" s="20"/>
      <c r="I145" s="20"/>
      <c r="J145" s="20"/>
      <c r="K145" s="20"/>
      <c r="L145" s="18">
        <v>0</v>
      </c>
      <c r="M145" t="str">
        <f t="shared" si="11"/>
        <v/>
      </c>
      <c r="N145" t="str">
        <f>IF(OR($D145="",$S145=""),"",IFERROR(MAX(0,ROUND(($D145-INDEX(Config!$C$15:$C$18,MATCH($S145,Config!$B$15:$B$18,0)))*24*60,0)),""))</f>
        <v/>
      </c>
      <c r="O145" t="str">
        <f t="shared" si="12"/>
        <v/>
      </c>
      <c r="P145" t="str">
        <f t="shared" si="13"/>
        <v/>
      </c>
      <c r="Q145" t="str">
        <f>IF(OR($P145="",$S145=""),"",IFERROR($P145-INDEX(Config!$E$15:$E$18,MATCH($S145,Config!$B$15:$B$18,0)),""))</f>
        <v/>
      </c>
      <c r="R145" t="str">
        <f t="shared" si="14"/>
        <v/>
      </c>
      <c r="S145" s="6" t="str">
        <f>IF(OR($A145="",$C145=""),"",IFERROR(INDEX(Turno!$C$3:$V$32,MATCH($C145,Turno!$B$3:$B$32,0),MATCH(DAY($A145),Turno!$C$1:$V$1,0)),""))</f>
        <v/>
      </c>
      <c r="T145" t="str">
        <f>IF(OR($E145="",$S145=""),"",IFERROR(MAX(0,ROUND((INDEX(Config!$D$15:$D$18,MATCH($S145,Config!$B$15:$B$18,0))-$E145)*1440,0)),""))</f>
        <v/>
      </c>
      <c r="U145" s="13" t="str">
        <f>IF(OR($N145="",$T145=""),"",IFERROR(MAX(0,1-($N145+$T145+MAX(0,N($Q145)))/ROUND((INDEX(Config!$D$15:$D$18,MATCH($S145,Config!$B$15:$B$18,0))-INDEX(Config!$C$15:$C$18,MATCH($S145,Config!$B$15:$B$18,0)))*1440,0)),""))</f>
        <v/>
      </c>
      <c r="V145" s="5"/>
    </row>
    <row r="146" spans="1:22" x14ac:dyDescent="0.25">
      <c r="A146" s="11"/>
      <c r="B146" s="16"/>
      <c r="C146" t="str">
        <f>IFERROR(INDEX(Ejecutivos!$B$2:$B$100,MATCH(B146,Ejecutivos!$A$2:$A$100,0)),"")</f>
        <v/>
      </c>
      <c r="D146" s="19"/>
      <c r="E146" s="21"/>
      <c r="F146" s="19"/>
      <c r="G146" s="21"/>
      <c r="H146" s="20"/>
      <c r="I146" s="20"/>
      <c r="J146" s="20"/>
      <c r="K146" s="20"/>
      <c r="L146" s="18">
        <v>0</v>
      </c>
      <c r="M146" t="str">
        <f t="shared" si="11"/>
        <v/>
      </c>
      <c r="N146" t="str">
        <f>IF(OR($D146="",$S146=""),"",IFERROR(MAX(0,ROUND(($D146-INDEX(Config!$C$15:$C$18,MATCH($S146,Config!$B$15:$B$18,0)))*24*60,0)),""))</f>
        <v/>
      </c>
      <c r="O146" t="str">
        <f t="shared" si="12"/>
        <v/>
      </c>
      <c r="P146" t="str">
        <f t="shared" si="13"/>
        <v/>
      </c>
      <c r="Q146" t="str">
        <f>IF(OR($P146="",$S146=""),"",IFERROR($P146-INDEX(Config!$E$15:$E$18,MATCH($S146,Config!$B$15:$B$18,0)),""))</f>
        <v/>
      </c>
      <c r="R146" t="str">
        <f t="shared" si="14"/>
        <v/>
      </c>
      <c r="S146" s="6" t="str">
        <f>IF(OR($A146="",$C146=""),"",IFERROR(INDEX(Turno!$C$3:$V$32,MATCH($C146,Turno!$B$3:$B$32,0),MATCH(DAY($A146),Turno!$C$1:$V$1,0)),""))</f>
        <v/>
      </c>
      <c r="T146" t="str">
        <f>IF(OR($E146="",$S146=""),"",IFERROR(MAX(0,ROUND((INDEX(Config!$D$15:$D$18,MATCH($S146,Config!$B$15:$B$18,0))-$E146)*1440,0)),""))</f>
        <v/>
      </c>
      <c r="U146" s="13" t="str">
        <f>IF(OR($N146="",$T146=""),"",IFERROR(MAX(0,1-($N146+$T146+MAX(0,N($Q146)))/ROUND((INDEX(Config!$D$15:$D$18,MATCH($S146,Config!$B$15:$B$18,0))-INDEX(Config!$C$15:$C$18,MATCH($S146,Config!$B$15:$B$18,0)))*1440,0)),""))</f>
        <v/>
      </c>
      <c r="V146" s="5"/>
    </row>
    <row r="147" spans="1:22" x14ac:dyDescent="0.25">
      <c r="A147" s="11"/>
      <c r="B147" s="16"/>
      <c r="C147" t="str">
        <f>IFERROR(INDEX(Ejecutivos!$B$2:$B$100,MATCH(B147,Ejecutivos!$A$2:$A$100,0)),"")</f>
        <v/>
      </c>
      <c r="D147" s="19"/>
      <c r="E147" s="21"/>
      <c r="F147" s="19"/>
      <c r="G147" s="21"/>
      <c r="H147" s="20"/>
      <c r="I147" s="20"/>
      <c r="J147" s="20"/>
      <c r="K147" s="20"/>
      <c r="L147" s="18">
        <v>0</v>
      </c>
      <c r="M147" t="str">
        <f t="shared" si="11"/>
        <v/>
      </c>
      <c r="N147" t="str">
        <f>IF(OR($D147="",$S147=""),"",IFERROR(MAX(0,ROUND(($D147-INDEX(Config!$C$15:$C$18,MATCH($S147,Config!$B$15:$B$18,0)))*24*60,0)),""))</f>
        <v/>
      </c>
      <c r="O147" t="str">
        <f t="shared" si="12"/>
        <v/>
      </c>
      <c r="P147" t="str">
        <f t="shared" si="13"/>
        <v/>
      </c>
      <c r="Q147" t="str">
        <f>IF(OR($P147="",$S147=""),"",IFERROR($P147-INDEX(Config!$E$15:$E$18,MATCH($S147,Config!$B$15:$B$18,0)),""))</f>
        <v/>
      </c>
      <c r="R147" t="str">
        <f t="shared" si="14"/>
        <v/>
      </c>
      <c r="S147" s="6" t="str">
        <f>IF(OR($A147="",$C147=""),"",IFERROR(INDEX(Turno!$C$3:$V$32,MATCH($C147,Turno!$B$3:$B$32,0),MATCH(DAY($A147),Turno!$C$1:$V$1,0)),""))</f>
        <v/>
      </c>
      <c r="T147" t="str">
        <f>IF(OR($E147="",$S147=""),"",IFERROR(MAX(0,ROUND((INDEX(Config!$D$15:$D$18,MATCH($S147,Config!$B$15:$B$18,0))-$E147)*1440,0)),""))</f>
        <v/>
      </c>
      <c r="U147" s="13" t="str">
        <f>IF(OR($N147="",$T147=""),"",IFERROR(MAX(0,1-($N147+$T147+MAX(0,N($Q147)))/ROUND((INDEX(Config!$D$15:$D$18,MATCH($S147,Config!$B$15:$B$18,0))-INDEX(Config!$C$15:$C$18,MATCH($S147,Config!$B$15:$B$18,0)))*1440,0)),""))</f>
        <v/>
      </c>
      <c r="V147" s="5"/>
    </row>
    <row r="148" spans="1:22" x14ac:dyDescent="0.25">
      <c r="A148" s="11"/>
      <c r="B148" s="16"/>
      <c r="C148" t="str">
        <f>IFERROR(INDEX(Ejecutivos!$B$2:$B$100,MATCH(B148,Ejecutivos!$A$2:$A$100,0)),"")</f>
        <v/>
      </c>
      <c r="D148" s="19"/>
      <c r="E148" s="21"/>
      <c r="F148" s="19"/>
      <c r="G148" s="21"/>
      <c r="H148" s="20"/>
      <c r="I148" s="20"/>
      <c r="J148" s="20"/>
      <c r="K148" s="20"/>
      <c r="L148" s="18">
        <v>0</v>
      </c>
      <c r="M148" t="str">
        <f t="shared" si="11"/>
        <v/>
      </c>
      <c r="N148" t="str">
        <f>IF(OR($D148="",$S148=""),"",IFERROR(MAX(0,ROUND(($D148-INDEX(Config!$C$15:$C$18,MATCH($S148,Config!$B$15:$B$18,0)))*24*60,0)),""))</f>
        <v/>
      </c>
      <c r="O148" t="str">
        <f t="shared" si="12"/>
        <v/>
      </c>
      <c r="P148" t="str">
        <f t="shared" si="13"/>
        <v/>
      </c>
      <c r="Q148" t="str">
        <f>IF(OR($P148="",$S148=""),"",IFERROR($P148-INDEX(Config!$E$15:$E$18,MATCH($S148,Config!$B$15:$B$18,0)),""))</f>
        <v/>
      </c>
      <c r="R148" t="str">
        <f t="shared" si="14"/>
        <v/>
      </c>
      <c r="S148" s="6" t="str">
        <f>IF(OR($A148="",$C148=""),"",IFERROR(INDEX(Turno!$C$3:$V$32,MATCH($C148,Turno!$B$3:$B$32,0),MATCH(DAY($A148),Turno!$C$1:$V$1,0)),""))</f>
        <v/>
      </c>
      <c r="T148" t="str">
        <f>IF(OR($E148="",$S148=""),"",IFERROR(MAX(0,ROUND((INDEX(Config!$D$15:$D$18,MATCH($S148,Config!$B$15:$B$18,0))-$E148)*1440,0)),""))</f>
        <v/>
      </c>
      <c r="U148" s="13" t="str">
        <f>IF(OR($N148="",$T148=""),"",IFERROR(MAX(0,1-($N148+$T148+MAX(0,N($Q148)))/ROUND((INDEX(Config!$D$15:$D$18,MATCH($S148,Config!$B$15:$B$18,0))-INDEX(Config!$C$15:$C$18,MATCH($S148,Config!$B$15:$B$18,0)))*1440,0)),""))</f>
        <v/>
      </c>
      <c r="V148" s="5"/>
    </row>
    <row r="149" spans="1:22" x14ac:dyDescent="0.25">
      <c r="A149" s="11"/>
      <c r="B149" s="16"/>
      <c r="C149" t="str">
        <f>IFERROR(INDEX(Ejecutivos!$B$2:$B$100,MATCH(B149,Ejecutivos!$A$2:$A$100,0)),"")</f>
        <v/>
      </c>
      <c r="D149" s="19"/>
      <c r="E149" s="21"/>
      <c r="F149" s="19"/>
      <c r="G149" s="21"/>
      <c r="H149" s="20"/>
      <c r="I149" s="20"/>
      <c r="J149" s="20"/>
      <c r="K149" s="20"/>
      <c r="L149" s="18">
        <v>0</v>
      </c>
      <c r="M149" t="str">
        <f t="shared" si="11"/>
        <v/>
      </c>
      <c r="N149" t="str">
        <f>IF(OR($D149="",$S149=""),"",IFERROR(MAX(0,ROUND(($D149-INDEX(Config!$C$15:$C$18,MATCH($S149,Config!$B$15:$B$18,0)))*24*60,0)),""))</f>
        <v/>
      </c>
      <c r="O149" t="str">
        <f t="shared" si="12"/>
        <v/>
      </c>
      <c r="P149" t="str">
        <f t="shared" si="13"/>
        <v/>
      </c>
      <c r="Q149" t="str">
        <f>IF(OR($P149="",$S149=""),"",IFERROR($P149-INDEX(Config!$E$15:$E$18,MATCH($S149,Config!$B$15:$B$18,0)),""))</f>
        <v/>
      </c>
      <c r="R149" t="str">
        <f t="shared" si="14"/>
        <v/>
      </c>
      <c r="S149" s="6" t="str">
        <f>IF(OR($A149="",$C149=""),"",IFERROR(INDEX(Turno!$C$3:$V$32,MATCH($C149,Turno!$B$3:$B$32,0),MATCH(DAY($A149),Turno!$C$1:$V$1,0)),""))</f>
        <v/>
      </c>
      <c r="T149" t="str">
        <f>IF(OR($E149="",$S149=""),"",IFERROR(MAX(0,ROUND((INDEX(Config!$D$15:$D$18,MATCH($S149,Config!$B$15:$B$18,0))-$E149)*1440,0)),""))</f>
        <v/>
      </c>
      <c r="U149" s="13" t="str">
        <f>IF(OR($N149="",$T149=""),"",IFERROR(MAX(0,1-($N149+$T149+MAX(0,N($Q149)))/ROUND((INDEX(Config!$D$15:$D$18,MATCH($S149,Config!$B$15:$B$18,0))-INDEX(Config!$C$15:$C$18,MATCH($S149,Config!$B$15:$B$18,0)))*1440,0)),""))</f>
        <v/>
      </c>
      <c r="V149" s="5"/>
    </row>
    <row r="150" spans="1:22" x14ac:dyDescent="0.25">
      <c r="A150" s="11"/>
      <c r="B150" s="16"/>
      <c r="C150" t="str">
        <f>IFERROR(INDEX(Ejecutivos!$B$2:$B$100,MATCH(B150,Ejecutivos!$A$2:$A$100,0)),"")</f>
        <v/>
      </c>
      <c r="D150" s="19"/>
      <c r="E150" s="21"/>
      <c r="F150" s="19"/>
      <c r="G150" s="21"/>
      <c r="H150" s="20"/>
      <c r="I150" s="20"/>
      <c r="J150" s="20"/>
      <c r="K150" s="20"/>
      <c r="L150" s="18">
        <v>0</v>
      </c>
      <c r="M150" t="str">
        <f t="shared" si="11"/>
        <v/>
      </c>
      <c r="N150" t="str">
        <f>IF(OR($D150="",$S150=""),"",IFERROR(MAX(0,ROUND(($D150-INDEX(Config!$C$15:$C$18,MATCH($S150,Config!$B$15:$B$18,0)))*24*60,0)),""))</f>
        <v/>
      </c>
      <c r="O150" t="str">
        <f t="shared" si="12"/>
        <v/>
      </c>
      <c r="P150" t="str">
        <f t="shared" si="13"/>
        <v/>
      </c>
      <c r="Q150" t="str">
        <f>IF(OR($P150="",$S150=""),"",IFERROR($P150-INDEX(Config!$E$15:$E$18,MATCH($S150,Config!$B$15:$B$18,0)),""))</f>
        <v/>
      </c>
      <c r="R150" t="str">
        <f t="shared" si="14"/>
        <v/>
      </c>
      <c r="S150" s="6" t="str">
        <f>IF(OR($A150="",$C150=""),"",IFERROR(INDEX(Turno!$C$3:$V$32,MATCH($C150,Turno!$B$3:$B$32,0),MATCH(DAY($A150),Turno!$C$1:$V$1,0)),""))</f>
        <v/>
      </c>
      <c r="T150" t="str">
        <f>IF(OR($E150="",$S150=""),"",IFERROR(MAX(0,ROUND((INDEX(Config!$D$15:$D$18,MATCH($S150,Config!$B$15:$B$18,0))-$E150)*1440,0)),""))</f>
        <v/>
      </c>
      <c r="U150" s="13" t="str">
        <f>IF(OR($N150="",$T150=""),"",IFERROR(MAX(0,1-($N150+$T150+MAX(0,N($Q150)))/ROUND((INDEX(Config!$D$15:$D$18,MATCH($S150,Config!$B$15:$B$18,0))-INDEX(Config!$C$15:$C$18,MATCH($S150,Config!$B$15:$B$18,0)))*1440,0)),""))</f>
        <v/>
      </c>
      <c r="V150" s="5"/>
    </row>
    <row r="151" spans="1:22" x14ac:dyDescent="0.25">
      <c r="A151" s="11"/>
      <c r="B151" s="16"/>
      <c r="C151" t="str">
        <f>IFERROR(INDEX(Ejecutivos!$B$2:$B$100,MATCH(B151,Ejecutivos!$A$2:$A$100,0)),"")</f>
        <v/>
      </c>
      <c r="D151" s="19"/>
      <c r="E151" s="21"/>
      <c r="F151" s="19"/>
      <c r="G151" s="21"/>
      <c r="H151" s="20"/>
      <c r="I151" s="20"/>
      <c r="J151" s="20"/>
      <c r="K151" s="20"/>
      <c r="L151" s="18">
        <v>0</v>
      </c>
      <c r="M151" t="str">
        <f t="shared" si="11"/>
        <v/>
      </c>
      <c r="N151" t="str">
        <f>IF(OR($D151="",$S151=""),"",IFERROR(MAX(0,ROUND(($D151-INDEX(Config!$C$15:$C$18,MATCH($S151,Config!$B$15:$B$18,0)))*24*60,0)),""))</f>
        <v/>
      </c>
      <c r="O151" t="str">
        <f t="shared" si="12"/>
        <v/>
      </c>
      <c r="P151" t="str">
        <f t="shared" si="13"/>
        <v/>
      </c>
      <c r="Q151" t="str">
        <f>IF(OR($P151="",$S151=""),"",IFERROR($P151-INDEX(Config!$E$15:$E$18,MATCH($S151,Config!$B$15:$B$18,0)),""))</f>
        <v/>
      </c>
      <c r="R151" t="str">
        <f t="shared" si="14"/>
        <v/>
      </c>
      <c r="S151" s="6" t="str">
        <f>IF(OR($A151="",$C151=""),"",IFERROR(INDEX(Turno!$C$3:$V$32,MATCH($C151,Turno!$B$3:$B$32,0),MATCH(DAY($A151),Turno!$C$1:$V$1,0)),""))</f>
        <v/>
      </c>
      <c r="T151" t="str">
        <f>IF(OR($E151="",$S151=""),"",IFERROR(MAX(0,ROUND((INDEX(Config!$D$15:$D$18,MATCH($S151,Config!$B$15:$B$18,0))-$E151)*1440,0)),""))</f>
        <v/>
      </c>
      <c r="U151" s="13" t="str">
        <f>IF(OR($N151="",$T151=""),"",IFERROR(MAX(0,1-($N151+$T151+MAX(0,N($Q151)))/ROUND((INDEX(Config!$D$15:$D$18,MATCH($S151,Config!$B$15:$B$18,0))-INDEX(Config!$C$15:$C$18,MATCH($S151,Config!$B$15:$B$18,0)))*1440,0)),""))</f>
        <v/>
      </c>
      <c r="V151" s="5"/>
    </row>
    <row r="152" spans="1:22" x14ac:dyDescent="0.25">
      <c r="A152" s="11"/>
      <c r="B152" s="16"/>
      <c r="C152" t="str">
        <f>IFERROR(INDEX(Ejecutivos!$B$2:$B$100,MATCH(B152,Ejecutivos!$A$2:$A$100,0)),"")</f>
        <v/>
      </c>
      <c r="D152" s="19"/>
      <c r="E152" s="21"/>
      <c r="F152" s="19"/>
      <c r="G152" s="21"/>
      <c r="H152" s="20"/>
      <c r="I152" s="20"/>
      <c r="J152" s="20"/>
      <c r="K152" s="20"/>
      <c r="L152" s="18">
        <v>0</v>
      </c>
      <c r="M152" t="str">
        <f t="shared" si="11"/>
        <v/>
      </c>
      <c r="N152" t="str">
        <f>IF(OR($D152="",$S152=""),"",IFERROR(MAX(0,ROUND(($D152-INDEX(Config!$C$15:$C$18,MATCH($S152,Config!$B$15:$B$18,0)))*24*60,0)),""))</f>
        <v/>
      </c>
      <c r="O152" t="str">
        <f t="shared" si="12"/>
        <v/>
      </c>
      <c r="P152" t="str">
        <f t="shared" si="13"/>
        <v/>
      </c>
      <c r="Q152" t="str">
        <f>IF(OR($P152="",$S152=""),"",IFERROR($P152-INDEX(Config!$E$15:$E$18,MATCH($S152,Config!$B$15:$B$18,0)),""))</f>
        <v/>
      </c>
      <c r="R152" t="str">
        <f t="shared" si="14"/>
        <v/>
      </c>
      <c r="S152" s="6" t="str">
        <f>IF(OR($A152="",$C152=""),"",IFERROR(INDEX(Turno!$C$3:$V$32,MATCH($C152,Turno!$B$3:$B$32,0),MATCH(DAY($A152),Turno!$C$1:$V$1,0)),""))</f>
        <v/>
      </c>
      <c r="T152" t="str">
        <f>IF(OR($E152="",$S152=""),"",IFERROR(MAX(0,ROUND((INDEX(Config!$D$15:$D$18,MATCH($S152,Config!$B$15:$B$18,0))-$E152)*1440,0)),""))</f>
        <v/>
      </c>
      <c r="U152" s="13" t="str">
        <f>IF(OR($N152="",$T152=""),"",IFERROR(MAX(0,1-($N152+$T152+MAX(0,N($Q152)))/ROUND((INDEX(Config!$D$15:$D$18,MATCH($S152,Config!$B$15:$B$18,0))-INDEX(Config!$C$15:$C$18,MATCH($S152,Config!$B$15:$B$18,0)))*1440,0)),""))</f>
        <v/>
      </c>
      <c r="V152" s="5"/>
    </row>
    <row r="153" spans="1:22" x14ac:dyDescent="0.25">
      <c r="A153" s="11"/>
      <c r="B153" s="16"/>
      <c r="C153" t="str">
        <f>IFERROR(INDEX(Ejecutivos!$B$2:$B$100,MATCH(B153,Ejecutivos!$A$2:$A$100,0)),"")</f>
        <v/>
      </c>
      <c r="D153" s="19"/>
      <c r="E153" s="21"/>
      <c r="F153" s="20"/>
      <c r="G153" s="22"/>
      <c r="H153" s="20"/>
      <c r="I153" s="20"/>
      <c r="J153" s="20"/>
      <c r="K153" s="20"/>
      <c r="L153" s="18">
        <v>0</v>
      </c>
      <c r="M153" t="str">
        <f t="shared" si="11"/>
        <v/>
      </c>
      <c r="N153" t="str">
        <f>IF(OR($D153="",$S153=""),"",IFERROR(MAX(0,ROUND(($D153-INDEX(Config!$C$15:$C$18,MATCH($S153,Config!$B$15:$B$18,0)))*24*60,0)),""))</f>
        <v/>
      </c>
      <c r="O153" t="str">
        <f t="shared" si="12"/>
        <v/>
      </c>
      <c r="P153" t="str">
        <f t="shared" si="13"/>
        <v/>
      </c>
      <c r="Q153" t="str">
        <f>IF(OR($P153="",$S153=""),"",IFERROR($P153-INDEX(Config!$E$15:$E$18,MATCH($S153,Config!$B$15:$B$18,0)),""))</f>
        <v/>
      </c>
      <c r="R153" t="str">
        <f t="shared" si="14"/>
        <v/>
      </c>
      <c r="S153" s="6" t="str">
        <f>IF(OR($A153="",$C153=""),"",IFERROR(INDEX(Turno!$C$3:$V$32,MATCH($C153,Turno!$B$3:$B$32,0),MATCH(DAY($A153),Turno!$C$1:$V$1,0)),""))</f>
        <v/>
      </c>
      <c r="T153" t="str">
        <f>IF(OR($E153="",$S153=""),"",IFERROR(MAX(0,ROUND((INDEX(Config!$D$15:$D$18,MATCH($S153,Config!$B$15:$B$18,0))-$E153)*1440,0)),""))</f>
        <v/>
      </c>
      <c r="U153" s="13" t="str">
        <f>IF(OR($N153="",$T153=""),"",IFERROR(MAX(0,1-($N153+$T153+MAX(0,N($Q153)))/ROUND((INDEX(Config!$D$15:$D$18,MATCH($S153,Config!$B$15:$B$18,0))-INDEX(Config!$C$15:$C$18,MATCH($S153,Config!$B$15:$B$18,0)))*1440,0)),""))</f>
        <v/>
      </c>
      <c r="V153" s="5"/>
    </row>
    <row r="154" spans="1:22" x14ac:dyDescent="0.25">
      <c r="A154" s="11"/>
      <c r="B154" s="16"/>
      <c r="C154" t="str">
        <f>IFERROR(INDEX(Ejecutivos!$B$2:$B$100,MATCH(B154,Ejecutivos!$A$2:$A$100,0)),"")</f>
        <v/>
      </c>
      <c r="D154" s="19"/>
      <c r="E154" s="21"/>
      <c r="F154" s="19"/>
      <c r="G154" s="21"/>
      <c r="H154" s="20"/>
      <c r="I154" s="20"/>
      <c r="J154" s="20"/>
      <c r="K154" s="20"/>
      <c r="L154" s="18">
        <v>0</v>
      </c>
      <c r="M154" t="str">
        <f t="shared" si="11"/>
        <v/>
      </c>
      <c r="N154" t="str">
        <f>IF(OR($D154="",$S154=""),"",IFERROR(MAX(0,ROUND(($D154-INDEX(Config!$C$15:$C$18,MATCH($S154,Config!$B$15:$B$18,0)))*24*60,0)),""))</f>
        <v/>
      </c>
      <c r="O154" t="str">
        <f t="shared" si="12"/>
        <v/>
      </c>
      <c r="P154" t="str">
        <f t="shared" si="13"/>
        <v/>
      </c>
      <c r="Q154" t="str">
        <f>IF(OR($P154="",$S154=""),"",IFERROR($P154-INDEX(Config!$E$15:$E$18,MATCH($S154,Config!$B$15:$B$18,0)),""))</f>
        <v/>
      </c>
      <c r="R154" t="str">
        <f t="shared" si="14"/>
        <v/>
      </c>
      <c r="S154" s="6" t="str">
        <f>IF(OR($A154="",$C154=""),"",IFERROR(INDEX(Turno!$C$3:$V$32,MATCH($C154,Turno!$B$3:$B$32,0),MATCH(DAY($A154),Turno!$C$1:$V$1,0)),""))</f>
        <v/>
      </c>
      <c r="T154" t="str">
        <f>IF(OR($E154="",$S154=""),"",IFERROR(MAX(0,ROUND((INDEX(Config!$D$15:$D$18,MATCH($S154,Config!$B$15:$B$18,0))-$E154)*1440,0)),""))</f>
        <v/>
      </c>
      <c r="U154" s="13" t="str">
        <f>IF(OR($N154="",$T154=""),"",IFERROR(MAX(0,1-($N154+$T154+MAX(0,N($Q154)))/ROUND((INDEX(Config!$D$15:$D$18,MATCH($S154,Config!$B$15:$B$18,0))-INDEX(Config!$C$15:$C$18,MATCH($S154,Config!$B$15:$B$18,0)))*1440,0)),""))</f>
        <v/>
      </c>
      <c r="V154" s="5"/>
    </row>
    <row r="155" spans="1:22" x14ac:dyDescent="0.25">
      <c r="A155" s="11"/>
      <c r="B155" s="16"/>
      <c r="C155" t="str">
        <f>IFERROR(INDEX(Ejecutivos!$B$2:$B$100,MATCH(B155,Ejecutivos!$A$2:$A$100,0)),"")</f>
        <v/>
      </c>
      <c r="D155" s="19"/>
      <c r="E155" s="21"/>
      <c r="F155" s="19"/>
      <c r="G155" s="21"/>
      <c r="H155" s="20"/>
      <c r="I155" s="20"/>
      <c r="J155" s="20"/>
      <c r="K155" s="20"/>
      <c r="L155" s="18">
        <v>0</v>
      </c>
      <c r="M155" t="str">
        <f t="shared" si="11"/>
        <v/>
      </c>
      <c r="N155" t="str">
        <f>IF(OR($D155="",$S155=""),"",IFERROR(MAX(0,ROUND(($D155-INDEX(Config!$C$15:$C$18,MATCH($S155,Config!$B$15:$B$18,0)))*24*60,0)),""))</f>
        <v/>
      </c>
      <c r="O155" t="str">
        <f t="shared" si="12"/>
        <v/>
      </c>
      <c r="P155" t="str">
        <f t="shared" si="13"/>
        <v/>
      </c>
      <c r="Q155" t="str">
        <f>IF(OR($P155="",$S155=""),"",IFERROR($P155-INDEX(Config!$E$15:$E$18,MATCH($S155,Config!$B$15:$B$18,0)),""))</f>
        <v/>
      </c>
      <c r="R155" t="str">
        <f t="shared" si="14"/>
        <v/>
      </c>
      <c r="S155" s="6" t="str">
        <f>IF(OR($A155="",$C155=""),"",IFERROR(INDEX(Turno!$C$3:$V$32,MATCH($C155,Turno!$B$3:$B$32,0),MATCH(DAY($A155),Turno!$C$1:$V$1,0)),""))</f>
        <v/>
      </c>
      <c r="T155" t="str">
        <f>IF(OR($E155="",$S155=""),"",IFERROR(MAX(0,ROUND((INDEX(Config!$D$15:$D$18,MATCH($S155,Config!$B$15:$B$18,0))-$E155)*1440,0)),""))</f>
        <v/>
      </c>
      <c r="U155" s="13" t="str">
        <f>IF(OR($N155="",$T155=""),"",IFERROR(MAX(0,1-($N155+$T155+MAX(0,N($Q155)))/ROUND((INDEX(Config!$D$15:$D$18,MATCH($S155,Config!$B$15:$B$18,0))-INDEX(Config!$C$15:$C$18,MATCH($S155,Config!$B$15:$B$18,0)))*1440,0)),""))</f>
        <v/>
      </c>
      <c r="V155" s="5"/>
    </row>
    <row r="156" spans="1:22" x14ac:dyDescent="0.25">
      <c r="A156" s="11"/>
      <c r="B156" s="16"/>
      <c r="C156" t="str">
        <f>IFERROR(INDEX(Ejecutivos!$B$2:$B$100,MATCH(B156,Ejecutivos!$A$2:$A$100,0)),"")</f>
        <v/>
      </c>
      <c r="D156" s="19"/>
      <c r="E156" s="21"/>
      <c r="F156" s="19"/>
      <c r="G156" s="21"/>
      <c r="H156" s="20"/>
      <c r="I156" s="20"/>
      <c r="J156" s="20"/>
      <c r="K156" s="20"/>
      <c r="L156" s="18">
        <v>0</v>
      </c>
      <c r="M156" t="str">
        <f t="shared" si="11"/>
        <v/>
      </c>
      <c r="N156" t="str">
        <f>IF(OR($D156="",$S156=""),"",IFERROR(MAX(0,ROUND(($D156-INDEX(Config!$C$15:$C$18,MATCH($S156,Config!$B$15:$B$18,0)))*24*60,0)),""))</f>
        <v/>
      </c>
      <c r="O156" t="str">
        <f t="shared" si="12"/>
        <v/>
      </c>
      <c r="P156" t="str">
        <f t="shared" si="13"/>
        <v/>
      </c>
      <c r="Q156" t="str">
        <f>IF(OR($P156="",$S156=""),"",IFERROR($P156-INDEX(Config!$E$15:$E$18,MATCH($S156,Config!$B$15:$B$18,0)),""))</f>
        <v/>
      </c>
      <c r="R156" t="str">
        <f t="shared" si="14"/>
        <v/>
      </c>
      <c r="S156" s="6" t="str">
        <f>IF(OR($A156="",$C156=""),"",IFERROR(INDEX(Turno!$C$3:$V$32,MATCH($C156,Turno!$B$3:$B$32,0),MATCH(DAY($A156),Turno!$C$1:$V$1,0)),""))</f>
        <v/>
      </c>
      <c r="T156" t="str">
        <f>IF(OR($E156="",$S156=""),"",IFERROR(MAX(0,ROUND((INDEX(Config!$D$15:$D$18,MATCH($S156,Config!$B$15:$B$18,0))-$E156)*1440,0)),""))</f>
        <v/>
      </c>
      <c r="U156" s="13" t="str">
        <f>IF(OR($N156="",$T156=""),"",IFERROR(MAX(0,1-($N156+$T156+MAX(0,N($Q156)))/ROUND((INDEX(Config!$D$15:$D$18,MATCH($S156,Config!$B$15:$B$18,0))-INDEX(Config!$C$15:$C$18,MATCH($S156,Config!$B$15:$B$18,0)))*1440,0)),""))</f>
        <v/>
      </c>
      <c r="V156" s="5"/>
    </row>
    <row r="157" spans="1:22" x14ac:dyDescent="0.25">
      <c r="A157" s="11"/>
      <c r="B157" s="16"/>
      <c r="C157" t="str">
        <f>IFERROR(INDEX(Ejecutivos!$B$2:$B$100,MATCH(B157,Ejecutivos!$A$2:$A$100,0)),"")</f>
        <v/>
      </c>
      <c r="D157" s="19"/>
      <c r="E157" s="21"/>
      <c r="F157" s="19"/>
      <c r="G157" s="21"/>
      <c r="H157" s="20"/>
      <c r="I157" s="20"/>
      <c r="J157" s="20"/>
      <c r="K157" s="20"/>
      <c r="L157" s="18">
        <v>0</v>
      </c>
      <c r="M157" t="str">
        <f t="shared" si="11"/>
        <v/>
      </c>
      <c r="N157" t="str">
        <f>IF(OR($D157="",$S157=""),"",IFERROR(MAX(0,ROUND(($D157-INDEX(Config!$C$15:$C$18,MATCH($S157,Config!$B$15:$B$18,0)))*24*60,0)),""))</f>
        <v/>
      </c>
      <c r="O157" t="str">
        <f t="shared" si="12"/>
        <v/>
      </c>
      <c r="P157" t="str">
        <f t="shared" si="13"/>
        <v/>
      </c>
      <c r="Q157" t="str">
        <f>IF(OR($P157="",$S157=""),"",IFERROR($P157-INDEX(Config!$E$15:$E$18,MATCH($S157,Config!$B$15:$B$18,0)),""))</f>
        <v/>
      </c>
      <c r="R157" t="str">
        <f t="shared" si="14"/>
        <v/>
      </c>
      <c r="S157" s="6" t="str">
        <f>IF(OR($A157="",$C157=""),"",IFERROR(INDEX(Turno!$C$3:$V$32,MATCH($C157,Turno!$B$3:$B$32,0),MATCH(DAY($A157),Turno!$C$1:$V$1,0)),""))</f>
        <v/>
      </c>
      <c r="T157" t="str">
        <f>IF(OR($E157="",$S157=""),"",IFERROR(MAX(0,ROUND((INDEX(Config!$D$15:$D$18,MATCH($S157,Config!$B$15:$B$18,0))-$E157)*1440,0)),""))</f>
        <v/>
      </c>
      <c r="U157" s="13" t="str">
        <f>IF(OR($N157="",$T157=""),"",IFERROR(MAX(0,1-($N157+$T157+MAX(0,N($Q157)))/ROUND((INDEX(Config!$D$15:$D$18,MATCH($S157,Config!$B$15:$B$18,0))-INDEX(Config!$C$15:$C$18,MATCH($S157,Config!$B$15:$B$18,0)))*1440,0)),""))</f>
        <v/>
      </c>
      <c r="V157" s="5"/>
    </row>
    <row r="158" spans="1:22" x14ac:dyDescent="0.25">
      <c r="A158" s="11"/>
      <c r="B158" s="16"/>
      <c r="C158" t="str">
        <f>IFERROR(INDEX(Ejecutivos!$B$2:$B$100,MATCH(B158,Ejecutivos!$A$2:$A$100,0)),"")</f>
        <v/>
      </c>
      <c r="D158" s="19"/>
      <c r="E158" s="21"/>
      <c r="F158" s="20"/>
      <c r="G158" s="22"/>
      <c r="H158" s="20"/>
      <c r="I158" s="20"/>
      <c r="J158" s="20"/>
      <c r="K158" s="20"/>
      <c r="L158" s="18">
        <v>0</v>
      </c>
      <c r="M158" t="str">
        <f t="shared" si="11"/>
        <v/>
      </c>
      <c r="N158" t="str">
        <f>IF(OR($D158="",$S158=""),"",IFERROR(MAX(0,ROUND(($D158-INDEX(Config!$C$15:$C$18,MATCH($S158,Config!$B$15:$B$18,0)))*24*60,0)),""))</f>
        <v/>
      </c>
      <c r="O158" t="str">
        <f t="shared" si="12"/>
        <v/>
      </c>
      <c r="P158" t="str">
        <f t="shared" si="13"/>
        <v/>
      </c>
      <c r="Q158" t="str">
        <f>IF(OR($P158="",$S158=""),"",IFERROR($P158-INDEX(Config!$E$15:$E$18,MATCH($S158,Config!$B$15:$B$18,0)),""))</f>
        <v/>
      </c>
      <c r="R158" t="str">
        <f t="shared" si="14"/>
        <v/>
      </c>
      <c r="S158" s="6" t="str">
        <f>IF(OR($A158="",$C158=""),"",IFERROR(INDEX(Turno!$C$3:$V$32,MATCH($C158,Turno!$B$3:$B$32,0),MATCH(DAY($A158),Turno!$C$1:$V$1,0)),""))</f>
        <v/>
      </c>
      <c r="T158" t="str">
        <f>IF(OR($E158="",$S158=""),"",IFERROR(MAX(0,ROUND((INDEX(Config!$D$15:$D$18,MATCH($S158,Config!$B$15:$B$18,0))-$E158)*1440,0)),""))</f>
        <v/>
      </c>
      <c r="U158" s="13" t="str">
        <f>IF(OR($N158="",$T158=""),"",IFERROR(MAX(0,1-($N158+$T158+MAX(0,N($Q158)))/ROUND((INDEX(Config!$D$15:$D$18,MATCH($S158,Config!$B$15:$B$18,0))-INDEX(Config!$C$15:$C$18,MATCH($S158,Config!$B$15:$B$18,0)))*1440,0)),""))</f>
        <v/>
      </c>
      <c r="V158" s="5"/>
    </row>
    <row r="159" spans="1:22" x14ac:dyDescent="0.25">
      <c r="A159" s="11"/>
      <c r="B159" s="16"/>
      <c r="C159" t="str">
        <f>IFERROR(INDEX(Ejecutivos!$B$2:$B$100,MATCH(B159,Ejecutivos!$A$2:$A$100,0)),"")</f>
        <v/>
      </c>
      <c r="D159" s="19"/>
      <c r="E159" s="21"/>
      <c r="F159" s="19"/>
      <c r="G159" s="21"/>
      <c r="H159" s="20"/>
      <c r="I159" s="20"/>
      <c r="J159" s="20"/>
      <c r="K159" s="20"/>
      <c r="L159" s="18">
        <v>0</v>
      </c>
      <c r="M159" t="str">
        <f t="shared" si="11"/>
        <v/>
      </c>
      <c r="N159" t="str">
        <f>IF(OR($D159="",$S159=""),"",IFERROR(MAX(0,ROUND(($D159-INDEX(Config!$C$15:$C$18,MATCH($S159,Config!$B$15:$B$18,0)))*24*60,0)),""))</f>
        <v/>
      </c>
      <c r="O159" t="str">
        <f t="shared" si="12"/>
        <v/>
      </c>
      <c r="P159" t="str">
        <f t="shared" si="13"/>
        <v/>
      </c>
      <c r="Q159" t="str">
        <f>IF(OR($P159="",$S159=""),"",IFERROR($P159-INDEX(Config!$E$15:$E$18,MATCH($S159,Config!$B$15:$B$18,0)),""))</f>
        <v/>
      </c>
      <c r="R159" t="str">
        <f t="shared" si="14"/>
        <v/>
      </c>
      <c r="S159" s="6" t="str">
        <f>IF(OR($A159="",$C159=""),"",IFERROR(INDEX(Turno!$C$3:$V$32,MATCH($C159,Turno!$B$3:$B$32,0),MATCH(DAY($A159),Turno!$C$1:$V$1,0)),""))</f>
        <v/>
      </c>
      <c r="T159" t="str">
        <f>IF(OR($E159="",$S159=""),"",IFERROR(MAX(0,ROUND((INDEX(Config!$D$15:$D$18,MATCH($S159,Config!$B$15:$B$18,0))-$E159)*1440,0)),""))</f>
        <v/>
      </c>
      <c r="U159" s="13" t="str">
        <f>IF(OR($N159="",$T159=""),"",IFERROR(MAX(0,1-($N159+$T159+MAX(0,N($Q159)))/ROUND((INDEX(Config!$D$15:$D$18,MATCH($S159,Config!$B$15:$B$18,0))-INDEX(Config!$C$15:$C$18,MATCH($S159,Config!$B$15:$B$18,0)))*1440,0)),""))</f>
        <v/>
      </c>
      <c r="V159" s="5"/>
    </row>
    <row r="160" spans="1:22" x14ac:dyDescent="0.25">
      <c r="A160" s="11"/>
      <c r="B160" s="16"/>
      <c r="C160" t="str">
        <f>IFERROR(INDEX(Ejecutivos!$B$2:$B$100,MATCH(B160,Ejecutivos!$A$2:$A$100,0)),"")</f>
        <v/>
      </c>
      <c r="D160" s="19"/>
      <c r="E160" s="21"/>
      <c r="F160" s="19"/>
      <c r="G160" s="21"/>
      <c r="H160" s="20"/>
      <c r="I160" s="20"/>
      <c r="J160" s="20"/>
      <c r="K160" s="20"/>
      <c r="L160" s="18">
        <v>0</v>
      </c>
      <c r="M160" t="str">
        <f t="shared" si="11"/>
        <v/>
      </c>
      <c r="N160" t="str">
        <f>IF(OR($D160="",$S160=""),"",IFERROR(MAX(0,ROUND(($D160-INDEX(Config!$C$15:$C$18,MATCH($S160,Config!$B$15:$B$18,0)))*24*60,0)),""))</f>
        <v/>
      </c>
      <c r="O160" t="str">
        <f t="shared" si="12"/>
        <v/>
      </c>
      <c r="P160" t="str">
        <f t="shared" si="13"/>
        <v/>
      </c>
      <c r="Q160" t="str">
        <f>IF(OR($P160="",$S160=""),"",IFERROR($P160-INDEX(Config!$E$15:$E$18,MATCH($S160,Config!$B$15:$B$18,0)),""))</f>
        <v/>
      </c>
      <c r="R160" t="str">
        <f t="shared" si="14"/>
        <v/>
      </c>
      <c r="S160" s="6" t="str">
        <f>IF(OR($A160="",$C160=""),"",IFERROR(INDEX(Turno!$C$3:$V$32,MATCH($C160,Turno!$B$3:$B$32,0),MATCH(DAY($A160),Turno!$C$1:$V$1,0)),""))</f>
        <v/>
      </c>
      <c r="T160" t="str">
        <f>IF(OR($E160="",$S160=""),"",IFERROR(MAX(0,ROUND((INDEX(Config!$D$15:$D$18,MATCH($S160,Config!$B$15:$B$18,0))-$E160)*1440,0)),""))</f>
        <v/>
      </c>
      <c r="U160" s="13" t="str">
        <f>IF(OR($N160="",$T160=""),"",IFERROR(MAX(0,1-($N160+$T160+MAX(0,N($Q160)))/ROUND((INDEX(Config!$D$15:$D$18,MATCH($S160,Config!$B$15:$B$18,0))-INDEX(Config!$C$15:$C$18,MATCH($S160,Config!$B$15:$B$18,0)))*1440,0)),""))</f>
        <v/>
      </c>
      <c r="V160" s="5"/>
    </row>
    <row r="161" spans="1:22" x14ac:dyDescent="0.25">
      <c r="A161" s="11"/>
      <c r="B161" s="16"/>
      <c r="C161" t="str">
        <f>IFERROR(INDEX(Ejecutivos!$B$2:$B$100,MATCH(B161,Ejecutivos!$A$2:$A$100,0)),"")</f>
        <v/>
      </c>
      <c r="D161" s="19"/>
      <c r="E161" s="21"/>
      <c r="F161" s="19"/>
      <c r="G161" s="21"/>
      <c r="H161" s="20"/>
      <c r="I161" s="20"/>
      <c r="J161" s="20"/>
      <c r="K161" s="20"/>
      <c r="L161" s="18">
        <v>0</v>
      </c>
      <c r="M161" t="str">
        <f t="shared" si="11"/>
        <v/>
      </c>
      <c r="N161" t="str">
        <f>IF(OR($D161="",$S161=""),"",IFERROR(MAX(0,ROUND(($D161-INDEX(Config!$C$15:$C$18,MATCH($S161,Config!$B$15:$B$18,0)))*24*60,0)),""))</f>
        <v/>
      </c>
      <c r="O161" t="str">
        <f t="shared" si="12"/>
        <v/>
      </c>
      <c r="P161" t="str">
        <f t="shared" si="13"/>
        <v/>
      </c>
      <c r="Q161" t="str">
        <f>IF(OR($P161="",$S161=""),"",IFERROR($P161-INDEX(Config!$E$15:$E$18,MATCH($S161,Config!$B$15:$B$18,0)),""))</f>
        <v/>
      </c>
      <c r="R161" t="str">
        <f t="shared" si="14"/>
        <v/>
      </c>
      <c r="S161" s="6" t="str">
        <f>IF(OR($A161="",$C161=""),"",IFERROR(INDEX(Turno!$C$3:$V$32,MATCH($C161,Turno!$B$3:$B$32,0),MATCH(DAY($A161),Turno!$C$1:$V$1,0)),""))</f>
        <v/>
      </c>
      <c r="T161" t="str">
        <f>IF(OR($E161="",$S161=""),"",IFERROR(MAX(0,ROUND((INDEX(Config!$D$15:$D$18,MATCH($S161,Config!$B$15:$B$18,0))-$E161)*1440,0)),""))</f>
        <v/>
      </c>
      <c r="U161" s="13" t="str">
        <f>IF(OR($N161="",$T161=""),"",IFERROR(MAX(0,1-($N161+$T161+MAX(0,N($Q161)))/ROUND((INDEX(Config!$D$15:$D$18,MATCH($S161,Config!$B$15:$B$18,0))-INDEX(Config!$C$15:$C$18,MATCH($S161,Config!$B$15:$B$18,0)))*1440,0)),""))</f>
        <v/>
      </c>
      <c r="V161" s="5"/>
    </row>
    <row r="162" spans="1:22" x14ac:dyDescent="0.25">
      <c r="A162" s="11"/>
      <c r="B162" s="16"/>
      <c r="C162" t="str">
        <f>IFERROR(INDEX(Ejecutivos!$B$2:$B$100,MATCH(B162,Ejecutivos!$A$2:$A$100,0)),"")</f>
        <v/>
      </c>
      <c r="D162" s="19"/>
      <c r="E162" s="21"/>
      <c r="F162" s="19"/>
      <c r="G162" s="21"/>
      <c r="H162" s="20"/>
      <c r="I162" s="20"/>
      <c r="J162" s="20"/>
      <c r="K162" s="20"/>
      <c r="L162" s="18">
        <v>0</v>
      </c>
      <c r="M162" t="str">
        <f t="shared" si="11"/>
        <v/>
      </c>
      <c r="N162" t="str">
        <f>IF(OR($D162="",$S162=""),"",IFERROR(MAX(0,ROUND(($D162-INDEX(Config!$C$15:$C$18,MATCH($S162,Config!$B$15:$B$18,0)))*24*60,0)),""))</f>
        <v/>
      </c>
      <c r="O162" t="str">
        <f t="shared" si="12"/>
        <v/>
      </c>
      <c r="P162" t="str">
        <f t="shared" si="13"/>
        <v/>
      </c>
      <c r="Q162" t="str">
        <f>IF(OR($P162="",$S162=""),"",IFERROR($P162-INDEX(Config!$E$15:$E$18,MATCH($S162,Config!$B$15:$B$18,0)),""))</f>
        <v/>
      </c>
      <c r="R162" t="str">
        <f t="shared" si="14"/>
        <v/>
      </c>
      <c r="S162" s="6" t="str">
        <f>IF(OR($A162="",$C162=""),"",IFERROR(INDEX(Turno!$C$3:$V$32,MATCH($C162,Turno!$B$3:$B$32,0),MATCH(DAY($A162),Turno!$C$1:$V$1,0)),""))</f>
        <v/>
      </c>
      <c r="T162" t="str">
        <f>IF(OR($E162="",$S162=""),"",IFERROR(MAX(0,ROUND((INDEX(Config!$D$15:$D$18,MATCH($S162,Config!$B$15:$B$18,0))-$E162)*1440,0)),""))</f>
        <v/>
      </c>
      <c r="U162" s="13" t="str">
        <f>IF(OR($N162="",$T162=""),"",IFERROR(MAX(0,1-($N162+$T162+MAX(0,N($Q162)))/ROUND((INDEX(Config!$D$15:$D$18,MATCH($S162,Config!$B$15:$B$18,0))-INDEX(Config!$C$15:$C$18,MATCH($S162,Config!$B$15:$B$18,0)))*1440,0)),""))</f>
        <v/>
      </c>
      <c r="V162" s="5"/>
    </row>
    <row r="163" spans="1:22" x14ac:dyDescent="0.25">
      <c r="A163" s="11"/>
      <c r="B163" s="16"/>
      <c r="C163" t="str">
        <f>IFERROR(INDEX(Ejecutivos!$B$2:$B$100,MATCH(B163,Ejecutivos!$A$2:$A$100,0)),"")</f>
        <v/>
      </c>
      <c r="D163" s="19"/>
      <c r="E163" s="21"/>
      <c r="F163" s="19"/>
      <c r="G163" s="21"/>
      <c r="H163" s="20"/>
      <c r="I163" s="20"/>
      <c r="J163" s="20"/>
      <c r="K163" s="20"/>
      <c r="L163" s="18">
        <v>0</v>
      </c>
      <c r="M163" t="str">
        <f t="shared" si="11"/>
        <v/>
      </c>
      <c r="N163" t="str">
        <f>IF(OR($D163="",$S163=""),"",IFERROR(MAX(0,ROUND(($D163-INDEX(Config!$C$15:$C$18,MATCH($S163,Config!$B$15:$B$18,0)))*24*60,0)),""))</f>
        <v/>
      </c>
      <c r="O163" t="str">
        <f t="shared" si="12"/>
        <v/>
      </c>
      <c r="P163" t="str">
        <f t="shared" si="13"/>
        <v/>
      </c>
      <c r="Q163" t="str">
        <f>IF(OR($P163="",$S163=""),"",IFERROR($P163-INDEX(Config!$E$15:$E$18,MATCH($S163,Config!$B$15:$B$18,0)),""))</f>
        <v/>
      </c>
      <c r="R163" t="str">
        <f t="shared" si="14"/>
        <v/>
      </c>
      <c r="S163" s="6" t="str">
        <f>IF(OR($A163="",$C163=""),"",IFERROR(INDEX(Turno!$C$3:$V$32,MATCH($C163,Turno!$B$3:$B$32,0),MATCH(DAY($A163),Turno!$C$1:$V$1,0)),""))</f>
        <v/>
      </c>
      <c r="T163" t="str">
        <f>IF(OR($E163="",$S163=""),"",IFERROR(MAX(0,ROUND((INDEX(Config!$D$15:$D$18,MATCH($S163,Config!$B$15:$B$18,0))-$E163)*1440,0)),""))</f>
        <v/>
      </c>
      <c r="U163" s="13" t="str">
        <f>IF(OR($N163="",$T163=""),"",IFERROR(MAX(0,1-($N163+$T163+MAX(0,N($Q163)))/ROUND((INDEX(Config!$D$15:$D$18,MATCH($S163,Config!$B$15:$B$18,0))-INDEX(Config!$C$15:$C$18,MATCH($S163,Config!$B$15:$B$18,0)))*1440,0)),""))</f>
        <v/>
      </c>
      <c r="V163" s="5"/>
    </row>
    <row r="164" spans="1:22" x14ac:dyDescent="0.25">
      <c r="A164" s="11"/>
      <c r="B164" s="16"/>
      <c r="C164" t="str">
        <f>IFERROR(INDEX(Ejecutivos!$B$2:$B$100,MATCH(B164,Ejecutivos!$A$2:$A$100,0)),"")</f>
        <v/>
      </c>
      <c r="D164" s="19"/>
      <c r="E164" s="21"/>
      <c r="F164" s="19"/>
      <c r="G164" s="21"/>
      <c r="H164" s="20"/>
      <c r="I164" s="20"/>
      <c r="J164" s="20"/>
      <c r="K164" s="20"/>
      <c r="L164" s="18">
        <v>0</v>
      </c>
      <c r="M164" t="str">
        <f t="shared" si="11"/>
        <v/>
      </c>
      <c r="N164" t="str">
        <f>IF(OR($D164="",$S164=""),"",IFERROR(MAX(0,ROUND(($D164-INDEX(Config!$C$15:$C$18,MATCH($S164,Config!$B$15:$B$18,0)))*24*60,0)),""))</f>
        <v/>
      </c>
      <c r="O164" t="str">
        <f t="shared" si="12"/>
        <v/>
      </c>
      <c r="P164" t="str">
        <f t="shared" si="13"/>
        <v/>
      </c>
      <c r="Q164" t="str">
        <f>IF(OR($P164="",$S164=""),"",IFERROR($P164-INDEX(Config!$E$15:$E$18,MATCH($S164,Config!$B$15:$B$18,0)),""))</f>
        <v/>
      </c>
      <c r="R164" t="str">
        <f t="shared" si="14"/>
        <v/>
      </c>
      <c r="S164" s="6" t="str">
        <f>IF(OR($A164="",$C164=""),"",IFERROR(INDEX(Turno!$C$3:$V$32,MATCH($C164,Turno!$B$3:$B$32,0),MATCH(DAY($A164),Turno!$C$1:$V$1,0)),""))</f>
        <v/>
      </c>
      <c r="T164" t="str">
        <f>IF(OR($E164="",$S164=""),"",IFERROR(MAX(0,ROUND((INDEX(Config!$D$15:$D$18,MATCH($S164,Config!$B$15:$B$18,0))-$E164)*1440,0)),""))</f>
        <v/>
      </c>
      <c r="U164" s="13" t="str">
        <f>IF(OR($N164="",$T164=""),"",IFERROR(MAX(0,1-($N164+$T164+MAX(0,N($Q164)))/ROUND((INDEX(Config!$D$15:$D$18,MATCH($S164,Config!$B$15:$B$18,0))-INDEX(Config!$C$15:$C$18,MATCH($S164,Config!$B$15:$B$18,0)))*1440,0)),""))</f>
        <v/>
      </c>
      <c r="V164" s="5"/>
    </row>
    <row r="165" spans="1:22" x14ac:dyDescent="0.25">
      <c r="A165" s="11"/>
      <c r="B165" s="16"/>
      <c r="C165" t="str">
        <f>IFERROR(INDEX(Ejecutivos!$B$2:$B$100,MATCH(B165,Ejecutivos!$A$2:$A$100,0)),"")</f>
        <v/>
      </c>
      <c r="D165" s="19"/>
      <c r="E165" s="21"/>
      <c r="F165" s="19"/>
      <c r="G165" s="21"/>
      <c r="H165" s="20"/>
      <c r="I165" s="20"/>
      <c r="J165" s="20"/>
      <c r="K165" s="20"/>
      <c r="L165" s="18">
        <v>0</v>
      </c>
      <c r="M165" t="str">
        <f t="shared" si="11"/>
        <v/>
      </c>
      <c r="N165" t="str">
        <f>IF(OR($D165="",$S165=""),"",IFERROR(MAX(0,ROUND(($D165-INDEX(Config!$C$15:$C$18,MATCH($S165,Config!$B$15:$B$18,0)))*24*60,0)),""))</f>
        <v/>
      </c>
      <c r="O165" t="str">
        <f t="shared" si="12"/>
        <v/>
      </c>
      <c r="P165" t="str">
        <f t="shared" si="13"/>
        <v/>
      </c>
      <c r="Q165" t="str">
        <f>IF(OR($P165="",$S165=""),"",IFERROR($P165-INDEX(Config!$E$15:$E$18,MATCH($S165,Config!$B$15:$B$18,0)),""))</f>
        <v/>
      </c>
      <c r="R165" t="str">
        <f t="shared" si="14"/>
        <v/>
      </c>
      <c r="S165" s="6" t="str">
        <f>IF(OR($A165="",$C165=""),"",IFERROR(INDEX(Turno!$C$3:$V$32,MATCH($C165,Turno!$B$3:$B$32,0),MATCH(DAY($A165),Turno!$C$1:$V$1,0)),""))</f>
        <v/>
      </c>
      <c r="T165" t="str">
        <f>IF(OR($E165="",$S165=""),"",IFERROR(MAX(0,ROUND((INDEX(Config!$D$15:$D$18,MATCH($S165,Config!$B$15:$B$18,0))-$E165)*1440,0)),""))</f>
        <v/>
      </c>
      <c r="U165" s="13" t="str">
        <f>IF(OR($N165="",$T165=""),"",IFERROR(MAX(0,1-($N165+$T165+MAX(0,N($Q165)))/ROUND((INDEX(Config!$D$15:$D$18,MATCH($S165,Config!$B$15:$B$18,0))-INDEX(Config!$C$15:$C$18,MATCH($S165,Config!$B$15:$B$18,0)))*1440,0)),""))</f>
        <v/>
      </c>
      <c r="V165" s="5"/>
    </row>
    <row r="166" spans="1:22" x14ac:dyDescent="0.25">
      <c r="A166" s="11"/>
      <c r="B166" s="16"/>
      <c r="C166" t="str">
        <f>IFERROR(INDEX(Ejecutivos!$B$2:$B$100,MATCH(B166,Ejecutivos!$A$2:$A$100,0)),"")</f>
        <v/>
      </c>
      <c r="D166" s="19"/>
      <c r="E166" s="21"/>
      <c r="F166" s="19"/>
      <c r="G166" s="21"/>
      <c r="H166" s="20"/>
      <c r="I166" s="20"/>
      <c r="J166" s="20"/>
      <c r="K166" s="20"/>
      <c r="L166" s="18">
        <v>0</v>
      </c>
      <c r="M166" t="str">
        <f t="shared" si="11"/>
        <v/>
      </c>
      <c r="N166" t="str">
        <f>IF(OR($D166="",$S166=""),"",IFERROR(MAX(0,ROUND(($D166-INDEX(Config!$C$15:$C$18,MATCH($S166,Config!$B$15:$B$18,0)))*24*60,0)),""))</f>
        <v/>
      </c>
      <c r="O166" t="str">
        <f t="shared" si="12"/>
        <v/>
      </c>
      <c r="P166" t="str">
        <f t="shared" si="13"/>
        <v/>
      </c>
      <c r="Q166" t="str">
        <f>IF(OR($P166="",$S166=""),"",IFERROR($P166-INDEX(Config!$E$15:$E$18,MATCH($S166,Config!$B$15:$B$18,0)),""))</f>
        <v/>
      </c>
      <c r="R166" t="str">
        <f t="shared" si="14"/>
        <v/>
      </c>
      <c r="S166" s="6" t="str">
        <f>IF(OR($A166="",$C166=""),"",IFERROR(INDEX(Turno!$C$3:$V$32,MATCH($C166,Turno!$B$3:$B$32,0),MATCH(DAY($A166),Turno!$C$1:$V$1,0)),""))</f>
        <v/>
      </c>
      <c r="T166" t="str">
        <f>IF(OR($E166="",$S166=""),"",IFERROR(MAX(0,ROUND((INDEX(Config!$D$15:$D$18,MATCH($S166,Config!$B$15:$B$18,0))-$E166)*1440,0)),""))</f>
        <v/>
      </c>
      <c r="U166" s="13" t="str">
        <f>IF(OR($N166="",$T166=""),"",IFERROR(MAX(0,1-($N166+$T166+MAX(0,N($Q166)))/ROUND((INDEX(Config!$D$15:$D$18,MATCH($S166,Config!$B$15:$B$18,0))-INDEX(Config!$C$15:$C$18,MATCH($S166,Config!$B$15:$B$18,0)))*1440,0)),""))</f>
        <v/>
      </c>
      <c r="V166" s="5"/>
    </row>
    <row r="167" spans="1:22" x14ac:dyDescent="0.25">
      <c r="A167" s="11"/>
      <c r="B167" s="16"/>
      <c r="C167" t="str">
        <f>IFERROR(INDEX(Ejecutivos!$B$2:$B$100,MATCH(B167,Ejecutivos!$A$2:$A$100,0)),"")</f>
        <v/>
      </c>
      <c r="D167" s="19"/>
      <c r="E167" s="21"/>
      <c r="F167" s="19"/>
      <c r="G167" s="21"/>
      <c r="H167" s="20"/>
      <c r="I167" s="20"/>
      <c r="J167" s="20"/>
      <c r="K167" s="20"/>
      <c r="L167" s="18">
        <v>0</v>
      </c>
      <c r="M167" t="str">
        <f t="shared" si="11"/>
        <v/>
      </c>
      <c r="N167" t="str">
        <f>IF(OR($D167="",$S167=""),"",IFERROR(MAX(0,ROUND(($D167-INDEX(Config!$C$15:$C$18,MATCH($S167,Config!$B$15:$B$18,0)))*24*60,0)),""))</f>
        <v/>
      </c>
      <c r="O167" t="str">
        <f t="shared" si="12"/>
        <v/>
      </c>
      <c r="P167" t="str">
        <f t="shared" si="13"/>
        <v/>
      </c>
      <c r="Q167" t="str">
        <f>IF(OR($P167="",$S167=""),"",IFERROR($P167-INDEX(Config!$E$15:$E$18,MATCH($S167,Config!$B$15:$B$18,0)),""))</f>
        <v/>
      </c>
      <c r="R167" t="str">
        <f t="shared" si="14"/>
        <v/>
      </c>
      <c r="S167" s="6" t="str">
        <f>IF(OR($A167="",$C167=""),"",IFERROR(INDEX(Turno!$C$3:$V$32,MATCH($C167,Turno!$B$3:$B$32,0),MATCH(DAY($A167),Turno!$C$1:$V$1,0)),""))</f>
        <v/>
      </c>
      <c r="T167" t="str">
        <f>IF(OR($E167="",$S167=""),"",IFERROR(MAX(0,ROUND((INDEX(Config!$D$15:$D$18,MATCH($S167,Config!$B$15:$B$18,0))-$E167)*1440,0)),""))</f>
        <v/>
      </c>
      <c r="U167" s="13" t="str">
        <f>IF(OR($N167="",$T167=""),"",IFERROR(MAX(0,1-($N167+$T167+MAX(0,N($Q167)))/ROUND((INDEX(Config!$D$15:$D$18,MATCH($S167,Config!$B$15:$B$18,0))-INDEX(Config!$C$15:$C$18,MATCH($S167,Config!$B$15:$B$18,0)))*1440,0)),""))</f>
        <v/>
      </c>
      <c r="V167" s="5"/>
    </row>
    <row r="168" spans="1:22" x14ac:dyDescent="0.25">
      <c r="A168" s="11"/>
      <c r="B168" s="16"/>
      <c r="C168" t="str">
        <f>IFERROR(INDEX(Ejecutivos!$B$2:$B$100,MATCH(B168,Ejecutivos!$A$2:$A$100,0)),"")</f>
        <v/>
      </c>
      <c r="D168" s="19"/>
      <c r="E168" s="21"/>
      <c r="F168" s="19"/>
      <c r="G168" s="21"/>
      <c r="H168" s="20"/>
      <c r="I168" s="20"/>
      <c r="J168" s="20"/>
      <c r="K168" s="20"/>
      <c r="L168" s="18">
        <v>0</v>
      </c>
      <c r="M168" t="str">
        <f t="shared" si="11"/>
        <v/>
      </c>
      <c r="N168" t="str">
        <f>IF(OR($D168="",$S168=""),"",IFERROR(MAX(0,ROUND(($D168-INDEX(Config!$C$15:$C$18,MATCH($S168,Config!$B$15:$B$18,0)))*24*60,0)),""))</f>
        <v/>
      </c>
      <c r="O168" t="str">
        <f t="shared" si="12"/>
        <v/>
      </c>
      <c r="P168" t="str">
        <f t="shared" si="13"/>
        <v/>
      </c>
      <c r="Q168" t="str">
        <f>IF(OR($P168="",$S168=""),"",IFERROR($P168-INDEX(Config!$E$15:$E$18,MATCH($S168,Config!$B$15:$B$18,0)),""))</f>
        <v/>
      </c>
      <c r="R168" t="str">
        <f t="shared" si="14"/>
        <v/>
      </c>
      <c r="S168" s="6" t="str">
        <f>IF(OR($A168="",$C168=""),"",IFERROR(INDEX(Turno!$C$3:$V$32,MATCH($C168,Turno!$B$3:$B$32,0),MATCH(DAY($A168),Turno!$C$1:$V$1,0)),""))</f>
        <v/>
      </c>
      <c r="T168" t="str">
        <f>IF(OR($E168="",$S168=""),"",IFERROR(MAX(0,ROUND((INDEX(Config!$D$15:$D$18,MATCH($S168,Config!$B$15:$B$18,0))-$E168)*1440,0)),""))</f>
        <v/>
      </c>
      <c r="U168" s="13" t="str">
        <f>IF(OR($N168="",$T168=""),"",IFERROR(MAX(0,1-($N168+$T168+MAX(0,N($Q168)))/ROUND((INDEX(Config!$D$15:$D$18,MATCH($S168,Config!$B$15:$B$18,0))-INDEX(Config!$C$15:$C$18,MATCH($S168,Config!$B$15:$B$18,0)))*1440,0)),""))</f>
        <v/>
      </c>
      <c r="V168" s="5"/>
    </row>
    <row r="169" spans="1:22" x14ac:dyDescent="0.25">
      <c r="A169" s="11"/>
      <c r="B169" s="16"/>
      <c r="C169" t="str">
        <f>IFERROR(INDEX(Ejecutivos!$B$2:$B$100,MATCH(B169,Ejecutivos!$A$2:$A$100,0)),"")</f>
        <v/>
      </c>
      <c r="D169" s="19"/>
      <c r="E169" s="21"/>
      <c r="F169" s="19"/>
      <c r="G169" s="21"/>
      <c r="H169" s="20"/>
      <c r="I169" s="20"/>
      <c r="J169" s="20"/>
      <c r="K169" s="20"/>
      <c r="L169" s="18">
        <v>0</v>
      </c>
      <c r="M169" t="str">
        <f t="shared" si="11"/>
        <v/>
      </c>
      <c r="N169" t="str">
        <f>IF(OR($D169="",$S169=""),"",IFERROR(MAX(0,ROUND(($D169-INDEX(Config!$C$15:$C$18,MATCH($S169,Config!$B$15:$B$18,0)))*24*60,0)),""))</f>
        <v/>
      </c>
      <c r="O169" t="str">
        <f t="shared" si="12"/>
        <v/>
      </c>
      <c r="P169" t="str">
        <f t="shared" si="13"/>
        <v/>
      </c>
      <c r="Q169" t="str">
        <f>IF(OR($P169="",$S169=""),"",IFERROR($P169-INDEX(Config!$E$15:$E$18,MATCH($S169,Config!$B$15:$B$18,0)),""))</f>
        <v/>
      </c>
      <c r="R169" t="str">
        <f t="shared" si="14"/>
        <v/>
      </c>
      <c r="S169" s="6" t="str">
        <f>IF(OR($A169="",$C169=""),"",IFERROR(INDEX(Turno!$C$3:$V$32,MATCH($C169,Turno!$B$3:$B$32,0),MATCH(DAY($A169),Turno!$C$1:$V$1,0)),""))</f>
        <v/>
      </c>
      <c r="T169" t="str">
        <f>IF(OR($E169="",$S169=""),"",IFERROR(MAX(0,ROUND((INDEX(Config!$D$15:$D$18,MATCH($S169,Config!$B$15:$B$18,0))-$E169)*1440,0)),""))</f>
        <v/>
      </c>
      <c r="U169" s="13" t="str">
        <f>IF(OR($N169="",$T169=""),"",IFERROR(MAX(0,1-($N169+$T169+MAX(0,N($Q169)))/ROUND((INDEX(Config!$D$15:$D$18,MATCH($S169,Config!$B$15:$B$18,0))-INDEX(Config!$C$15:$C$18,MATCH($S169,Config!$B$15:$B$18,0)))*1440,0)),""))</f>
        <v/>
      </c>
      <c r="V169" s="5"/>
    </row>
    <row r="170" spans="1:22" x14ac:dyDescent="0.25">
      <c r="A170" s="11"/>
      <c r="B170" s="16"/>
      <c r="C170" t="str">
        <f>IFERROR(INDEX(Ejecutivos!$B$2:$B$100,MATCH(B170,Ejecutivos!$A$2:$A$100,0)),"")</f>
        <v/>
      </c>
      <c r="D170" s="19"/>
      <c r="E170" s="21"/>
      <c r="F170" s="19"/>
      <c r="G170" s="21"/>
      <c r="H170" s="20"/>
      <c r="I170" s="20"/>
      <c r="J170" s="20"/>
      <c r="K170" s="20"/>
      <c r="L170" s="18">
        <v>0</v>
      </c>
      <c r="M170" t="str">
        <f t="shared" si="11"/>
        <v/>
      </c>
      <c r="N170" t="str">
        <f>IF(OR($D170="",$S170=""),"",IFERROR(MAX(0,ROUND(($D170-INDEX(Config!$C$15:$C$18,MATCH($S170,Config!$B$15:$B$18,0)))*24*60,0)),""))</f>
        <v/>
      </c>
      <c r="O170" t="str">
        <f t="shared" si="12"/>
        <v/>
      </c>
      <c r="P170" t="str">
        <f t="shared" si="13"/>
        <v/>
      </c>
      <c r="Q170" t="str">
        <f>IF(OR($P170="",$S170=""),"",IFERROR($P170-INDEX(Config!$E$15:$E$18,MATCH($S170,Config!$B$15:$B$18,0)),""))</f>
        <v/>
      </c>
      <c r="R170" t="str">
        <f t="shared" si="14"/>
        <v/>
      </c>
      <c r="S170" s="6" t="str">
        <f>IF(OR($A170="",$C170=""),"",IFERROR(INDEX(Turno!$C$3:$V$32,MATCH($C170,Turno!$B$3:$B$32,0),MATCH(DAY($A170),Turno!$C$1:$V$1,0)),""))</f>
        <v/>
      </c>
      <c r="T170" t="str">
        <f>IF(OR($E170="",$S170=""),"",IFERROR(MAX(0,ROUND((INDEX(Config!$D$15:$D$18,MATCH($S170,Config!$B$15:$B$18,0))-$E170)*1440,0)),""))</f>
        <v/>
      </c>
      <c r="U170" s="13" t="str">
        <f>IF(OR($N170="",$T170=""),"",IFERROR(MAX(0,1-($N170+$T170+MAX(0,N($Q170)))/ROUND((INDEX(Config!$D$15:$D$18,MATCH($S170,Config!$B$15:$B$18,0))-INDEX(Config!$C$15:$C$18,MATCH($S170,Config!$B$15:$B$18,0)))*1440,0)),""))</f>
        <v/>
      </c>
      <c r="V170" s="5"/>
    </row>
    <row r="171" spans="1:22" x14ac:dyDescent="0.25">
      <c r="A171" s="11"/>
      <c r="B171" s="16"/>
      <c r="C171" t="str">
        <f>IFERROR(INDEX(Ejecutivos!$B$2:$B$100,MATCH(B171,Ejecutivos!$A$2:$A$100,0)),"")</f>
        <v/>
      </c>
      <c r="D171" s="19"/>
      <c r="E171" s="21"/>
      <c r="F171" s="19"/>
      <c r="G171" s="21"/>
      <c r="H171" s="20"/>
      <c r="I171" s="20"/>
      <c r="J171" s="20"/>
      <c r="K171" s="20"/>
      <c r="L171" s="18">
        <v>0</v>
      </c>
      <c r="M171" t="str">
        <f t="shared" si="11"/>
        <v/>
      </c>
      <c r="N171" t="str">
        <f>IF(OR($D171="",$S171=""),"",IFERROR(MAX(0,ROUND(($D171-INDEX(Config!$C$15:$C$18,MATCH($S171,Config!$B$15:$B$18,0)))*24*60,0)),""))</f>
        <v/>
      </c>
      <c r="O171" t="str">
        <f t="shared" si="12"/>
        <v/>
      </c>
      <c r="P171" t="str">
        <f t="shared" si="13"/>
        <v/>
      </c>
      <c r="Q171" t="str">
        <f>IF(OR($P171="",$S171=""),"",IFERROR($P171-INDEX(Config!$E$15:$E$18,MATCH($S171,Config!$B$15:$B$18,0)),""))</f>
        <v/>
      </c>
      <c r="R171" t="str">
        <f t="shared" si="14"/>
        <v/>
      </c>
      <c r="S171" s="6" t="str">
        <f>IF(OR($A171="",$C171=""),"",IFERROR(INDEX(Turno!$C$3:$V$32,MATCH($C171,Turno!$B$3:$B$32,0),MATCH(DAY($A171),Turno!$C$1:$V$1,0)),""))</f>
        <v/>
      </c>
      <c r="T171" t="str">
        <f>IF(OR($E171="",$S171=""),"",IFERROR(MAX(0,ROUND((INDEX(Config!$D$15:$D$18,MATCH($S171,Config!$B$15:$B$18,0))-$E171)*1440,0)),""))</f>
        <v/>
      </c>
      <c r="U171" s="13" t="str">
        <f>IF(OR($N171="",$T171=""),"",IFERROR(MAX(0,1-($N171+$T171+MAX(0,N($Q171)))/ROUND((INDEX(Config!$D$15:$D$18,MATCH($S171,Config!$B$15:$B$18,0))-INDEX(Config!$C$15:$C$18,MATCH($S171,Config!$B$15:$B$18,0)))*1440,0)),""))</f>
        <v/>
      </c>
      <c r="V171" s="5"/>
    </row>
    <row r="172" spans="1:22" x14ac:dyDescent="0.25">
      <c r="A172" s="11"/>
      <c r="B172" s="16"/>
      <c r="C172" t="str">
        <f>IFERROR(INDEX(Ejecutivos!$B$2:$B$100,MATCH(B172,Ejecutivos!$A$2:$A$100,0)),"")</f>
        <v/>
      </c>
      <c r="D172" s="19"/>
      <c r="E172" s="21"/>
      <c r="F172" s="19"/>
      <c r="G172" s="21"/>
      <c r="H172" s="20"/>
      <c r="I172" s="20"/>
      <c r="J172" s="20"/>
      <c r="K172" s="20"/>
      <c r="L172" s="18">
        <v>0</v>
      </c>
      <c r="M172" t="str">
        <f t="shared" si="11"/>
        <v/>
      </c>
      <c r="N172" t="str">
        <f>IF(OR($D172="",$S172=""),"",IFERROR(MAX(0,ROUND(($D172-INDEX(Config!$C$15:$C$18,MATCH($S172,Config!$B$15:$B$18,0)))*24*60,0)),""))</f>
        <v/>
      </c>
      <c r="O172" t="str">
        <f t="shared" si="12"/>
        <v/>
      </c>
      <c r="P172" t="str">
        <f t="shared" si="13"/>
        <v/>
      </c>
      <c r="Q172" t="str">
        <f>IF(OR($P172="",$S172=""),"",IFERROR($P172-INDEX(Config!$E$15:$E$18,MATCH($S172,Config!$B$15:$B$18,0)),""))</f>
        <v/>
      </c>
      <c r="R172" t="str">
        <f t="shared" si="14"/>
        <v/>
      </c>
      <c r="S172" s="6" t="str">
        <f>IF(OR($A172="",$C172=""),"",IFERROR(INDEX(Turno!$C$3:$V$32,MATCH($C172,Turno!$B$3:$B$32,0),MATCH(DAY($A172),Turno!$C$1:$V$1,0)),""))</f>
        <v/>
      </c>
      <c r="T172" t="str">
        <f>IF(OR($E172="",$S172=""),"",IFERROR(MAX(0,ROUND((INDEX(Config!$D$15:$D$18,MATCH($S172,Config!$B$15:$B$18,0))-$E172)*1440,0)),""))</f>
        <v/>
      </c>
      <c r="U172" s="13" t="str">
        <f>IF(OR($N172="",$T172=""),"",IFERROR(MAX(0,1-($N172+$T172+MAX(0,N($Q172)))/ROUND((INDEX(Config!$D$15:$D$18,MATCH($S172,Config!$B$15:$B$18,0))-INDEX(Config!$C$15:$C$18,MATCH($S172,Config!$B$15:$B$18,0)))*1440,0)),""))</f>
        <v/>
      </c>
      <c r="V172" s="5"/>
    </row>
    <row r="173" spans="1:22" x14ac:dyDescent="0.25">
      <c r="A173" s="11"/>
      <c r="B173" s="16"/>
      <c r="C173" t="str">
        <f>IFERROR(INDEX(Ejecutivos!$B$2:$B$100,MATCH(B173,Ejecutivos!$A$2:$A$100,0)),"")</f>
        <v/>
      </c>
      <c r="D173" s="19"/>
      <c r="E173" s="21"/>
      <c r="F173" s="19"/>
      <c r="G173" s="21"/>
      <c r="H173" s="20"/>
      <c r="I173" s="20"/>
      <c r="J173" s="20"/>
      <c r="K173" s="20"/>
      <c r="L173" s="18">
        <v>0</v>
      </c>
      <c r="M173" t="str">
        <f t="shared" si="11"/>
        <v/>
      </c>
      <c r="N173" t="str">
        <f>IF(OR($D173="",$S173=""),"",IFERROR(MAX(0,ROUND(($D173-INDEX(Config!$C$15:$C$18,MATCH($S173,Config!$B$15:$B$18,0)))*24*60,0)),""))</f>
        <v/>
      </c>
      <c r="O173" t="str">
        <f t="shared" si="12"/>
        <v/>
      </c>
      <c r="P173" t="str">
        <f t="shared" si="13"/>
        <v/>
      </c>
      <c r="Q173" t="str">
        <f>IF(OR($P173="",$S173=""),"",IFERROR($P173-INDEX(Config!$E$15:$E$18,MATCH($S173,Config!$B$15:$B$18,0)),""))</f>
        <v/>
      </c>
      <c r="R173" t="str">
        <f t="shared" si="14"/>
        <v/>
      </c>
      <c r="S173" s="6" t="str">
        <f>IF(OR($A173="",$C173=""),"",IFERROR(INDEX(Turno!$C$3:$V$32,MATCH($C173,Turno!$B$3:$B$32,0),MATCH(DAY($A173),Turno!$C$1:$V$1,0)),""))</f>
        <v/>
      </c>
      <c r="T173" t="str">
        <f>IF(OR($E173="",$S173=""),"",IFERROR(MAX(0,ROUND((INDEX(Config!$D$15:$D$18,MATCH($S173,Config!$B$15:$B$18,0))-$E173)*1440,0)),""))</f>
        <v/>
      </c>
      <c r="U173" s="13" t="str">
        <f>IF(OR($N173="",$T173=""),"",IFERROR(MAX(0,1-($N173+$T173+MAX(0,N($Q173)))/ROUND((INDEX(Config!$D$15:$D$18,MATCH($S173,Config!$B$15:$B$18,0))-INDEX(Config!$C$15:$C$18,MATCH($S173,Config!$B$15:$B$18,0)))*1440,0)),""))</f>
        <v/>
      </c>
      <c r="V173" s="5"/>
    </row>
    <row r="174" spans="1:22" x14ac:dyDescent="0.25">
      <c r="A174" s="11"/>
      <c r="B174" s="16"/>
      <c r="C174" t="str">
        <f>IFERROR(INDEX(Ejecutivos!$B$2:$B$100,MATCH(B174,Ejecutivos!$A$2:$A$100,0)),"")</f>
        <v/>
      </c>
      <c r="D174" s="19"/>
      <c r="E174" s="21"/>
      <c r="F174" s="19"/>
      <c r="G174" s="21"/>
      <c r="H174" s="20"/>
      <c r="I174" s="20"/>
      <c r="J174" s="20"/>
      <c r="K174" s="20"/>
      <c r="L174" s="18">
        <v>0</v>
      </c>
      <c r="M174" t="str">
        <f t="shared" si="11"/>
        <v/>
      </c>
      <c r="N174" t="str">
        <f>IF(OR($D174="",$S174=""),"",IFERROR(MAX(0,ROUND(($D174-INDEX(Config!$C$15:$C$18,MATCH($S174,Config!$B$15:$B$18,0)))*24*60,0)),""))</f>
        <v/>
      </c>
      <c r="O174" t="str">
        <f t="shared" si="12"/>
        <v/>
      </c>
      <c r="P174" t="str">
        <f t="shared" si="13"/>
        <v/>
      </c>
      <c r="Q174" t="str">
        <f>IF(OR($P174="",$S174=""),"",IFERROR($P174-INDEX(Config!$E$15:$E$18,MATCH($S174,Config!$B$15:$B$18,0)),""))</f>
        <v/>
      </c>
      <c r="R174" t="str">
        <f t="shared" si="14"/>
        <v/>
      </c>
      <c r="S174" s="6" t="str">
        <f>IF(OR($A174="",$C174=""),"",IFERROR(INDEX(Turno!$C$3:$V$32,MATCH($C174,Turno!$B$3:$B$32,0),MATCH(DAY($A174),Turno!$C$1:$V$1,0)),""))</f>
        <v/>
      </c>
      <c r="T174" t="str">
        <f>IF(OR($E174="",$S174=""),"",IFERROR(MAX(0,ROUND((INDEX(Config!$D$15:$D$18,MATCH($S174,Config!$B$15:$B$18,0))-$E174)*1440,0)),""))</f>
        <v/>
      </c>
      <c r="U174" s="13" t="str">
        <f>IF(OR($N174="",$T174=""),"",IFERROR(MAX(0,1-($N174+$T174+MAX(0,N($Q174)))/ROUND((INDEX(Config!$D$15:$D$18,MATCH($S174,Config!$B$15:$B$18,0))-INDEX(Config!$C$15:$C$18,MATCH($S174,Config!$B$15:$B$18,0)))*1440,0)),""))</f>
        <v/>
      </c>
      <c r="V174" s="5"/>
    </row>
    <row r="175" spans="1:22" x14ac:dyDescent="0.25">
      <c r="A175" s="11"/>
      <c r="B175" s="16"/>
      <c r="C175" t="str">
        <f>IFERROR(INDEX(Ejecutivos!$B$2:$B$100,MATCH(B175,Ejecutivos!$A$2:$A$100,0)),"")</f>
        <v/>
      </c>
      <c r="D175" s="19"/>
      <c r="E175" s="21"/>
      <c r="F175" s="19"/>
      <c r="G175" s="21"/>
      <c r="H175" s="20"/>
      <c r="I175" s="20"/>
      <c r="J175" s="20"/>
      <c r="K175" s="20"/>
      <c r="L175" s="18">
        <v>0</v>
      </c>
      <c r="M175" t="str">
        <f t="shared" si="11"/>
        <v/>
      </c>
      <c r="N175" t="str">
        <f>IF(OR($D175="",$S175=""),"",IFERROR(MAX(0,ROUND(($D175-INDEX(Config!$C$15:$C$18,MATCH($S175,Config!$B$15:$B$18,0)))*24*60,0)),""))</f>
        <v/>
      </c>
      <c r="O175" t="str">
        <f t="shared" si="12"/>
        <v/>
      </c>
      <c r="P175" t="str">
        <f t="shared" si="13"/>
        <v/>
      </c>
      <c r="Q175" t="str">
        <f>IF(OR($P175="",$S175=""),"",IFERROR($P175-INDEX(Config!$E$15:$E$18,MATCH($S175,Config!$B$15:$B$18,0)),""))</f>
        <v/>
      </c>
      <c r="R175" t="str">
        <f t="shared" si="14"/>
        <v/>
      </c>
      <c r="S175" s="6" t="str">
        <f>IF(OR($A175="",$C175=""),"",IFERROR(INDEX(Turno!$C$3:$V$32,MATCH($C175,Turno!$B$3:$B$32,0),MATCH(DAY($A175),Turno!$C$1:$V$1,0)),""))</f>
        <v/>
      </c>
      <c r="T175" t="str">
        <f>IF(OR($E175="",$S175=""),"",IFERROR(MAX(0,ROUND((INDEX(Config!$D$15:$D$18,MATCH($S175,Config!$B$15:$B$18,0))-$E175)*1440,0)),""))</f>
        <v/>
      </c>
      <c r="U175" s="13" t="str">
        <f>IF(OR($N175="",$T175=""),"",IFERROR(MAX(0,1-($N175+$T175+MAX(0,N($Q175)))/ROUND((INDEX(Config!$D$15:$D$18,MATCH($S175,Config!$B$15:$B$18,0))-INDEX(Config!$C$15:$C$18,MATCH($S175,Config!$B$15:$B$18,0)))*1440,0)),""))</f>
        <v/>
      </c>
      <c r="V175" s="5"/>
    </row>
    <row r="176" spans="1:22" x14ac:dyDescent="0.25">
      <c r="A176" s="11"/>
      <c r="B176" s="16"/>
      <c r="C176" t="str">
        <f>IFERROR(INDEX(Ejecutivos!$B$2:$B$100,MATCH(B176,Ejecutivos!$A$2:$A$100,0)),"")</f>
        <v/>
      </c>
      <c r="D176" s="19"/>
      <c r="E176" s="21"/>
      <c r="F176" s="19"/>
      <c r="G176" s="21"/>
      <c r="H176" s="20"/>
      <c r="I176" s="20"/>
      <c r="J176" s="20"/>
      <c r="K176" s="20"/>
      <c r="L176" s="18">
        <v>0</v>
      </c>
      <c r="M176" t="str">
        <f t="shared" si="11"/>
        <v/>
      </c>
      <c r="N176" t="str">
        <f>IF(OR($D176="",$S176=""),"",IFERROR(MAX(0,ROUND(($D176-INDEX(Config!$C$15:$C$18,MATCH($S176,Config!$B$15:$B$18,0)))*24*60,0)),""))</f>
        <v/>
      </c>
      <c r="O176" t="str">
        <f t="shared" si="12"/>
        <v/>
      </c>
      <c r="P176" t="str">
        <f t="shared" si="13"/>
        <v/>
      </c>
      <c r="Q176" t="str">
        <f>IF(OR($P176="",$S176=""),"",IFERROR($P176-INDEX(Config!$E$15:$E$18,MATCH($S176,Config!$B$15:$B$18,0)),""))</f>
        <v/>
      </c>
      <c r="R176" t="str">
        <f t="shared" si="14"/>
        <v/>
      </c>
      <c r="S176" s="6" t="str">
        <f>IF(OR($A176="",$C176=""),"",IFERROR(INDEX(Turno!$C$3:$V$32,MATCH($C176,Turno!$B$3:$B$32,0),MATCH(DAY($A176),Turno!$C$1:$V$1,0)),""))</f>
        <v/>
      </c>
      <c r="T176" t="str">
        <f>IF(OR($E176="",$S176=""),"",IFERROR(MAX(0,ROUND((INDEX(Config!$D$15:$D$18,MATCH($S176,Config!$B$15:$B$18,0))-$E176)*1440,0)),""))</f>
        <v/>
      </c>
      <c r="U176" s="13" t="str">
        <f>IF(OR($N176="",$T176=""),"",IFERROR(MAX(0,1-($N176+$T176+MAX(0,N($Q176)))/ROUND((INDEX(Config!$D$15:$D$18,MATCH($S176,Config!$B$15:$B$18,0))-INDEX(Config!$C$15:$C$18,MATCH($S176,Config!$B$15:$B$18,0)))*1440,0)),""))</f>
        <v/>
      </c>
      <c r="V176" s="5"/>
    </row>
    <row r="177" spans="1:22" x14ac:dyDescent="0.25">
      <c r="A177" s="11"/>
      <c r="B177" s="16"/>
      <c r="C177" t="str">
        <f>IFERROR(INDEX(Ejecutivos!$B$2:$B$100,MATCH(B177,Ejecutivos!$A$2:$A$100,0)),"")</f>
        <v/>
      </c>
      <c r="D177" s="19"/>
      <c r="E177" s="21"/>
      <c r="F177" s="19"/>
      <c r="G177" s="21"/>
      <c r="H177" s="20"/>
      <c r="I177" s="20"/>
      <c r="J177" s="20"/>
      <c r="K177" s="20"/>
      <c r="L177" s="18">
        <v>0</v>
      </c>
      <c r="M177" t="str">
        <f t="shared" si="11"/>
        <v/>
      </c>
      <c r="N177" t="str">
        <f>IF(OR($D177="",$S177=""),"",IFERROR(MAX(0,ROUND(($D177-INDEX(Config!$C$15:$C$18,MATCH($S177,Config!$B$15:$B$18,0)))*24*60,0)),""))</f>
        <v/>
      </c>
      <c r="O177" t="str">
        <f t="shared" si="12"/>
        <v/>
      </c>
      <c r="P177" t="str">
        <f t="shared" si="13"/>
        <v/>
      </c>
      <c r="Q177" t="str">
        <f>IF(OR($P177="",$S177=""),"",IFERROR($P177-INDEX(Config!$E$15:$E$18,MATCH($S177,Config!$B$15:$B$18,0)),""))</f>
        <v/>
      </c>
      <c r="R177" t="str">
        <f t="shared" si="14"/>
        <v/>
      </c>
      <c r="S177" s="6" t="str">
        <f>IF(OR($A177="",$C177=""),"",IFERROR(INDEX(Turno!$C$3:$V$32,MATCH($C177,Turno!$B$3:$B$32,0),MATCH(DAY($A177),Turno!$C$1:$V$1,0)),""))</f>
        <v/>
      </c>
      <c r="T177" t="str">
        <f>IF(OR($E177="",$S177=""),"",IFERROR(MAX(0,ROUND((INDEX(Config!$D$15:$D$18,MATCH($S177,Config!$B$15:$B$18,0))-$E177)*1440,0)),""))</f>
        <v/>
      </c>
      <c r="U177" s="13" t="str">
        <f>IF(OR($N177="",$T177=""),"",IFERROR(MAX(0,1-($N177+$T177+MAX(0,N($Q177)))/ROUND((INDEX(Config!$D$15:$D$18,MATCH($S177,Config!$B$15:$B$18,0))-INDEX(Config!$C$15:$C$18,MATCH($S177,Config!$B$15:$B$18,0)))*1440,0)),""))</f>
        <v/>
      </c>
      <c r="V177" s="5"/>
    </row>
    <row r="178" spans="1:22" x14ac:dyDescent="0.25">
      <c r="A178" s="11"/>
      <c r="B178" s="16"/>
      <c r="C178" t="str">
        <f>IFERROR(INDEX(Ejecutivos!$B$2:$B$100,MATCH(B178,Ejecutivos!$A$2:$A$100,0)),"")</f>
        <v/>
      </c>
      <c r="D178" s="19"/>
      <c r="E178" s="21"/>
      <c r="F178" s="19"/>
      <c r="G178" s="21"/>
      <c r="H178" s="20"/>
      <c r="I178" s="20"/>
      <c r="J178" s="20"/>
      <c r="K178" s="20"/>
      <c r="L178" s="18">
        <v>0</v>
      </c>
      <c r="M178" t="str">
        <f t="shared" si="11"/>
        <v/>
      </c>
      <c r="N178" t="str">
        <f>IF(OR($D178="",$S178=""),"",IFERROR(MAX(0,ROUND(($D178-INDEX(Config!$C$15:$C$18,MATCH($S178,Config!$B$15:$B$18,0)))*24*60,0)),""))</f>
        <v/>
      </c>
      <c r="O178" t="str">
        <f t="shared" si="12"/>
        <v/>
      </c>
      <c r="P178" t="str">
        <f t="shared" si="13"/>
        <v/>
      </c>
      <c r="Q178" t="str">
        <f>IF(OR($P178="",$S178=""),"",IFERROR($P178-INDEX(Config!$E$15:$E$18,MATCH($S178,Config!$B$15:$B$18,0)),""))</f>
        <v/>
      </c>
      <c r="R178" t="str">
        <f t="shared" si="14"/>
        <v/>
      </c>
      <c r="S178" s="6" t="str">
        <f>IF(OR($A178="",$C178=""),"",IFERROR(INDEX(Turno!$C$3:$V$32,MATCH($C178,Turno!$B$3:$B$32,0),MATCH(DAY($A178),Turno!$C$1:$V$1,0)),""))</f>
        <v/>
      </c>
      <c r="T178" t="str">
        <f>IF(OR($E178="",$S178=""),"",IFERROR(MAX(0,ROUND((INDEX(Config!$D$15:$D$18,MATCH($S178,Config!$B$15:$B$18,0))-$E178)*1440,0)),""))</f>
        <v/>
      </c>
      <c r="U178" s="13" t="str">
        <f>IF(OR($N178="",$T178=""),"",IFERROR(MAX(0,1-($N178+$T178+MAX(0,N($Q178)))/ROUND((INDEX(Config!$D$15:$D$18,MATCH($S178,Config!$B$15:$B$18,0))-INDEX(Config!$C$15:$C$18,MATCH($S178,Config!$B$15:$B$18,0)))*1440,0)),""))</f>
        <v/>
      </c>
      <c r="V178" s="5"/>
    </row>
    <row r="179" spans="1:22" x14ac:dyDescent="0.25">
      <c r="A179" s="11"/>
      <c r="B179" s="16"/>
      <c r="C179" t="str">
        <f>IFERROR(INDEX(Ejecutivos!$B$2:$B$100,MATCH(B179,Ejecutivos!$A$2:$A$100,0)),"")</f>
        <v/>
      </c>
      <c r="D179" s="19"/>
      <c r="E179" s="21"/>
      <c r="F179" s="19"/>
      <c r="G179" s="21"/>
      <c r="H179" s="20"/>
      <c r="I179" s="20"/>
      <c r="J179" s="20"/>
      <c r="K179" s="20"/>
      <c r="L179" s="18">
        <v>0</v>
      </c>
      <c r="M179" t="str">
        <f t="shared" si="11"/>
        <v/>
      </c>
      <c r="N179" t="str">
        <f>IF(OR($D179="",$S179=""),"",IFERROR(MAX(0,ROUND(($D179-INDEX(Config!$C$15:$C$18,MATCH($S179,Config!$B$15:$B$18,0)))*24*60,0)),""))</f>
        <v/>
      </c>
      <c r="O179" t="str">
        <f t="shared" si="12"/>
        <v/>
      </c>
      <c r="P179" t="str">
        <f t="shared" si="13"/>
        <v/>
      </c>
      <c r="Q179" t="str">
        <f>IF(OR($P179="",$S179=""),"",IFERROR($P179-INDEX(Config!$E$15:$E$18,MATCH($S179,Config!$B$15:$B$18,0)),""))</f>
        <v/>
      </c>
      <c r="R179" t="str">
        <f t="shared" si="14"/>
        <v/>
      </c>
      <c r="S179" s="6" t="str">
        <f>IF(OR($A179="",$C179=""),"",IFERROR(INDEX(Turno!$C$3:$V$32,MATCH($C179,Turno!$B$3:$B$32,0),MATCH(DAY($A179),Turno!$C$1:$V$1,0)),""))</f>
        <v/>
      </c>
      <c r="T179" t="str">
        <f>IF(OR($E179="",$S179=""),"",IFERROR(MAX(0,ROUND((INDEX(Config!$D$15:$D$18,MATCH($S179,Config!$B$15:$B$18,0))-$E179)*1440,0)),""))</f>
        <v/>
      </c>
      <c r="U179" s="13" t="str">
        <f>IF(OR($N179="",$T179=""),"",IFERROR(MAX(0,1-($N179+$T179+MAX(0,N($Q179)))/ROUND((INDEX(Config!$D$15:$D$18,MATCH($S179,Config!$B$15:$B$18,0))-INDEX(Config!$C$15:$C$18,MATCH($S179,Config!$B$15:$B$18,0)))*1440,0)),""))</f>
        <v/>
      </c>
      <c r="V179" s="5"/>
    </row>
    <row r="180" spans="1:22" x14ac:dyDescent="0.25">
      <c r="A180" s="11"/>
      <c r="B180" s="16"/>
      <c r="C180" t="str">
        <f>IFERROR(INDEX(Ejecutivos!$B$2:$B$100,MATCH(B180,Ejecutivos!$A$2:$A$100,0)),"")</f>
        <v/>
      </c>
      <c r="D180" s="19"/>
      <c r="E180" s="21"/>
      <c r="F180" s="19"/>
      <c r="G180" s="21"/>
      <c r="H180" s="20"/>
      <c r="I180" s="20"/>
      <c r="J180" s="20"/>
      <c r="K180" s="20"/>
      <c r="L180" s="18">
        <v>0</v>
      </c>
      <c r="M180" t="str">
        <f t="shared" si="11"/>
        <v/>
      </c>
      <c r="N180" t="str">
        <f>IF(OR($D180="",$S180=""),"",IFERROR(MAX(0,ROUND(($D180-INDEX(Config!$C$15:$C$18,MATCH($S180,Config!$B$15:$B$18,0)))*24*60,0)),""))</f>
        <v/>
      </c>
      <c r="O180" t="str">
        <f t="shared" si="12"/>
        <v/>
      </c>
      <c r="P180" t="str">
        <f t="shared" si="13"/>
        <v/>
      </c>
      <c r="Q180" t="str">
        <f>IF(OR($P180="",$S180=""),"",IFERROR($P180-INDEX(Config!$E$15:$E$18,MATCH($S180,Config!$B$15:$B$18,0)),""))</f>
        <v/>
      </c>
      <c r="R180" t="str">
        <f t="shared" si="14"/>
        <v/>
      </c>
      <c r="S180" s="6" t="str">
        <f>IF(OR($A180="",$C180=""),"",IFERROR(INDEX(Turno!$C$3:$V$32,MATCH($C180,Turno!$B$3:$B$32,0),MATCH(DAY($A180),Turno!$C$1:$V$1,0)),""))</f>
        <v/>
      </c>
      <c r="T180" t="str">
        <f>IF(OR($E180="",$S180=""),"",IFERROR(MAX(0,ROUND((INDEX(Config!$D$15:$D$18,MATCH($S180,Config!$B$15:$B$18,0))-$E180)*1440,0)),""))</f>
        <v/>
      </c>
      <c r="U180" s="13" t="str">
        <f>IF(OR($N180="",$T180=""),"",IFERROR(MAX(0,1-($N180+$T180+MAX(0,N($Q180)))/ROUND((INDEX(Config!$D$15:$D$18,MATCH($S180,Config!$B$15:$B$18,0))-INDEX(Config!$C$15:$C$18,MATCH($S180,Config!$B$15:$B$18,0)))*1440,0)),""))</f>
        <v/>
      </c>
      <c r="V180" s="5"/>
    </row>
    <row r="181" spans="1:22" x14ac:dyDescent="0.25">
      <c r="A181" s="11"/>
      <c r="B181" s="16"/>
      <c r="C181" t="str">
        <f>IFERROR(INDEX(Ejecutivos!$B$2:$B$100,MATCH(B181,Ejecutivos!$A$2:$A$100,0)),"")</f>
        <v/>
      </c>
      <c r="D181" s="19"/>
      <c r="E181" s="21"/>
      <c r="F181" s="19"/>
      <c r="G181" s="21"/>
      <c r="H181" s="20"/>
      <c r="I181" s="20"/>
      <c r="J181" s="20"/>
      <c r="K181" s="20"/>
      <c r="L181" s="18">
        <v>0</v>
      </c>
      <c r="M181" t="str">
        <f t="shared" ref="M181:M244" si="15">IF(OR(D181="",E181=""),"",ROUND(((E181-D181)*24)-((G181-F181)*24)-((H181+I181)/60),2))</f>
        <v/>
      </c>
      <c r="N181" t="str">
        <f>IF(OR($D181="",$S181=""),"",IFERROR(MAX(0,ROUND(($D181-INDEX(Config!$C$15:$C$18,MATCH($S181,Config!$B$15:$B$18,0)))*24*60,0)),""))</f>
        <v/>
      </c>
      <c r="O181" t="str">
        <f t="shared" ref="O181:O244" si="16">IF(OR(F181="",G181=""),"",ROUND((G181-F181)*24*60,0))</f>
        <v/>
      </c>
      <c r="P181" t="str">
        <f t="shared" ref="P181:P244" si="17">IF(O181="","",O181+H181+I181)</f>
        <v/>
      </c>
      <c r="Q181" t="str">
        <f>IF(OR($P181="",$S181=""),"",IFERROR($P181-INDEX(Config!$E$15:$E$18,MATCH($S181,Config!$B$15:$B$18,0)),""))</f>
        <v/>
      </c>
      <c r="R181" t="str">
        <f t="shared" ref="R181:R244" si="18">IF($A181="","",IF($D181="","Ausente",IF($N181="","",IF($N181&gt;0,"Atrasado","Puntual"))))</f>
        <v/>
      </c>
      <c r="S181" s="6" t="str">
        <f>IF(OR($A181="",$C181=""),"",IFERROR(INDEX(Turno!$C$3:$V$32,MATCH($C181,Turno!$B$3:$B$32,0),MATCH(DAY($A181),Turno!$C$1:$V$1,0)),""))</f>
        <v/>
      </c>
      <c r="T181" t="str">
        <f>IF(OR($E181="",$S181=""),"",IFERROR(MAX(0,ROUND((INDEX(Config!$D$15:$D$18,MATCH($S181,Config!$B$15:$B$18,0))-$E181)*1440,0)),""))</f>
        <v/>
      </c>
      <c r="U181" s="13" t="str">
        <f>IF(OR($N181="",$T181=""),"",IFERROR(MAX(0,1-($N181+$T181+MAX(0,N($Q181)))/ROUND((INDEX(Config!$D$15:$D$18,MATCH($S181,Config!$B$15:$B$18,0))-INDEX(Config!$C$15:$C$18,MATCH($S181,Config!$B$15:$B$18,0)))*1440,0)),""))</f>
        <v/>
      </c>
      <c r="V181" s="5"/>
    </row>
    <row r="182" spans="1:22" x14ac:dyDescent="0.25">
      <c r="A182" s="11"/>
      <c r="B182" s="16"/>
      <c r="C182" t="str">
        <f>IFERROR(INDEX(Ejecutivos!$B$2:$B$100,MATCH(B182,Ejecutivos!$A$2:$A$100,0)),"")</f>
        <v/>
      </c>
      <c r="D182" s="19"/>
      <c r="E182" s="21"/>
      <c r="F182" s="19"/>
      <c r="G182" s="21"/>
      <c r="H182" s="20"/>
      <c r="I182" s="20"/>
      <c r="J182" s="20"/>
      <c r="K182" s="20"/>
      <c r="L182" s="18">
        <v>0</v>
      </c>
      <c r="M182" t="str">
        <f t="shared" si="15"/>
        <v/>
      </c>
      <c r="N182" t="str">
        <f>IF(OR($D182="",$S182=""),"",IFERROR(MAX(0,ROUND(($D182-INDEX(Config!$C$15:$C$18,MATCH($S182,Config!$B$15:$B$18,0)))*24*60,0)),""))</f>
        <v/>
      </c>
      <c r="O182" t="str">
        <f t="shared" si="16"/>
        <v/>
      </c>
      <c r="P182" t="str">
        <f t="shared" si="17"/>
        <v/>
      </c>
      <c r="Q182" t="str">
        <f>IF(OR($P182="",$S182=""),"",IFERROR($P182-INDEX(Config!$E$15:$E$18,MATCH($S182,Config!$B$15:$B$18,0)),""))</f>
        <v/>
      </c>
      <c r="R182" t="str">
        <f t="shared" si="18"/>
        <v/>
      </c>
      <c r="S182" s="6" t="str">
        <f>IF(OR($A182="",$C182=""),"",IFERROR(INDEX(Turno!$C$3:$V$32,MATCH($C182,Turno!$B$3:$B$32,0),MATCH(DAY($A182),Turno!$C$1:$V$1,0)),""))</f>
        <v/>
      </c>
      <c r="T182" t="str">
        <f>IF(OR($E182="",$S182=""),"",IFERROR(MAX(0,ROUND((INDEX(Config!$D$15:$D$18,MATCH($S182,Config!$B$15:$B$18,0))-$E182)*1440,0)),""))</f>
        <v/>
      </c>
      <c r="U182" s="13" t="str">
        <f>IF(OR($N182="",$T182=""),"",IFERROR(MAX(0,1-($N182+$T182+MAX(0,N($Q182)))/ROUND((INDEX(Config!$D$15:$D$18,MATCH($S182,Config!$B$15:$B$18,0))-INDEX(Config!$C$15:$C$18,MATCH($S182,Config!$B$15:$B$18,0)))*1440,0)),""))</f>
        <v/>
      </c>
      <c r="V182" s="5"/>
    </row>
    <row r="183" spans="1:22" x14ac:dyDescent="0.25">
      <c r="A183" s="11"/>
      <c r="B183" s="16"/>
      <c r="C183" t="str">
        <f>IFERROR(INDEX(Ejecutivos!$B$2:$B$100,MATCH(B183,Ejecutivos!$A$2:$A$100,0)),"")</f>
        <v/>
      </c>
      <c r="D183" s="19"/>
      <c r="E183" s="21"/>
      <c r="F183" s="19"/>
      <c r="G183" s="21"/>
      <c r="H183" s="20"/>
      <c r="I183" s="20"/>
      <c r="J183" s="20"/>
      <c r="K183" s="20"/>
      <c r="L183" s="18">
        <v>0</v>
      </c>
      <c r="M183" t="str">
        <f t="shared" si="15"/>
        <v/>
      </c>
      <c r="N183" t="str">
        <f>IF(OR($D183="",$S183=""),"",IFERROR(MAX(0,ROUND(($D183-INDEX(Config!$C$15:$C$18,MATCH($S183,Config!$B$15:$B$18,0)))*24*60,0)),""))</f>
        <v/>
      </c>
      <c r="O183" t="str">
        <f t="shared" si="16"/>
        <v/>
      </c>
      <c r="P183" t="str">
        <f t="shared" si="17"/>
        <v/>
      </c>
      <c r="Q183" t="str">
        <f>IF(OR($P183="",$S183=""),"",IFERROR($P183-INDEX(Config!$E$15:$E$18,MATCH($S183,Config!$B$15:$B$18,0)),""))</f>
        <v/>
      </c>
      <c r="R183" t="str">
        <f t="shared" si="18"/>
        <v/>
      </c>
      <c r="S183" s="6" t="str">
        <f>IF(OR($A183="",$C183=""),"",IFERROR(INDEX(Turno!$C$3:$V$32,MATCH($C183,Turno!$B$3:$B$32,0),MATCH(DAY($A183),Turno!$C$1:$V$1,0)),""))</f>
        <v/>
      </c>
      <c r="T183" t="str">
        <f>IF(OR($E183="",$S183=""),"",IFERROR(MAX(0,ROUND((INDEX(Config!$D$15:$D$18,MATCH($S183,Config!$B$15:$B$18,0))-$E183)*1440,0)),""))</f>
        <v/>
      </c>
      <c r="U183" s="13" t="str">
        <f>IF(OR($N183="",$T183=""),"",IFERROR(MAX(0,1-($N183+$T183+MAX(0,N($Q183)))/ROUND((INDEX(Config!$D$15:$D$18,MATCH($S183,Config!$B$15:$B$18,0))-INDEX(Config!$C$15:$C$18,MATCH($S183,Config!$B$15:$B$18,0)))*1440,0)),""))</f>
        <v/>
      </c>
      <c r="V183" s="5"/>
    </row>
    <row r="184" spans="1:22" x14ac:dyDescent="0.25">
      <c r="A184" s="11"/>
      <c r="B184" s="16"/>
      <c r="C184" t="str">
        <f>IFERROR(INDEX(Ejecutivos!$B$2:$B$100,MATCH(B184,Ejecutivos!$A$2:$A$100,0)),"")</f>
        <v/>
      </c>
      <c r="D184" s="19"/>
      <c r="E184" s="21"/>
      <c r="F184" s="19"/>
      <c r="G184" s="21"/>
      <c r="H184" s="20"/>
      <c r="I184" s="20"/>
      <c r="J184" s="20"/>
      <c r="K184" s="20"/>
      <c r="L184" s="18">
        <v>0</v>
      </c>
      <c r="M184" t="str">
        <f t="shared" si="15"/>
        <v/>
      </c>
      <c r="N184" t="str">
        <f>IF(OR($D184="",$S184=""),"",IFERROR(MAX(0,ROUND(($D184-INDEX(Config!$C$15:$C$18,MATCH($S184,Config!$B$15:$B$18,0)))*24*60,0)),""))</f>
        <v/>
      </c>
      <c r="O184" t="str">
        <f t="shared" si="16"/>
        <v/>
      </c>
      <c r="P184" t="str">
        <f t="shared" si="17"/>
        <v/>
      </c>
      <c r="Q184" t="str">
        <f>IF(OR($P184="",$S184=""),"",IFERROR($P184-INDEX(Config!$E$15:$E$18,MATCH($S184,Config!$B$15:$B$18,0)),""))</f>
        <v/>
      </c>
      <c r="R184" t="str">
        <f t="shared" si="18"/>
        <v/>
      </c>
      <c r="S184" s="6" t="str">
        <f>IF(OR($A184="",$C184=""),"",IFERROR(INDEX(Turno!$C$3:$V$32,MATCH($C184,Turno!$B$3:$B$32,0),MATCH(DAY($A184),Turno!$C$1:$V$1,0)),""))</f>
        <v/>
      </c>
      <c r="T184" t="str">
        <f>IF(OR($E184="",$S184=""),"",IFERROR(MAX(0,ROUND((INDEX(Config!$D$15:$D$18,MATCH($S184,Config!$B$15:$B$18,0))-$E184)*1440,0)),""))</f>
        <v/>
      </c>
      <c r="U184" s="13" t="str">
        <f>IF(OR($N184="",$T184=""),"",IFERROR(MAX(0,1-($N184+$T184+MAX(0,N($Q184)))/ROUND((INDEX(Config!$D$15:$D$18,MATCH($S184,Config!$B$15:$B$18,0))-INDEX(Config!$C$15:$C$18,MATCH($S184,Config!$B$15:$B$18,0)))*1440,0)),""))</f>
        <v/>
      </c>
      <c r="V184" s="5"/>
    </row>
    <row r="185" spans="1:22" x14ac:dyDescent="0.25">
      <c r="A185" s="11"/>
      <c r="B185" s="16"/>
      <c r="C185" t="str">
        <f>IFERROR(INDEX(Ejecutivos!$B$2:$B$100,MATCH(B185,Ejecutivos!$A$2:$A$100,0)),"")</f>
        <v/>
      </c>
      <c r="D185" s="19"/>
      <c r="E185" s="21"/>
      <c r="F185" s="19"/>
      <c r="G185" s="21"/>
      <c r="H185" s="20"/>
      <c r="I185" s="20"/>
      <c r="J185" s="20"/>
      <c r="K185" s="20"/>
      <c r="L185" s="18">
        <v>0</v>
      </c>
      <c r="M185" t="str">
        <f t="shared" si="15"/>
        <v/>
      </c>
      <c r="N185" t="str">
        <f>IF(OR($D185="",$S185=""),"",IFERROR(MAX(0,ROUND(($D185-INDEX(Config!$C$15:$C$18,MATCH($S185,Config!$B$15:$B$18,0)))*24*60,0)),""))</f>
        <v/>
      </c>
      <c r="O185" t="str">
        <f t="shared" si="16"/>
        <v/>
      </c>
      <c r="P185" t="str">
        <f t="shared" si="17"/>
        <v/>
      </c>
      <c r="Q185" t="str">
        <f>IF(OR($P185="",$S185=""),"",IFERROR($P185-INDEX(Config!$E$15:$E$18,MATCH($S185,Config!$B$15:$B$18,0)),""))</f>
        <v/>
      </c>
      <c r="R185" t="str">
        <f t="shared" si="18"/>
        <v/>
      </c>
      <c r="S185" s="6" t="str">
        <f>IF(OR($A185="",$C185=""),"",IFERROR(INDEX(Turno!$C$3:$V$32,MATCH($C185,Turno!$B$3:$B$32,0),MATCH(DAY($A185),Turno!$C$1:$V$1,0)),""))</f>
        <v/>
      </c>
      <c r="T185" t="str">
        <f>IF(OR($E185="",$S185=""),"",IFERROR(MAX(0,ROUND((INDEX(Config!$D$15:$D$18,MATCH($S185,Config!$B$15:$B$18,0))-$E185)*1440,0)),""))</f>
        <v/>
      </c>
      <c r="U185" s="13" t="str">
        <f>IF(OR($N185="",$T185=""),"",IFERROR(MAX(0,1-($N185+$T185+MAX(0,N($Q185)))/ROUND((INDEX(Config!$D$15:$D$18,MATCH($S185,Config!$B$15:$B$18,0))-INDEX(Config!$C$15:$C$18,MATCH($S185,Config!$B$15:$B$18,0)))*1440,0)),""))</f>
        <v/>
      </c>
      <c r="V185" s="5"/>
    </row>
    <row r="186" spans="1:22" x14ac:dyDescent="0.25">
      <c r="A186" s="11"/>
      <c r="B186" s="16"/>
      <c r="C186" t="str">
        <f>IFERROR(INDEX(Ejecutivos!$B$2:$B$100,MATCH(B186,Ejecutivos!$A$2:$A$100,0)),"")</f>
        <v/>
      </c>
      <c r="D186" s="19"/>
      <c r="E186" s="21"/>
      <c r="F186" s="19"/>
      <c r="G186" s="21"/>
      <c r="H186" s="20"/>
      <c r="I186" s="20"/>
      <c r="J186" s="20"/>
      <c r="K186" s="20"/>
      <c r="L186" s="18">
        <v>0</v>
      </c>
      <c r="M186" t="str">
        <f t="shared" si="15"/>
        <v/>
      </c>
      <c r="N186" t="str">
        <f>IF(OR($D186="",$S186=""),"",IFERROR(MAX(0,ROUND(($D186-INDEX(Config!$C$15:$C$18,MATCH($S186,Config!$B$15:$B$18,0)))*24*60,0)),""))</f>
        <v/>
      </c>
      <c r="O186" t="str">
        <f t="shared" si="16"/>
        <v/>
      </c>
      <c r="P186" t="str">
        <f t="shared" si="17"/>
        <v/>
      </c>
      <c r="Q186" t="str">
        <f>IF(OR($P186="",$S186=""),"",IFERROR($P186-INDEX(Config!$E$15:$E$18,MATCH($S186,Config!$B$15:$B$18,0)),""))</f>
        <v/>
      </c>
      <c r="R186" t="str">
        <f t="shared" si="18"/>
        <v/>
      </c>
      <c r="S186" s="6" t="str">
        <f>IF(OR($A186="",$C186=""),"",IFERROR(INDEX(Turno!$C$3:$V$32,MATCH($C186,Turno!$B$3:$B$32,0),MATCH(DAY($A186),Turno!$C$1:$V$1,0)),""))</f>
        <v/>
      </c>
      <c r="T186" t="str">
        <f>IF(OR($E186="",$S186=""),"",IFERROR(MAX(0,ROUND((INDEX(Config!$D$15:$D$18,MATCH($S186,Config!$B$15:$B$18,0))-$E186)*1440,0)),""))</f>
        <v/>
      </c>
      <c r="U186" s="13" t="str">
        <f>IF(OR($N186="",$T186=""),"",IFERROR(MAX(0,1-($N186+$T186+MAX(0,N($Q186)))/ROUND((INDEX(Config!$D$15:$D$18,MATCH($S186,Config!$B$15:$B$18,0))-INDEX(Config!$C$15:$C$18,MATCH($S186,Config!$B$15:$B$18,0)))*1440,0)),""))</f>
        <v/>
      </c>
      <c r="V186" s="5"/>
    </row>
    <row r="187" spans="1:22" x14ac:dyDescent="0.25">
      <c r="A187" s="11"/>
      <c r="B187" s="16"/>
      <c r="C187" t="str">
        <f>IFERROR(INDEX(Ejecutivos!$B$2:$B$100,MATCH(B187,Ejecutivos!$A$2:$A$100,0)),"")</f>
        <v/>
      </c>
      <c r="D187" s="19"/>
      <c r="E187" s="21"/>
      <c r="F187" s="19"/>
      <c r="G187" s="21"/>
      <c r="H187" s="20"/>
      <c r="I187" s="20"/>
      <c r="J187" s="20"/>
      <c r="K187" s="20"/>
      <c r="L187" s="18">
        <v>0</v>
      </c>
      <c r="M187" t="str">
        <f t="shared" si="15"/>
        <v/>
      </c>
      <c r="N187" t="str">
        <f>IF(OR($D187="",$S187=""),"",IFERROR(MAX(0,ROUND(($D187-INDEX(Config!$C$15:$C$18,MATCH($S187,Config!$B$15:$B$18,0)))*24*60,0)),""))</f>
        <v/>
      </c>
      <c r="O187" t="str">
        <f t="shared" si="16"/>
        <v/>
      </c>
      <c r="P187" t="str">
        <f t="shared" si="17"/>
        <v/>
      </c>
      <c r="Q187" t="str">
        <f>IF(OR($P187="",$S187=""),"",IFERROR($P187-INDEX(Config!$E$15:$E$18,MATCH($S187,Config!$B$15:$B$18,0)),""))</f>
        <v/>
      </c>
      <c r="R187" t="str">
        <f t="shared" si="18"/>
        <v/>
      </c>
      <c r="S187" s="6" t="str">
        <f>IF(OR($A187="",$C187=""),"",IFERROR(INDEX(Turno!$C$3:$V$32,MATCH($C187,Turno!$B$3:$B$32,0),MATCH(DAY($A187),Turno!$C$1:$V$1,0)),""))</f>
        <v/>
      </c>
      <c r="T187" t="str">
        <f>IF(OR($E187="",$S187=""),"",IFERROR(MAX(0,ROUND((INDEX(Config!$D$15:$D$18,MATCH($S187,Config!$B$15:$B$18,0))-$E187)*1440,0)),""))</f>
        <v/>
      </c>
      <c r="U187" s="13" t="str">
        <f>IF(OR($N187="",$T187=""),"",IFERROR(MAX(0,1-($N187+$T187+MAX(0,N($Q187)))/ROUND((INDEX(Config!$D$15:$D$18,MATCH($S187,Config!$B$15:$B$18,0))-INDEX(Config!$C$15:$C$18,MATCH($S187,Config!$B$15:$B$18,0)))*1440,0)),""))</f>
        <v/>
      </c>
      <c r="V187" s="5"/>
    </row>
    <row r="188" spans="1:22" x14ac:dyDescent="0.25">
      <c r="A188" s="11"/>
      <c r="B188" s="16"/>
      <c r="C188" t="str">
        <f>IFERROR(INDEX(Ejecutivos!$B$2:$B$100,MATCH(B188,Ejecutivos!$A$2:$A$100,0)),"")</f>
        <v/>
      </c>
      <c r="D188" s="19"/>
      <c r="E188" s="21"/>
      <c r="F188" s="19"/>
      <c r="G188" s="21"/>
      <c r="H188" s="20"/>
      <c r="I188" s="20"/>
      <c r="J188" s="20"/>
      <c r="K188" s="20"/>
      <c r="L188" s="18">
        <v>0</v>
      </c>
      <c r="M188" t="str">
        <f t="shared" si="15"/>
        <v/>
      </c>
      <c r="N188" t="str">
        <f>IF(OR($D188="",$S188=""),"",IFERROR(MAX(0,ROUND(($D188-INDEX(Config!$C$15:$C$18,MATCH($S188,Config!$B$15:$B$18,0)))*24*60,0)),""))</f>
        <v/>
      </c>
      <c r="O188" t="str">
        <f t="shared" si="16"/>
        <v/>
      </c>
      <c r="P188" t="str">
        <f t="shared" si="17"/>
        <v/>
      </c>
      <c r="Q188" t="str">
        <f>IF(OR($P188="",$S188=""),"",IFERROR($P188-INDEX(Config!$E$15:$E$18,MATCH($S188,Config!$B$15:$B$18,0)),""))</f>
        <v/>
      </c>
      <c r="R188" t="str">
        <f t="shared" si="18"/>
        <v/>
      </c>
      <c r="S188" s="6" t="str">
        <f>IF(OR($A188="",$C188=""),"",IFERROR(INDEX(Turno!$C$3:$V$32,MATCH($C188,Turno!$B$3:$B$32,0),MATCH(DAY($A188),Turno!$C$1:$V$1,0)),""))</f>
        <v/>
      </c>
      <c r="T188" t="str">
        <f>IF(OR($E188="",$S188=""),"",IFERROR(MAX(0,ROUND((INDEX(Config!$D$15:$D$18,MATCH($S188,Config!$B$15:$B$18,0))-$E188)*1440,0)),""))</f>
        <v/>
      </c>
      <c r="U188" s="13" t="str">
        <f>IF(OR($N188="",$T188=""),"",IFERROR(MAX(0,1-($N188+$T188+MAX(0,N($Q188)))/ROUND((INDEX(Config!$D$15:$D$18,MATCH($S188,Config!$B$15:$B$18,0))-INDEX(Config!$C$15:$C$18,MATCH($S188,Config!$B$15:$B$18,0)))*1440,0)),""))</f>
        <v/>
      </c>
      <c r="V188" s="5"/>
    </row>
    <row r="189" spans="1:22" x14ac:dyDescent="0.25">
      <c r="A189" s="11"/>
      <c r="B189" s="16"/>
      <c r="C189" t="str">
        <f>IFERROR(INDEX(Ejecutivos!$B$2:$B$100,MATCH(B189,Ejecutivos!$A$2:$A$100,0)),"")</f>
        <v/>
      </c>
      <c r="D189" s="19"/>
      <c r="E189" s="21"/>
      <c r="F189" s="19"/>
      <c r="G189" s="21"/>
      <c r="H189" s="20"/>
      <c r="I189" s="20"/>
      <c r="J189" s="20"/>
      <c r="K189" s="20"/>
      <c r="L189" s="18">
        <v>0</v>
      </c>
      <c r="M189" t="str">
        <f t="shared" si="15"/>
        <v/>
      </c>
      <c r="N189" t="str">
        <f>IF(OR($D189="",$S189=""),"",IFERROR(MAX(0,ROUND(($D189-INDEX(Config!$C$15:$C$18,MATCH($S189,Config!$B$15:$B$18,0)))*24*60,0)),""))</f>
        <v/>
      </c>
      <c r="O189" t="str">
        <f t="shared" si="16"/>
        <v/>
      </c>
      <c r="P189" t="str">
        <f t="shared" si="17"/>
        <v/>
      </c>
      <c r="Q189" t="str">
        <f>IF(OR($P189="",$S189=""),"",IFERROR($P189-INDEX(Config!$E$15:$E$18,MATCH($S189,Config!$B$15:$B$18,0)),""))</f>
        <v/>
      </c>
      <c r="R189" t="str">
        <f t="shared" si="18"/>
        <v/>
      </c>
      <c r="S189" s="6" t="str">
        <f>IF(OR($A189="",$C189=""),"",IFERROR(INDEX(Turno!$C$3:$V$32,MATCH($C189,Turno!$B$3:$B$32,0),MATCH(DAY($A189),Turno!$C$1:$V$1,0)),""))</f>
        <v/>
      </c>
      <c r="T189" t="str">
        <f>IF(OR($E189="",$S189=""),"",IFERROR(MAX(0,ROUND((INDEX(Config!$D$15:$D$18,MATCH($S189,Config!$B$15:$B$18,0))-$E189)*1440,0)),""))</f>
        <v/>
      </c>
      <c r="U189" s="13" t="str">
        <f>IF(OR($N189="",$T189=""),"",IFERROR(MAX(0,1-($N189+$T189+MAX(0,N($Q189)))/ROUND((INDEX(Config!$D$15:$D$18,MATCH($S189,Config!$B$15:$B$18,0))-INDEX(Config!$C$15:$C$18,MATCH($S189,Config!$B$15:$B$18,0)))*1440,0)),""))</f>
        <v/>
      </c>
      <c r="V189" s="5"/>
    </row>
    <row r="190" spans="1:22" x14ac:dyDescent="0.25">
      <c r="A190" s="11"/>
      <c r="B190" s="16"/>
      <c r="C190" t="str">
        <f>IFERROR(INDEX(Ejecutivos!$B$2:$B$100,MATCH(B190,Ejecutivos!$A$2:$A$100,0)),"")</f>
        <v/>
      </c>
      <c r="D190" s="19"/>
      <c r="E190" s="21"/>
      <c r="F190" s="19"/>
      <c r="G190" s="21"/>
      <c r="H190" s="20"/>
      <c r="I190" s="20"/>
      <c r="J190" s="20"/>
      <c r="K190" s="20"/>
      <c r="L190" s="18">
        <v>0</v>
      </c>
      <c r="M190" t="str">
        <f t="shared" si="15"/>
        <v/>
      </c>
      <c r="N190" t="str">
        <f>IF(OR($D190="",$S190=""),"",IFERROR(MAX(0,ROUND(($D190-INDEX(Config!$C$15:$C$18,MATCH($S190,Config!$B$15:$B$18,0)))*24*60,0)),""))</f>
        <v/>
      </c>
      <c r="O190" t="str">
        <f t="shared" si="16"/>
        <v/>
      </c>
      <c r="P190" t="str">
        <f t="shared" si="17"/>
        <v/>
      </c>
      <c r="Q190" t="str">
        <f>IF(OR($P190="",$S190=""),"",IFERROR($P190-INDEX(Config!$E$15:$E$18,MATCH($S190,Config!$B$15:$B$18,0)),""))</f>
        <v/>
      </c>
      <c r="R190" t="str">
        <f t="shared" si="18"/>
        <v/>
      </c>
      <c r="S190" s="6" t="str">
        <f>IF(OR($A190="",$C190=""),"",IFERROR(INDEX(Turno!$C$3:$V$32,MATCH($C190,Turno!$B$3:$B$32,0),MATCH(DAY($A190),Turno!$C$1:$V$1,0)),""))</f>
        <v/>
      </c>
      <c r="T190" t="str">
        <f>IF(OR($E190="",$S190=""),"",IFERROR(MAX(0,ROUND((INDEX(Config!$D$15:$D$18,MATCH($S190,Config!$B$15:$B$18,0))-$E190)*1440,0)),""))</f>
        <v/>
      </c>
      <c r="U190" s="13" t="str">
        <f>IF(OR($N190="",$T190=""),"",IFERROR(MAX(0,1-($N190+$T190+MAX(0,N($Q190)))/ROUND((INDEX(Config!$D$15:$D$18,MATCH($S190,Config!$B$15:$B$18,0))-INDEX(Config!$C$15:$C$18,MATCH($S190,Config!$B$15:$B$18,0)))*1440,0)),""))</f>
        <v/>
      </c>
      <c r="V190" s="5"/>
    </row>
    <row r="191" spans="1:22" x14ac:dyDescent="0.25">
      <c r="A191" s="11"/>
      <c r="B191" s="16"/>
      <c r="C191" t="str">
        <f>IFERROR(INDEX(Ejecutivos!$B$2:$B$100,MATCH(B191,Ejecutivos!$A$2:$A$100,0)),"")</f>
        <v/>
      </c>
      <c r="D191" s="19"/>
      <c r="E191" s="21"/>
      <c r="F191" s="19"/>
      <c r="G191" s="21"/>
      <c r="H191" s="20"/>
      <c r="I191" s="20"/>
      <c r="J191" s="20"/>
      <c r="K191" s="20"/>
      <c r="L191" s="18">
        <v>0</v>
      </c>
      <c r="M191" t="str">
        <f t="shared" si="15"/>
        <v/>
      </c>
      <c r="N191" t="str">
        <f>IF(OR($D191="",$S191=""),"",IFERROR(MAX(0,ROUND(($D191-INDEX(Config!$C$15:$C$18,MATCH($S191,Config!$B$15:$B$18,0)))*24*60,0)),""))</f>
        <v/>
      </c>
      <c r="O191" t="str">
        <f t="shared" si="16"/>
        <v/>
      </c>
      <c r="P191" t="str">
        <f t="shared" si="17"/>
        <v/>
      </c>
      <c r="Q191" t="str">
        <f>IF(OR($P191="",$S191=""),"",IFERROR($P191-INDEX(Config!$E$15:$E$18,MATCH($S191,Config!$B$15:$B$18,0)),""))</f>
        <v/>
      </c>
      <c r="R191" t="str">
        <f t="shared" si="18"/>
        <v/>
      </c>
      <c r="S191" s="6" t="str">
        <f>IF(OR($A191="",$C191=""),"",IFERROR(INDEX(Turno!$C$3:$V$32,MATCH($C191,Turno!$B$3:$B$32,0),MATCH(DAY($A191),Turno!$C$1:$V$1,0)),""))</f>
        <v/>
      </c>
      <c r="T191" t="str">
        <f>IF(OR($E191="",$S191=""),"",IFERROR(MAX(0,ROUND((INDEX(Config!$D$15:$D$18,MATCH($S191,Config!$B$15:$B$18,0))-$E191)*1440,0)),""))</f>
        <v/>
      </c>
      <c r="U191" s="13" t="str">
        <f>IF(OR($N191="",$T191=""),"",IFERROR(MAX(0,1-($N191+$T191+MAX(0,N($Q191)))/ROUND((INDEX(Config!$D$15:$D$18,MATCH($S191,Config!$B$15:$B$18,0))-INDEX(Config!$C$15:$C$18,MATCH($S191,Config!$B$15:$B$18,0)))*1440,0)),""))</f>
        <v/>
      </c>
      <c r="V191" s="5"/>
    </row>
    <row r="192" spans="1:22" x14ac:dyDescent="0.25">
      <c r="A192" s="11"/>
      <c r="B192" s="16"/>
      <c r="C192" t="str">
        <f>IFERROR(INDEX(Ejecutivos!$B$2:$B$100,MATCH(B192,Ejecutivos!$A$2:$A$100,0)),"")</f>
        <v/>
      </c>
      <c r="D192" s="19"/>
      <c r="E192" s="21"/>
      <c r="F192" s="19"/>
      <c r="G192" s="21"/>
      <c r="H192" s="20"/>
      <c r="I192" s="20"/>
      <c r="J192" s="20"/>
      <c r="K192" s="20"/>
      <c r="L192" s="18">
        <v>0</v>
      </c>
      <c r="M192" t="str">
        <f t="shared" si="15"/>
        <v/>
      </c>
      <c r="N192" t="str">
        <f>IF(OR($D192="",$S192=""),"",IFERROR(MAX(0,ROUND(($D192-INDEX(Config!$C$15:$C$18,MATCH($S192,Config!$B$15:$B$18,0)))*24*60,0)),""))</f>
        <v/>
      </c>
      <c r="O192" t="str">
        <f t="shared" si="16"/>
        <v/>
      </c>
      <c r="P192" t="str">
        <f t="shared" si="17"/>
        <v/>
      </c>
      <c r="Q192" t="str">
        <f>IF(OR($P192="",$S192=""),"",IFERROR($P192-INDEX(Config!$E$15:$E$18,MATCH($S192,Config!$B$15:$B$18,0)),""))</f>
        <v/>
      </c>
      <c r="R192" t="str">
        <f t="shared" si="18"/>
        <v/>
      </c>
      <c r="S192" s="6" t="str">
        <f>IF(OR($A192="",$C192=""),"",IFERROR(INDEX(Turno!$C$3:$V$32,MATCH($C192,Turno!$B$3:$B$32,0),MATCH(DAY($A192),Turno!$C$1:$V$1,0)),""))</f>
        <v/>
      </c>
      <c r="T192" t="str">
        <f>IF(OR($E192="",$S192=""),"",IFERROR(MAX(0,ROUND((INDEX(Config!$D$15:$D$18,MATCH($S192,Config!$B$15:$B$18,0))-$E192)*1440,0)),""))</f>
        <v/>
      </c>
      <c r="U192" s="13" t="str">
        <f>IF(OR($N192="",$T192=""),"",IFERROR(MAX(0,1-($N192+$T192+MAX(0,N($Q192)))/ROUND((INDEX(Config!$D$15:$D$18,MATCH($S192,Config!$B$15:$B$18,0))-INDEX(Config!$C$15:$C$18,MATCH($S192,Config!$B$15:$B$18,0)))*1440,0)),""))</f>
        <v/>
      </c>
      <c r="V192" s="5"/>
    </row>
    <row r="193" spans="1:22" x14ac:dyDescent="0.25">
      <c r="A193" s="11"/>
      <c r="B193" s="16"/>
      <c r="C193" t="str">
        <f>IFERROR(INDEX(Ejecutivos!$B$2:$B$100,MATCH(B193,Ejecutivos!$A$2:$A$100,0)),"")</f>
        <v/>
      </c>
      <c r="D193" s="19"/>
      <c r="E193" s="21"/>
      <c r="F193" s="19"/>
      <c r="G193" s="21"/>
      <c r="H193" s="20"/>
      <c r="I193" s="20"/>
      <c r="J193" s="20"/>
      <c r="K193" s="20"/>
      <c r="L193" s="18">
        <v>0</v>
      </c>
      <c r="M193" t="str">
        <f t="shared" si="15"/>
        <v/>
      </c>
      <c r="N193" t="str">
        <f>IF(OR($D193="",$S193=""),"",IFERROR(MAX(0,ROUND(($D193-INDEX(Config!$C$15:$C$18,MATCH($S193,Config!$B$15:$B$18,0)))*24*60,0)),""))</f>
        <v/>
      </c>
      <c r="O193" t="str">
        <f t="shared" si="16"/>
        <v/>
      </c>
      <c r="P193" t="str">
        <f t="shared" si="17"/>
        <v/>
      </c>
      <c r="Q193" t="str">
        <f>IF(OR($P193="",$S193=""),"",IFERROR($P193-INDEX(Config!$E$15:$E$18,MATCH($S193,Config!$B$15:$B$18,0)),""))</f>
        <v/>
      </c>
      <c r="R193" t="str">
        <f t="shared" si="18"/>
        <v/>
      </c>
      <c r="S193" s="6" t="str">
        <f>IF(OR($A193="",$C193=""),"",IFERROR(INDEX(Turno!$C$3:$V$32,MATCH($C193,Turno!$B$3:$B$32,0),MATCH(DAY($A193),Turno!$C$1:$V$1,0)),""))</f>
        <v/>
      </c>
      <c r="T193" t="str">
        <f>IF(OR($E193="",$S193=""),"",IFERROR(MAX(0,ROUND((INDEX(Config!$D$15:$D$18,MATCH($S193,Config!$B$15:$B$18,0))-$E193)*1440,0)),""))</f>
        <v/>
      </c>
      <c r="U193" s="13" t="str">
        <f>IF(OR($N193="",$T193=""),"",IFERROR(MAX(0,1-($N193+$T193+MAX(0,N($Q193)))/ROUND((INDEX(Config!$D$15:$D$18,MATCH($S193,Config!$B$15:$B$18,0))-INDEX(Config!$C$15:$C$18,MATCH($S193,Config!$B$15:$B$18,0)))*1440,0)),""))</f>
        <v/>
      </c>
      <c r="V193" s="5"/>
    </row>
    <row r="194" spans="1:22" x14ac:dyDescent="0.25">
      <c r="A194" s="11"/>
      <c r="B194" s="16"/>
      <c r="C194" t="str">
        <f>IFERROR(INDEX(Ejecutivos!$B$2:$B$100,MATCH(B194,Ejecutivos!$A$2:$A$100,0)),"")</f>
        <v/>
      </c>
      <c r="D194" s="19"/>
      <c r="E194" s="21"/>
      <c r="F194" s="19"/>
      <c r="G194" s="21"/>
      <c r="H194" s="20"/>
      <c r="I194" s="20"/>
      <c r="J194" s="20"/>
      <c r="K194" s="20"/>
      <c r="L194" s="18">
        <v>0</v>
      </c>
      <c r="M194" t="str">
        <f t="shared" si="15"/>
        <v/>
      </c>
      <c r="N194" t="str">
        <f>IF(OR($D194="",$S194=""),"",IFERROR(MAX(0,ROUND(($D194-INDEX(Config!$C$15:$C$18,MATCH($S194,Config!$B$15:$B$18,0)))*24*60,0)),""))</f>
        <v/>
      </c>
      <c r="O194" t="str">
        <f t="shared" si="16"/>
        <v/>
      </c>
      <c r="P194" t="str">
        <f t="shared" si="17"/>
        <v/>
      </c>
      <c r="Q194" t="str">
        <f>IF(OR($P194="",$S194=""),"",IFERROR($P194-INDEX(Config!$E$15:$E$18,MATCH($S194,Config!$B$15:$B$18,0)),""))</f>
        <v/>
      </c>
      <c r="R194" t="str">
        <f t="shared" si="18"/>
        <v/>
      </c>
      <c r="S194" s="6" t="str">
        <f>IF(OR($A194="",$C194=""),"",IFERROR(INDEX(Turno!$C$3:$V$32,MATCH($C194,Turno!$B$3:$B$32,0),MATCH(DAY($A194),Turno!$C$1:$V$1,0)),""))</f>
        <v/>
      </c>
      <c r="T194" t="str">
        <f>IF(OR($E194="",$S194=""),"",IFERROR(MAX(0,ROUND((INDEX(Config!$D$15:$D$18,MATCH($S194,Config!$B$15:$B$18,0))-$E194)*1440,0)),""))</f>
        <v/>
      </c>
      <c r="U194" s="13" t="str">
        <f>IF(OR($N194="",$T194=""),"",IFERROR(MAX(0,1-($N194+$T194+MAX(0,N($Q194)))/ROUND((INDEX(Config!$D$15:$D$18,MATCH($S194,Config!$B$15:$B$18,0))-INDEX(Config!$C$15:$C$18,MATCH($S194,Config!$B$15:$B$18,0)))*1440,0)),""))</f>
        <v/>
      </c>
      <c r="V194" s="5"/>
    </row>
    <row r="195" spans="1:22" x14ac:dyDescent="0.25">
      <c r="A195" s="11"/>
      <c r="B195" s="16"/>
      <c r="C195" t="str">
        <f>IFERROR(INDEX(Ejecutivos!$B$2:$B$100,MATCH(B195,Ejecutivos!$A$2:$A$100,0)),"")</f>
        <v/>
      </c>
      <c r="D195" s="19"/>
      <c r="E195" s="21"/>
      <c r="F195" s="19"/>
      <c r="G195" s="21"/>
      <c r="H195" s="23"/>
      <c r="I195" s="23"/>
      <c r="J195" s="23"/>
      <c r="K195" s="24"/>
      <c r="L195" s="18">
        <v>0</v>
      </c>
      <c r="M195" t="str">
        <f t="shared" si="15"/>
        <v/>
      </c>
      <c r="N195" t="str">
        <f>IF(OR($D195="",$S195=""),"",IFERROR(MAX(0,ROUND(($D195-INDEX(Config!$C$15:$C$18,MATCH($S195,Config!$B$15:$B$18,0)))*24*60,0)),""))</f>
        <v/>
      </c>
      <c r="O195" t="str">
        <f t="shared" si="16"/>
        <v/>
      </c>
      <c r="P195" t="str">
        <f t="shared" si="17"/>
        <v/>
      </c>
      <c r="Q195" t="str">
        <f>IF(OR($P195="",$S195=""),"",IFERROR($P195-INDEX(Config!$E$15:$E$18,MATCH($S195,Config!$B$15:$B$18,0)),""))</f>
        <v/>
      </c>
      <c r="R195" t="str">
        <f t="shared" si="18"/>
        <v/>
      </c>
      <c r="S195" s="6" t="str">
        <f>IF(OR($A195="",$C195=""),"",IFERROR(INDEX(Turno!$C$3:$V$32,MATCH($C195,Turno!$B$3:$B$32,0),MATCH(DAY($A195),Turno!$C$1:$V$1,0)),""))</f>
        <v/>
      </c>
      <c r="T195" t="str">
        <f>IF(OR($E195="",$S195=""),"",IFERROR(MAX(0,ROUND((INDEX(Config!$D$15:$D$18,MATCH($S195,Config!$B$15:$B$18,0))-$E195)*1440,0)),""))</f>
        <v/>
      </c>
      <c r="U195" s="13" t="str">
        <f>IF(OR($N195="",$T195=""),"",IFERROR(MAX(0,1-($N195+$T195+MAX(0,N($Q195)))/ROUND((INDEX(Config!$D$15:$D$18,MATCH($S195,Config!$B$15:$B$18,0))-INDEX(Config!$C$15:$C$18,MATCH($S195,Config!$B$15:$B$18,0)))*1440,0)),""))</f>
        <v/>
      </c>
      <c r="V195" s="5"/>
    </row>
    <row r="196" spans="1:22" x14ac:dyDescent="0.25">
      <c r="A196" s="11"/>
      <c r="B196" s="16"/>
      <c r="C196" t="str">
        <f>IFERROR(INDEX(Ejecutivos!$B$2:$B$100,MATCH(B196,Ejecutivos!$A$2:$A$100,0)),"")</f>
        <v/>
      </c>
      <c r="D196" s="19"/>
      <c r="E196" s="21"/>
      <c r="F196" s="19"/>
      <c r="G196" s="21"/>
      <c r="H196" s="23"/>
      <c r="I196" s="23"/>
      <c r="J196" s="23"/>
      <c r="K196" s="24"/>
      <c r="L196" s="18">
        <v>0</v>
      </c>
      <c r="M196" t="str">
        <f t="shared" si="15"/>
        <v/>
      </c>
      <c r="N196" t="str">
        <f>IF(OR($D196="",$S196=""),"",IFERROR(MAX(0,ROUND(($D196-INDEX(Config!$C$15:$C$18,MATCH($S196,Config!$B$15:$B$18,0)))*24*60,0)),""))</f>
        <v/>
      </c>
      <c r="O196" t="str">
        <f t="shared" si="16"/>
        <v/>
      </c>
      <c r="P196" t="str">
        <f t="shared" si="17"/>
        <v/>
      </c>
      <c r="Q196" t="str">
        <f>IF(OR($P196="",$S196=""),"",IFERROR($P196-INDEX(Config!$E$15:$E$18,MATCH($S196,Config!$B$15:$B$18,0)),""))</f>
        <v/>
      </c>
      <c r="R196" t="str">
        <f t="shared" si="18"/>
        <v/>
      </c>
      <c r="S196" s="6" t="str">
        <f>IF(OR($A196="",$C196=""),"",IFERROR(INDEX(Turno!$C$3:$V$32,MATCH($C196,Turno!$B$3:$B$32,0),MATCH(DAY($A196),Turno!$C$1:$V$1,0)),""))</f>
        <v/>
      </c>
      <c r="T196" t="str">
        <f>IF(OR($E196="",$S196=""),"",IFERROR(MAX(0,ROUND((INDEX(Config!$D$15:$D$18,MATCH($S196,Config!$B$15:$B$18,0))-$E196)*1440,0)),""))</f>
        <v/>
      </c>
      <c r="U196" s="13" t="str">
        <f>IF(OR($N196="",$T196=""),"",IFERROR(MAX(0,1-($N196+$T196+MAX(0,N($Q196)))/ROUND((INDEX(Config!$D$15:$D$18,MATCH($S196,Config!$B$15:$B$18,0))-INDEX(Config!$C$15:$C$18,MATCH($S196,Config!$B$15:$B$18,0)))*1440,0)),""))</f>
        <v/>
      </c>
      <c r="V196" s="5"/>
    </row>
    <row r="197" spans="1:22" x14ac:dyDescent="0.25">
      <c r="A197" s="11"/>
      <c r="B197" s="16"/>
      <c r="C197" t="str">
        <f>IFERROR(INDEX(Ejecutivos!$B$2:$B$100,MATCH(B197,Ejecutivos!$A$2:$A$100,0)),"")</f>
        <v/>
      </c>
      <c r="D197" s="19"/>
      <c r="E197" s="21"/>
      <c r="F197" s="19"/>
      <c r="G197" s="21"/>
      <c r="H197" s="23"/>
      <c r="I197" s="23"/>
      <c r="J197" s="23"/>
      <c r="K197" s="24"/>
      <c r="L197" s="18">
        <v>0</v>
      </c>
      <c r="M197" t="str">
        <f t="shared" si="15"/>
        <v/>
      </c>
      <c r="N197" t="str">
        <f>IF(OR($D197="",$S197=""),"",IFERROR(MAX(0,ROUND(($D197-INDEX(Config!$C$15:$C$18,MATCH($S197,Config!$B$15:$B$18,0)))*24*60,0)),""))</f>
        <v/>
      </c>
      <c r="O197" t="str">
        <f t="shared" si="16"/>
        <v/>
      </c>
      <c r="P197" t="str">
        <f t="shared" si="17"/>
        <v/>
      </c>
      <c r="Q197" t="str">
        <f>IF(OR($P197="",$S197=""),"",IFERROR($P197-INDEX(Config!$E$15:$E$18,MATCH($S197,Config!$B$15:$B$18,0)),""))</f>
        <v/>
      </c>
      <c r="R197" t="str">
        <f t="shared" si="18"/>
        <v/>
      </c>
      <c r="S197" s="6" t="str">
        <f>IF(OR($A197="",$C197=""),"",IFERROR(INDEX(Turno!$C$3:$V$32,MATCH($C197,Turno!$B$3:$B$32,0),MATCH(DAY($A197),Turno!$C$1:$V$1,0)),""))</f>
        <v/>
      </c>
      <c r="T197" t="str">
        <f>IF(OR($E197="",$S197=""),"",IFERROR(MAX(0,ROUND((INDEX(Config!$D$15:$D$18,MATCH($S197,Config!$B$15:$B$18,0))-$E197)*1440,0)),""))</f>
        <v/>
      </c>
      <c r="U197" s="13" t="str">
        <f>IF(OR($N197="",$T197=""),"",IFERROR(MAX(0,1-($N197+$T197+MAX(0,N($Q197)))/ROUND((INDEX(Config!$D$15:$D$18,MATCH($S197,Config!$B$15:$B$18,0))-INDEX(Config!$C$15:$C$18,MATCH($S197,Config!$B$15:$B$18,0)))*1440,0)),""))</f>
        <v/>
      </c>
      <c r="V197" s="5"/>
    </row>
    <row r="198" spans="1:22" x14ac:dyDescent="0.25">
      <c r="A198" s="11"/>
      <c r="B198" s="16"/>
      <c r="C198" t="str">
        <f>IFERROR(INDEX(Ejecutivos!$B$2:$B$100,MATCH(B198,Ejecutivos!$A$2:$A$100,0)),"")</f>
        <v/>
      </c>
      <c r="D198" s="19"/>
      <c r="E198" s="21"/>
      <c r="F198" s="19"/>
      <c r="G198" s="21"/>
      <c r="H198" s="23"/>
      <c r="I198" s="23"/>
      <c r="J198" s="23"/>
      <c r="K198" s="24"/>
      <c r="L198" s="18">
        <v>0</v>
      </c>
      <c r="M198" t="str">
        <f t="shared" si="15"/>
        <v/>
      </c>
      <c r="N198" t="str">
        <f>IF(OR($D198="",$S198=""),"",IFERROR(MAX(0,ROUND(($D198-INDEX(Config!$C$15:$C$18,MATCH($S198,Config!$B$15:$B$18,0)))*24*60,0)),""))</f>
        <v/>
      </c>
      <c r="O198" t="str">
        <f t="shared" si="16"/>
        <v/>
      </c>
      <c r="P198" t="str">
        <f t="shared" si="17"/>
        <v/>
      </c>
      <c r="Q198" t="str">
        <f>IF(OR($P198="",$S198=""),"",IFERROR($P198-INDEX(Config!$E$15:$E$18,MATCH($S198,Config!$B$15:$B$18,0)),""))</f>
        <v/>
      </c>
      <c r="R198" t="str">
        <f t="shared" si="18"/>
        <v/>
      </c>
      <c r="S198" s="6" t="str">
        <f>IF(OR($A198="",$C198=""),"",IFERROR(INDEX(Turno!$C$3:$V$32,MATCH($C198,Turno!$B$3:$B$32,0),MATCH(DAY($A198),Turno!$C$1:$V$1,0)),""))</f>
        <v/>
      </c>
      <c r="T198" t="str">
        <f>IF(OR($E198="",$S198=""),"",IFERROR(MAX(0,ROUND((INDEX(Config!$D$15:$D$18,MATCH($S198,Config!$B$15:$B$18,0))-$E198)*1440,0)),""))</f>
        <v/>
      </c>
      <c r="U198" s="13" t="str">
        <f>IF(OR($N198="",$T198=""),"",IFERROR(MAX(0,1-($N198+$T198+MAX(0,N($Q198)))/ROUND((INDEX(Config!$D$15:$D$18,MATCH($S198,Config!$B$15:$B$18,0))-INDEX(Config!$C$15:$C$18,MATCH($S198,Config!$B$15:$B$18,0)))*1440,0)),""))</f>
        <v/>
      </c>
      <c r="V198" s="5"/>
    </row>
    <row r="199" spans="1:22" x14ac:dyDescent="0.25">
      <c r="A199" s="11"/>
      <c r="B199" s="16"/>
      <c r="C199" t="str">
        <f>IFERROR(INDEX(Ejecutivos!$B$2:$B$100,MATCH(B199,Ejecutivos!$A$2:$A$100,0)),"")</f>
        <v/>
      </c>
      <c r="D199" s="19"/>
      <c r="E199" s="21"/>
      <c r="F199" s="19"/>
      <c r="G199" s="21"/>
      <c r="H199" s="23"/>
      <c r="I199" s="23"/>
      <c r="J199" s="23"/>
      <c r="K199" s="24"/>
      <c r="L199" s="18">
        <v>0</v>
      </c>
      <c r="M199" t="str">
        <f t="shared" si="15"/>
        <v/>
      </c>
      <c r="N199" t="str">
        <f>IF(OR($D199="",$S199=""),"",IFERROR(MAX(0,ROUND(($D199-INDEX(Config!$C$15:$C$18,MATCH($S199,Config!$B$15:$B$18,0)))*24*60,0)),""))</f>
        <v/>
      </c>
      <c r="O199" t="str">
        <f t="shared" si="16"/>
        <v/>
      </c>
      <c r="P199" t="str">
        <f t="shared" si="17"/>
        <v/>
      </c>
      <c r="Q199" t="str">
        <f>IF(OR($P199="",$S199=""),"",IFERROR($P199-INDEX(Config!$E$15:$E$18,MATCH($S199,Config!$B$15:$B$18,0)),""))</f>
        <v/>
      </c>
      <c r="R199" t="str">
        <f t="shared" si="18"/>
        <v/>
      </c>
      <c r="S199" s="6" t="str">
        <f>IF(OR($A199="",$C199=""),"",IFERROR(INDEX(Turno!$C$3:$V$32,MATCH($C199,Turno!$B$3:$B$32,0),MATCH(DAY($A199),Turno!$C$1:$V$1,0)),""))</f>
        <v/>
      </c>
      <c r="T199" t="str">
        <f>IF(OR($E199="",$S199=""),"",IFERROR(MAX(0,ROUND((INDEX(Config!$D$15:$D$18,MATCH($S199,Config!$B$15:$B$18,0))-$E199)*1440,0)),""))</f>
        <v/>
      </c>
      <c r="U199" s="13" t="str">
        <f>IF(OR($N199="",$T199=""),"",IFERROR(MAX(0,1-($N199+$T199+MAX(0,N($Q199)))/ROUND((INDEX(Config!$D$15:$D$18,MATCH($S199,Config!$B$15:$B$18,0))-INDEX(Config!$C$15:$C$18,MATCH($S199,Config!$B$15:$B$18,0)))*1440,0)),""))</f>
        <v/>
      </c>
      <c r="V199" s="5"/>
    </row>
    <row r="200" spans="1:22" x14ac:dyDescent="0.25">
      <c r="A200" s="11"/>
      <c r="B200" s="16"/>
      <c r="C200" t="str">
        <f>IFERROR(INDEX(Ejecutivos!$B$2:$B$100,MATCH(B200,Ejecutivos!$A$2:$A$100,0)),"")</f>
        <v/>
      </c>
      <c r="D200" s="19"/>
      <c r="E200" s="21"/>
      <c r="F200" s="19"/>
      <c r="G200" s="21"/>
      <c r="H200" s="23"/>
      <c r="I200" s="23"/>
      <c r="J200" s="23"/>
      <c r="K200" s="24"/>
      <c r="L200" s="18">
        <v>0</v>
      </c>
      <c r="M200" t="str">
        <f t="shared" si="15"/>
        <v/>
      </c>
      <c r="N200" t="str">
        <f>IF(OR($D200="",$S200=""),"",IFERROR(MAX(0,ROUND(($D200-INDEX(Config!$C$15:$C$18,MATCH($S200,Config!$B$15:$B$18,0)))*24*60,0)),""))</f>
        <v/>
      </c>
      <c r="O200" t="str">
        <f t="shared" si="16"/>
        <v/>
      </c>
      <c r="P200" t="str">
        <f t="shared" si="17"/>
        <v/>
      </c>
      <c r="Q200" t="str">
        <f>IF(OR($P200="",$S200=""),"",IFERROR($P200-INDEX(Config!$E$15:$E$18,MATCH($S200,Config!$B$15:$B$18,0)),""))</f>
        <v/>
      </c>
      <c r="R200" t="str">
        <f t="shared" si="18"/>
        <v/>
      </c>
      <c r="S200" s="6" t="str">
        <f>IF(OR($A200="",$C200=""),"",IFERROR(INDEX(Turno!$C$3:$V$32,MATCH($C200,Turno!$B$3:$B$32,0),MATCH(DAY($A200),Turno!$C$1:$V$1,0)),""))</f>
        <v/>
      </c>
      <c r="T200" t="str">
        <f>IF(OR($E200="",$S200=""),"",IFERROR(MAX(0,ROUND((INDEX(Config!$D$15:$D$18,MATCH($S200,Config!$B$15:$B$18,0))-$E200)*1440,0)),""))</f>
        <v/>
      </c>
      <c r="U200" s="13" t="str">
        <f>IF(OR($N200="",$T200=""),"",IFERROR(MAX(0,1-($N200+$T200+MAX(0,N($Q200)))/ROUND((INDEX(Config!$D$15:$D$18,MATCH($S200,Config!$B$15:$B$18,0))-INDEX(Config!$C$15:$C$18,MATCH($S200,Config!$B$15:$B$18,0)))*1440,0)),""))</f>
        <v/>
      </c>
      <c r="V200" s="5"/>
    </row>
    <row r="201" spans="1:22" x14ac:dyDescent="0.25">
      <c r="A201" s="11"/>
      <c r="B201" s="16"/>
      <c r="C201" t="str">
        <f>IFERROR(INDEX(Ejecutivos!$B$2:$B$100,MATCH(B201,Ejecutivos!$A$2:$A$100,0)),"")</f>
        <v/>
      </c>
      <c r="D201" s="19"/>
      <c r="E201" s="21"/>
      <c r="F201" s="19"/>
      <c r="G201" s="21"/>
      <c r="H201" s="23"/>
      <c r="I201" s="23"/>
      <c r="J201" s="23"/>
      <c r="K201" s="24"/>
      <c r="L201" s="18">
        <v>0</v>
      </c>
      <c r="M201" t="str">
        <f t="shared" si="15"/>
        <v/>
      </c>
      <c r="N201" t="str">
        <f>IF(OR($D201="",$S201=""),"",IFERROR(MAX(0,ROUND(($D201-INDEX(Config!$C$15:$C$18,MATCH($S201,Config!$B$15:$B$18,0)))*24*60,0)),""))</f>
        <v/>
      </c>
      <c r="O201" t="str">
        <f t="shared" si="16"/>
        <v/>
      </c>
      <c r="P201" t="str">
        <f t="shared" si="17"/>
        <v/>
      </c>
      <c r="Q201" t="str">
        <f>IF(OR($P201="",$S201=""),"",IFERROR($P201-INDEX(Config!$E$15:$E$18,MATCH($S201,Config!$B$15:$B$18,0)),""))</f>
        <v/>
      </c>
      <c r="R201" t="str">
        <f t="shared" si="18"/>
        <v/>
      </c>
      <c r="S201" s="6" t="str">
        <f>IF(OR($A201="",$C201=""),"",IFERROR(INDEX(Turno!$C$3:$V$32,MATCH($C201,Turno!$B$3:$B$32,0),MATCH(DAY($A201),Turno!$C$1:$V$1,0)),""))</f>
        <v/>
      </c>
      <c r="T201" t="str">
        <f>IF(OR($E201="",$S201=""),"",IFERROR(MAX(0,ROUND((INDEX(Config!$D$15:$D$18,MATCH($S201,Config!$B$15:$B$18,0))-$E201)*1440,0)),""))</f>
        <v/>
      </c>
      <c r="U201" s="13" t="str">
        <f>IF(OR($N201="",$T201=""),"",IFERROR(MAX(0,1-($N201+$T201+MAX(0,N($Q201)))/ROUND((INDEX(Config!$D$15:$D$18,MATCH($S201,Config!$B$15:$B$18,0))-INDEX(Config!$C$15:$C$18,MATCH($S201,Config!$B$15:$B$18,0)))*1440,0)),""))</f>
        <v/>
      </c>
      <c r="V201" s="5"/>
    </row>
    <row r="202" spans="1:22" x14ac:dyDescent="0.25">
      <c r="A202" s="11"/>
      <c r="B202" s="16"/>
      <c r="C202" t="str">
        <f>IFERROR(INDEX(Ejecutivos!$B$2:$B$100,MATCH(B202,Ejecutivos!$A$2:$A$100,0)),"")</f>
        <v/>
      </c>
      <c r="D202" s="19"/>
      <c r="E202" s="21"/>
      <c r="F202" s="19"/>
      <c r="G202" s="21"/>
      <c r="H202" s="23"/>
      <c r="I202" s="23"/>
      <c r="J202" s="23"/>
      <c r="K202" s="24"/>
      <c r="L202" s="18">
        <v>0</v>
      </c>
      <c r="M202" t="str">
        <f t="shared" si="15"/>
        <v/>
      </c>
      <c r="N202" t="str">
        <f>IF(OR($D202="",$S202=""),"",IFERROR(MAX(0,ROUND(($D202-INDEX(Config!$C$15:$C$18,MATCH($S202,Config!$B$15:$B$18,0)))*24*60,0)),""))</f>
        <v/>
      </c>
      <c r="O202" t="str">
        <f t="shared" si="16"/>
        <v/>
      </c>
      <c r="P202" t="str">
        <f t="shared" si="17"/>
        <v/>
      </c>
      <c r="Q202" t="str">
        <f>IF(OR($P202="",$S202=""),"",IFERROR($P202-INDEX(Config!$E$15:$E$18,MATCH($S202,Config!$B$15:$B$18,0)),""))</f>
        <v/>
      </c>
      <c r="R202" t="str">
        <f t="shared" si="18"/>
        <v/>
      </c>
      <c r="S202" s="6" t="str">
        <f>IF(OR($A202="",$C202=""),"",IFERROR(INDEX(Turno!$C$3:$V$32,MATCH($C202,Turno!$B$3:$B$32,0),MATCH(DAY($A202),Turno!$C$1:$V$1,0)),""))</f>
        <v/>
      </c>
      <c r="T202" t="str">
        <f>IF(OR($E202="",$S202=""),"",IFERROR(MAX(0,ROUND((INDEX(Config!$D$15:$D$18,MATCH($S202,Config!$B$15:$B$18,0))-$E202)*1440,0)),""))</f>
        <v/>
      </c>
      <c r="U202" s="13" t="str">
        <f>IF(OR($N202="",$T202=""),"",IFERROR(MAX(0,1-($N202+$T202+MAX(0,N($Q202)))/ROUND((INDEX(Config!$D$15:$D$18,MATCH($S202,Config!$B$15:$B$18,0))-INDEX(Config!$C$15:$C$18,MATCH($S202,Config!$B$15:$B$18,0)))*1440,0)),""))</f>
        <v/>
      </c>
      <c r="V202" s="5"/>
    </row>
    <row r="203" spans="1:22" x14ac:dyDescent="0.25">
      <c r="A203" s="11"/>
      <c r="B203" s="16"/>
      <c r="C203" t="str">
        <f>IFERROR(INDEX(Ejecutivos!$B$2:$B$100,MATCH(B203,Ejecutivos!$A$2:$A$100,0)),"")</f>
        <v/>
      </c>
      <c r="D203" s="19"/>
      <c r="E203" s="21"/>
      <c r="F203" s="19"/>
      <c r="G203" s="21"/>
      <c r="H203" s="23"/>
      <c r="I203" s="23"/>
      <c r="J203" s="23"/>
      <c r="K203" s="24"/>
      <c r="L203" s="18">
        <v>0</v>
      </c>
      <c r="M203" t="str">
        <f t="shared" si="15"/>
        <v/>
      </c>
      <c r="N203" t="str">
        <f>IF(OR($D203="",$S203=""),"",IFERROR(MAX(0,ROUND(($D203-INDEX(Config!$C$15:$C$18,MATCH($S203,Config!$B$15:$B$18,0)))*24*60,0)),""))</f>
        <v/>
      </c>
      <c r="O203" t="str">
        <f t="shared" si="16"/>
        <v/>
      </c>
      <c r="P203" t="str">
        <f t="shared" si="17"/>
        <v/>
      </c>
      <c r="Q203" t="str">
        <f>IF(OR($P203="",$S203=""),"",IFERROR($P203-INDEX(Config!$E$15:$E$18,MATCH($S203,Config!$B$15:$B$18,0)),""))</f>
        <v/>
      </c>
      <c r="R203" t="str">
        <f t="shared" si="18"/>
        <v/>
      </c>
      <c r="S203" s="6" t="str">
        <f>IF(OR($A203="",$C203=""),"",IFERROR(INDEX(Turno!$C$3:$V$32,MATCH($C203,Turno!$B$3:$B$32,0),MATCH(DAY($A203),Turno!$C$1:$V$1,0)),""))</f>
        <v/>
      </c>
      <c r="T203" t="str">
        <f>IF(OR($E203="",$S203=""),"",IFERROR(MAX(0,ROUND((INDEX(Config!$D$15:$D$18,MATCH($S203,Config!$B$15:$B$18,0))-$E203)*1440,0)),""))</f>
        <v/>
      </c>
      <c r="U203" s="13" t="str">
        <f>IF(OR($N203="",$T203=""),"",IFERROR(MAX(0,1-($N203+$T203+MAX(0,N($Q203)))/ROUND((INDEX(Config!$D$15:$D$18,MATCH($S203,Config!$B$15:$B$18,0))-INDEX(Config!$C$15:$C$18,MATCH($S203,Config!$B$15:$B$18,0)))*1440,0)),""))</f>
        <v/>
      </c>
      <c r="V203" s="5"/>
    </row>
    <row r="204" spans="1:22" x14ac:dyDescent="0.25">
      <c r="A204" s="11"/>
      <c r="B204" s="16"/>
      <c r="C204" t="str">
        <f>IFERROR(INDEX(Ejecutivos!$B$2:$B$100,MATCH(B204,Ejecutivos!$A$2:$A$100,0)),"")</f>
        <v/>
      </c>
      <c r="D204" s="19"/>
      <c r="E204" s="21"/>
      <c r="F204" s="19"/>
      <c r="G204" s="21"/>
      <c r="H204" s="23"/>
      <c r="I204" s="23"/>
      <c r="J204" s="23"/>
      <c r="K204" s="24"/>
      <c r="L204" s="18">
        <v>0</v>
      </c>
      <c r="M204" t="str">
        <f t="shared" si="15"/>
        <v/>
      </c>
      <c r="N204" t="str">
        <f>IF(OR($D204="",$S204=""),"",IFERROR(MAX(0,ROUND(($D204-INDEX(Config!$C$15:$C$18,MATCH($S204,Config!$B$15:$B$18,0)))*24*60,0)),""))</f>
        <v/>
      </c>
      <c r="O204" t="str">
        <f t="shared" si="16"/>
        <v/>
      </c>
      <c r="P204" t="str">
        <f t="shared" si="17"/>
        <v/>
      </c>
      <c r="Q204" t="str">
        <f>IF(OR($P204="",$S204=""),"",IFERROR($P204-INDEX(Config!$E$15:$E$18,MATCH($S204,Config!$B$15:$B$18,0)),""))</f>
        <v/>
      </c>
      <c r="R204" t="str">
        <f t="shared" si="18"/>
        <v/>
      </c>
      <c r="S204" s="6" t="str">
        <f>IF(OR($A204="",$C204=""),"",IFERROR(INDEX(Turno!$C$3:$V$32,MATCH($C204,Turno!$B$3:$B$32,0),MATCH(DAY($A204),Turno!$C$1:$V$1,0)),""))</f>
        <v/>
      </c>
      <c r="T204" t="str">
        <f>IF(OR($E204="",$S204=""),"",IFERROR(MAX(0,ROUND((INDEX(Config!$D$15:$D$18,MATCH($S204,Config!$B$15:$B$18,0))-$E204)*1440,0)),""))</f>
        <v/>
      </c>
      <c r="U204" s="13" t="str">
        <f>IF(OR($N204="",$T204=""),"",IFERROR(MAX(0,1-($N204+$T204+MAX(0,N($Q204)))/ROUND((INDEX(Config!$D$15:$D$18,MATCH($S204,Config!$B$15:$B$18,0))-INDEX(Config!$C$15:$C$18,MATCH($S204,Config!$B$15:$B$18,0)))*1440,0)),""))</f>
        <v/>
      </c>
      <c r="V204" s="5"/>
    </row>
    <row r="205" spans="1:22" x14ac:dyDescent="0.25">
      <c r="A205" s="11"/>
      <c r="B205" s="16"/>
      <c r="C205" t="str">
        <f>IFERROR(INDEX(Ejecutivos!$B$2:$B$100,MATCH(B205,Ejecutivos!$A$2:$A$100,0)),"")</f>
        <v/>
      </c>
      <c r="D205" s="19"/>
      <c r="E205" s="21"/>
      <c r="F205" s="19"/>
      <c r="G205" s="21"/>
      <c r="H205" s="23"/>
      <c r="I205" s="24"/>
      <c r="J205" s="23"/>
      <c r="K205" s="24"/>
      <c r="L205" s="18">
        <v>0</v>
      </c>
      <c r="M205" t="str">
        <f t="shared" si="15"/>
        <v/>
      </c>
      <c r="N205" t="str">
        <f>IF(OR($D205="",$S205=""),"",IFERROR(MAX(0,ROUND(($D205-INDEX(Config!$C$15:$C$18,MATCH($S205,Config!$B$15:$B$18,0)))*24*60,0)),""))</f>
        <v/>
      </c>
      <c r="O205" t="str">
        <f t="shared" si="16"/>
        <v/>
      </c>
      <c r="P205" t="str">
        <f t="shared" si="17"/>
        <v/>
      </c>
      <c r="Q205" t="str">
        <f>IF(OR($P205="",$S205=""),"",IFERROR($P205-INDEX(Config!$E$15:$E$18,MATCH($S205,Config!$B$15:$B$18,0)),""))</f>
        <v/>
      </c>
      <c r="R205" t="str">
        <f t="shared" si="18"/>
        <v/>
      </c>
      <c r="S205" s="6" t="str">
        <f>IF(OR($A205="",$C205=""),"",IFERROR(INDEX(Turno!$C$3:$V$32,MATCH($C205,Turno!$B$3:$B$32,0),MATCH(DAY($A205),Turno!$C$1:$V$1,0)),""))</f>
        <v/>
      </c>
      <c r="T205" t="str">
        <f>IF(OR($E205="",$S205=""),"",IFERROR(MAX(0,ROUND((INDEX(Config!$D$15:$D$18,MATCH($S205,Config!$B$15:$B$18,0))-$E205)*1440,0)),""))</f>
        <v/>
      </c>
      <c r="U205" s="13" t="str">
        <f>IF(OR($N205="",$T205=""),"",IFERROR(MAX(0,1-($N205+$T205+MAX(0,N($Q205)))/ROUND((INDEX(Config!$D$15:$D$18,MATCH($S205,Config!$B$15:$B$18,0))-INDEX(Config!$C$15:$C$18,MATCH($S205,Config!$B$15:$B$18,0)))*1440,0)),""))</f>
        <v/>
      </c>
      <c r="V205" s="5"/>
    </row>
    <row r="206" spans="1:22" x14ac:dyDescent="0.25">
      <c r="A206" s="11"/>
      <c r="B206" s="16"/>
      <c r="C206" t="str">
        <f>IFERROR(INDEX(Ejecutivos!$B$2:$B$100,MATCH(B206,Ejecutivos!$A$2:$A$100,0)),"")</f>
        <v/>
      </c>
      <c r="D206" s="19"/>
      <c r="E206" s="21"/>
      <c r="F206" s="19"/>
      <c r="G206" s="21"/>
      <c r="H206" s="23"/>
      <c r="I206" s="24"/>
      <c r="J206" s="23"/>
      <c r="K206" s="24"/>
      <c r="L206" s="18">
        <v>0</v>
      </c>
      <c r="M206" t="str">
        <f t="shared" si="15"/>
        <v/>
      </c>
      <c r="N206" t="str">
        <f>IF(OR($D206="",$S206=""),"",IFERROR(MAX(0,ROUND(($D206-INDEX(Config!$C$15:$C$18,MATCH($S206,Config!$B$15:$B$18,0)))*24*60,0)),""))</f>
        <v/>
      </c>
      <c r="O206" t="str">
        <f t="shared" si="16"/>
        <v/>
      </c>
      <c r="P206" t="str">
        <f t="shared" si="17"/>
        <v/>
      </c>
      <c r="Q206" t="str">
        <f>IF(OR($P206="",$S206=""),"",IFERROR($P206-INDEX(Config!$E$15:$E$18,MATCH($S206,Config!$B$15:$B$18,0)),""))</f>
        <v/>
      </c>
      <c r="R206" t="str">
        <f t="shared" si="18"/>
        <v/>
      </c>
      <c r="S206" s="6" t="str">
        <f>IF(OR($A206="",$C206=""),"",IFERROR(INDEX(Turno!$C$3:$V$32,MATCH($C206,Turno!$B$3:$B$32,0),MATCH(DAY($A206),Turno!$C$1:$V$1,0)),""))</f>
        <v/>
      </c>
      <c r="T206" t="str">
        <f>IF(OR($E206="",$S206=""),"",IFERROR(MAX(0,ROUND((INDEX(Config!$D$15:$D$18,MATCH($S206,Config!$B$15:$B$18,0))-$E206)*1440,0)),""))</f>
        <v/>
      </c>
      <c r="U206" s="13" t="str">
        <f>IF(OR($N206="",$T206=""),"",IFERROR(MAX(0,1-($N206+$T206+MAX(0,N($Q206)))/ROUND((INDEX(Config!$D$15:$D$18,MATCH($S206,Config!$B$15:$B$18,0))-INDEX(Config!$C$15:$C$18,MATCH($S206,Config!$B$15:$B$18,0)))*1440,0)),""))</f>
        <v/>
      </c>
      <c r="V206" s="5"/>
    </row>
    <row r="207" spans="1:22" x14ac:dyDescent="0.25">
      <c r="A207" s="11"/>
      <c r="B207" s="16"/>
      <c r="C207" t="str">
        <f>IFERROR(INDEX(Ejecutivos!$B$2:$B$100,MATCH(B207,Ejecutivos!$A$2:$A$100,0)),"")</f>
        <v/>
      </c>
      <c r="D207" s="19"/>
      <c r="E207" s="21"/>
      <c r="F207" s="19"/>
      <c r="G207" s="21"/>
      <c r="H207" s="23"/>
      <c r="I207" s="24"/>
      <c r="J207" s="23"/>
      <c r="K207" s="24"/>
      <c r="L207" s="18">
        <v>0</v>
      </c>
      <c r="M207" t="str">
        <f t="shared" si="15"/>
        <v/>
      </c>
      <c r="N207" t="str">
        <f>IF(OR($D207="",$S207=""),"",IFERROR(MAX(0,ROUND(($D207-INDEX(Config!$C$15:$C$18,MATCH($S207,Config!$B$15:$B$18,0)))*24*60,0)),""))</f>
        <v/>
      </c>
      <c r="O207" t="str">
        <f t="shared" si="16"/>
        <v/>
      </c>
      <c r="P207" t="str">
        <f t="shared" si="17"/>
        <v/>
      </c>
      <c r="Q207" t="str">
        <f>IF(OR($P207="",$S207=""),"",IFERROR($P207-INDEX(Config!$E$15:$E$18,MATCH($S207,Config!$B$15:$B$18,0)),""))</f>
        <v/>
      </c>
      <c r="R207" t="str">
        <f t="shared" si="18"/>
        <v/>
      </c>
      <c r="S207" s="6" t="str">
        <f>IF(OR($A207="",$C207=""),"",IFERROR(INDEX(Turno!$C$3:$V$32,MATCH($C207,Turno!$B$3:$B$32,0),MATCH(DAY($A207),Turno!$C$1:$V$1,0)),""))</f>
        <v/>
      </c>
      <c r="T207" t="str">
        <f>IF(OR($E207="",$S207=""),"",IFERROR(MAX(0,ROUND((INDEX(Config!$D$15:$D$18,MATCH($S207,Config!$B$15:$B$18,0))-$E207)*1440,0)),""))</f>
        <v/>
      </c>
      <c r="U207" s="13" t="str">
        <f>IF(OR($N207="",$T207=""),"",IFERROR(MAX(0,1-($N207+$T207+MAX(0,N($Q207)))/ROUND((INDEX(Config!$D$15:$D$18,MATCH($S207,Config!$B$15:$B$18,0))-INDEX(Config!$C$15:$C$18,MATCH($S207,Config!$B$15:$B$18,0)))*1440,0)),""))</f>
        <v/>
      </c>
      <c r="V207" s="5"/>
    </row>
    <row r="208" spans="1:22" x14ac:dyDescent="0.25">
      <c r="A208" s="11"/>
      <c r="B208" s="16"/>
      <c r="C208" t="str">
        <f>IFERROR(INDEX(Ejecutivos!$B$2:$B$100,MATCH(B208,Ejecutivos!$A$2:$A$100,0)),"")</f>
        <v/>
      </c>
      <c r="D208" s="19"/>
      <c r="E208" s="21"/>
      <c r="F208" s="19"/>
      <c r="G208" s="21"/>
      <c r="H208" s="23"/>
      <c r="I208" s="24"/>
      <c r="J208" s="23"/>
      <c r="K208" s="24"/>
      <c r="L208" s="18">
        <v>0</v>
      </c>
      <c r="M208" t="str">
        <f t="shared" si="15"/>
        <v/>
      </c>
      <c r="N208" t="str">
        <f>IF(OR($D208="",$S208=""),"",IFERROR(MAX(0,ROUND(($D208-INDEX(Config!$C$15:$C$18,MATCH($S208,Config!$B$15:$B$18,0)))*24*60,0)),""))</f>
        <v/>
      </c>
      <c r="O208" t="str">
        <f t="shared" si="16"/>
        <v/>
      </c>
      <c r="P208" t="str">
        <f t="shared" si="17"/>
        <v/>
      </c>
      <c r="Q208" t="str">
        <f>IF(OR($P208="",$S208=""),"",IFERROR($P208-INDEX(Config!$E$15:$E$18,MATCH($S208,Config!$B$15:$B$18,0)),""))</f>
        <v/>
      </c>
      <c r="R208" t="str">
        <f t="shared" si="18"/>
        <v/>
      </c>
      <c r="S208" s="6" t="str">
        <f>IF(OR($A208="",$C208=""),"",IFERROR(INDEX(Turno!$C$3:$V$32,MATCH($C208,Turno!$B$3:$B$32,0),MATCH(DAY($A208),Turno!$C$1:$V$1,0)),""))</f>
        <v/>
      </c>
      <c r="T208" t="str">
        <f>IF(OR($E208="",$S208=""),"",IFERROR(MAX(0,ROUND((INDEX(Config!$D$15:$D$18,MATCH($S208,Config!$B$15:$B$18,0))-$E208)*1440,0)),""))</f>
        <v/>
      </c>
      <c r="U208" s="13" t="str">
        <f>IF(OR($N208="",$T208=""),"",IFERROR(MAX(0,1-($N208+$T208+MAX(0,N($Q208)))/ROUND((INDEX(Config!$D$15:$D$18,MATCH($S208,Config!$B$15:$B$18,0))-INDEX(Config!$C$15:$C$18,MATCH($S208,Config!$B$15:$B$18,0)))*1440,0)),""))</f>
        <v/>
      </c>
      <c r="V208" s="5"/>
    </row>
    <row r="209" spans="1:22" x14ac:dyDescent="0.25">
      <c r="A209" s="11"/>
      <c r="B209" s="16"/>
      <c r="C209" t="str">
        <f>IFERROR(INDEX(Ejecutivos!$B$2:$B$100,MATCH(B209,Ejecutivos!$A$2:$A$100,0)),"")</f>
        <v/>
      </c>
      <c r="D209" s="19"/>
      <c r="E209" s="21"/>
      <c r="F209" s="19"/>
      <c r="G209" s="21"/>
      <c r="H209" s="23"/>
      <c r="I209" s="24"/>
      <c r="J209" s="23"/>
      <c r="K209" s="24"/>
      <c r="L209" s="18">
        <v>0</v>
      </c>
      <c r="M209" t="str">
        <f t="shared" si="15"/>
        <v/>
      </c>
      <c r="N209" t="str">
        <f>IF(OR($D209="",$S209=""),"",IFERROR(MAX(0,ROUND(($D209-INDEX(Config!$C$15:$C$18,MATCH($S209,Config!$B$15:$B$18,0)))*24*60,0)),""))</f>
        <v/>
      </c>
      <c r="O209" t="str">
        <f t="shared" si="16"/>
        <v/>
      </c>
      <c r="P209" t="str">
        <f t="shared" si="17"/>
        <v/>
      </c>
      <c r="Q209" t="str">
        <f>IF(OR($P209="",$S209=""),"",IFERROR($P209-INDEX(Config!$E$15:$E$18,MATCH($S209,Config!$B$15:$B$18,0)),""))</f>
        <v/>
      </c>
      <c r="R209" t="str">
        <f t="shared" si="18"/>
        <v/>
      </c>
      <c r="S209" s="6" t="str">
        <f>IF(OR($A209="",$C209=""),"",IFERROR(INDEX(Turno!$C$3:$V$32,MATCH($C209,Turno!$B$3:$B$32,0),MATCH(DAY($A209),Turno!$C$1:$V$1,0)),""))</f>
        <v/>
      </c>
      <c r="T209" t="str">
        <f>IF(OR($E209="",$S209=""),"",IFERROR(MAX(0,ROUND((INDEX(Config!$D$15:$D$18,MATCH($S209,Config!$B$15:$B$18,0))-$E209)*1440,0)),""))</f>
        <v/>
      </c>
      <c r="U209" s="13" t="str">
        <f>IF(OR($N209="",$T209=""),"",IFERROR(MAX(0,1-($N209+$T209+MAX(0,N($Q209)))/ROUND((INDEX(Config!$D$15:$D$18,MATCH($S209,Config!$B$15:$B$18,0))-INDEX(Config!$C$15:$C$18,MATCH($S209,Config!$B$15:$B$18,0)))*1440,0)),""))</f>
        <v/>
      </c>
      <c r="V209" s="5"/>
    </row>
    <row r="210" spans="1:22" x14ac:dyDescent="0.25">
      <c r="A210" s="11"/>
      <c r="B210" s="16"/>
      <c r="C210" t="str">
        <f>IFERROR(INDEX(Ejecutivos!$B$2:$B$100,MATCH(B210,Ejecutivos!$A$2:$A$100,0)),"")</f>
        <v/>
      </c>
      <c r="D210" s="19"/>
      <c r="E210" s="21"/>
      <c r="F210" s="19"/>
      <c r="G210" s="21"/>
      <c r="H210" s="23"/>
      <c r="I210" s="24"/>
      <c r="J210" s="23"/>
      <c r="K210" s="24"/>
      <c r="L210" s="18">
        <v>0</v>
      </c>
      <c r="M210" t="str">
        <f t="shared" si="15"/>
        <v/>
      </c>
      <c r="N210" t="str">
        <f>IF(OR($D210="",$S210=""),"",IFERROR(MAX(0,ROUND(($D210-INDEX(Config!$C$15:$C$18,MATCH($S210,Config!$B$15:$B$18,0)))*24*60,0)),""))</f>
        <v/>
      </c>
      <c r="O210" t="str">
        <f t="shared" si="16"/>
        <v/>
      </c>
      <c r="P210" t="str">
        <f t="shared" si="17"/>
        <v/>
      </c>
      <c r="Q210" t="str">
        <f>IF(OR($P210="",$S210=""),"",IFERROR($P210-INDEX(Config!$E$15:$E$18,MATCH($S210,Config!$B$15:$B$18,0)),""))</f>
        <v/>
      </c>
      <c r="R210" t="str">
        <f t="shared" si="18"/>
        <v/>
      </c>
      <c r="S210" s="6" t="str">
        <f>IF(OR($A210="",$C210=""),"",IFERROR(INDEX(Turno!$C$3:$V$32,MATCH($C210,Turno!$B$3:$B$32,0),MATCH(DAY($A210),Turno!$C$1:$V$1,0)),""))</f>
        <v/>
      </c>
      <c r="T210" t="str">
        <f>IF(OR($E210="",$S210=""),"",IFERROR(MAX(0,ROUND((INDEX(Config!$D$15:$D$18,MATCH($S210,Config!$B$15:$B$18,0))-$E210)*1440,0)),""))</f>
        <v/>
      </c>
      <c r="U210" s="13" t="str">
        <f>IF(OR($N210="",$T210=""),"",IFERROR(MAX(0,1-($N210+$T210+MAX(0,N($Q210)))/ROUND((INDEX(Config!$D$15:$D$18,MATCH($S210,Config!$B$15:$B$18,0))-INDEX(Config!$C$15:$C$18,MATCH($S210,Config!$B$15:$B$18,0)))*1440,0)),""))</f>
        <v/>
      </c>
      <c r="V210" s="5"/>
    </row>
    <row r="211" spans="1:22" x14ac:dyDescent="0.25">
      <c r="A211" s="11"/>
      <c r="B211" s="16"/>
      <c r="C211" t="str">
        <f>IFERROR(INDEX(Ejecutivos!$B$2:$B$100,MATCH(B211,Ejecutivos!$A$2:$A$100,0)),"")</f>
        <v/>
      </c>
      <c r="D211" s="25"/>
      <c r="E211" s="25"/>
      <c r="F211" s="25"/>
      <c r="G211" s="26"/>
      <c r="H211" s="24"/>
      <c r="I211" s="24"/>
      <c r="J211" s="24"/>
      <c r="K211" s="27"/>
      <c r="L211" s="18">
        <v>0</v>
      </c>
      <c r="M211" t="str">
        <f t="shared" si="15"/>
        <v/>
      </c>
      <c r="N211" t="str">
        <f>IF(OR($D211="",$S211=""),"",IFERROR(MAX(0,ROUND(($D211-INDEX(Config!$C$15:$C$18,MATCH($S211,Config!$B$15:$B$18,0)))*24*60,0)),""))</f>
        <v/>
      </c>
      <c r="O211" t="str">
        <f t="shared" si="16"/>
        <v/>
      </c>
      <c r="P211" t="str">
        <f t="shared" si="17"/>
        <v/>
      </c>
      <c r="Q211" t="str">
        <f>IF(OR($P211="",$S211=""),"",IFERROR($P211-INDEX(Config!$E$15:$E$18,MATCH($S211,Config!$B$15:$B$18,0)),""))</f>
        <v/>
      </c>
      <c r="R211" t="str">
        <f t="shared" si="18"/>
        <v/>
      </c>
      <c r="S211" s="6" t="str">
        <f>IF(OR($A211="",$C211=""),"",IFERROR(INDEX(Turno!$C$3:$V$32,MATCH($C211,Turno!$B$3:$B$32,0),MATCH(DAY($A211),Turno!$C$1:$V$1,0)),""))</f>
        <v/>
      </c>
      <c r="T211" t="str">
        <f>IF(OR($E211="",$S211=""),"",IFERROR(MAX(0,ROUND((INDEX(Config!$D$15:$D$18,MATCH($S211,Config!$B$15:$B$18,0))-$E211)*1440,0)),""))</f>
        <v/>
      </c>
      <c r="U211" s="13" t="str">
        <f>IF(OR($N211="",$T211=""),"",IFERROR(MAX(0,1-($N211+$T211+MAX(0,N($Q211)))/ROUND((INDEX(Config!$D$15:$D$18,MATCH($S211,Config!$B$15:$B$18,0))-INDEX(Config!$C$15:$C$18,MATCH($S211,Config!$B$15:$B$18,0)))*1440,0)),""))</f>
        <v/>
      </c>
      <c r="V211" s="5"/>
    </row>
    <row r="212" spans="1:22" x14ac:dyDescent="0.25">
      <c r="A212" s="11"/>
      <c r="B212" s="16"/>
      <c r="C212" t="str">
        <f>IFERROR(INDEX(Ejecutivos!$B$2:$B$100,MATCH(B212,Ejecutivos!$A$2:$A$100,0)),"")</f>
        <v/>
      </c>
      <c r="D212" s="28"/>
      <c r="E212" s="28"/>
      <c r="F212" s="28"/>
      <c r="G212" s="29"/>
      <c r="H212" s="30"/>
      <c r="I212" s="30"/>
      <c r="J212" s="30"/>
      <c r="K212" s="31"/>
      <c r="L212" s="18">
        <v>0</v>
      </c>
      <c r="M212" t="str">
        <f t="shared" si="15"/>
        <v/>
      </c>
      <c r="N212" t="str">
        <f>IF(OR($D212="",$S212=""),"",IFERROR(MAX(0,ROUND(($D212-INDEX(Config!$C$15:$C$18,MATCH($S212,Config!$B$15:$B$18,0)))*24*60,0)),""))</f>
        <v/>
      </c>
      <c r="O212" t="str">
        <f t="shared" si="16"/>
        <v/>
      </c>
      <c r="P212" t="str">
        <f t="shared" si="17"/>
        <v/>
      </c>
      <c r="Q212" t="str">
        <f>IF(OR($P212="",$S212=""),"",IFERROR($P212-INDEX(Config!$E$15:$E$18,MATCH($S212,Config!$B$15:$B$18,0)),""))</f>
        <v/>
      </c>
      <c r="R212" t="str">
        <f t="shared" si="18"/>
        <v/>
      </c>
      <c r="S212" s="6" t="str">
        <f>IF(OR($A212="",$C212=""),"",IFERROR(INDEX(Turno!$C$3:$V$32,MATCH($C212,Turno!$B$3:$B$32,0),MATCH(DAY($A212),Turno!$C$1:$V$1,0)),""))</f>
        <v/>
      </c>
      <c r="T212" t="str">
        <f>IF(OR($E212="",$S212=""),"",IFERROR(MAX(0,ROUND((INDEX(Config!$D$15:$D$18,MATCH($S212,Config!$B$15:$B$18,0))-$E212)*1440,0)),""))</f>
        <v/>
      </c>
      <c r="U212" s="13" t="str">
        <f>IF(OR($N212="",$T212=""),"",IFERROR(MAX(0,1-($N212+$T212+MAX(0,N($Q212)))/ROUND((INDEX(Config!$D$15:$D$18,MATCH($S212,Config!$B$15:$B$18,0))-INDEX(Config!$C$15:$C$18,MATCH($S212,Config!$B$15:$B$18,0)))*1440,0)),""))</f>
        <v/>
      </c>
      <c r="V212" s="5"/>
    </row>
    <row r="213" spans="1:22" x14ac:dyDescent="0.25">
      <c r="A213" s="11"/>
      <c r="B213" s="16"/>
      <c r="C213" t="str">
        <f>IFERROR(INDEX(Ejecutivos!$B$2:$B$100,MATCH(B213,Ejecutivos!$A$2:$A$100,0)),"")</f>
        <v/>
      </c>
      <c r="D213" s="28"/>
      <c r="E213" s="28"/>
      <c r="F213" s="28"/>
      <c r="G213" s="29"/>
      <c r="H213" s="30"/>
      <c r="I213" s="30"/>
      <c r="J213" s="30"/>
      <c r="K213" s="31"/>
      <c r="L213" s="18">
        <v>0</v>
      </c>
      <c r="M213" t="str">
        <f t="shared" si="15"/>
        <v/>
      </c>
      <c r="N213" t="str">
        <f>IF(OR($D213="",$S213=""),"",IFERROR(MAX(0,ROUND(($D213-INDEX(Config!$C$15:$C$18,MATCH($S213,Config!$B$15:$B$18,0)))*24*60,0)),""))</f>
        <v/>
      </c>
      <c r="O213" t="str">
        <f t="shared" si="16"/>
        <v/>
      </c>
      <c r="P213" t="str">
        <f t="shared" si="17"/>
        <v/>
      </c>
      <c r="Q213" t="str">
        <f>IF(OR($P213="",$S213=""),"",IFERROR($P213-INDEX(Config!$E$15:$E$18,MATCH($S213,Config!$B$15:$B$18,0)),""))</f>
        <v/>
      </c>
      <c r="R213" t="str">
        <f t="shared" si="18"/>
        <v/>
      </c>
      <c r="S213" s="6" t="str">
        <f>IF(OR($A213="",$C213=""),"",IFERROR(INDEX(Turno!$C$3:$V$32,MATCH($C213,Turno!$B$3:$B$32,0),MATCH(DAY($A213),Turno!$C$1:$V$1,0)),""))</f>
        <v/>
      </c>
      <c r="T213" t="str">
        <f>IF(OR($E213="",$S213=""),"",IFERROR(MAX(0,ROUND((INDEX(Config!$D$15:$D$18,MATCH($S213,Config!$B$15:$B$18,0))-$E213)*1440,0)),""))</f>
        <v/>
      </c>
      <c r="U213" s="13" t="str">
        <f>IF(OR($N213="",$T213=""),"",IFERROR(MAX(0,1-($N213+$T213+MAX(0,N($Q213)))/ROUND((INDEX(Config!$D$15:$D$18,MATCH($S213,Config!$B$15:$B$18,0))-INDEX(Config!$C$15:$C$18,MATCH($S213,Config!$B$15:$B$18,0)))*1440,0)),""))</f>
        <v/>
      </c>
      <c r="V213" s="5"/>
    </row>
    <row r="214" spans="1:22" x14ac:dyDescent="0.25">
      <c r="A214" s="11"/>
      <c r="B214" s="16"/>
      <c r="C214" t="str">
        <f>IFERROR(INDEX(Ejecutivos!$B$2:$B$100,MATCH(B214,Ejecutivos!$A$2:$A$100,0)),"")</f>
        <v/>
      </c>
      <c r="D214" s="28"/>
      <c r="E214" s="28"/>
      <c r="F214" s="28"/>
      <c r="G214" s="29"/>
      <c r="H214" s="30"/>
      <c r="I214" s="30"/>
      <c r="J214" s="30"/>
      <c r="K214" s="31"/>
      <c r="L214" s="18">
        <v>0</v>
      </c>
      <c r="M214" t="str">
        <f t="shared" si="15"/>
        <v/>
      </c>
      <c r="N214" t="str">
        <f>IF(OR($D214="",$S214=""),"",IFERROR(MAX(0,ROUND(($D214-INDEX(Config!$C$15:$C$18,MATCH($S214,Config!$B$15:$B$18,0)))*24*60,0)),""))</f>
        <v/>
      </c>
      <c r="O214" t="str">
        <f t="shared" si="16"/>
        <v/>
      </c>
      <c r="P214" t="str">
        <f t="shared" si="17"/>
        <v/>
      </c>
      <c r="Q214" t="str">
        <f>IF(OR($P214="",$S214=""),"",IFERROR($P214-INDEX(Config!$E$15:$E$18,MATCH($S214,Config!$B$15:$B$18,0)),""))</f>
        <v/>
      </c>
      <c r="R214" t="str">
        <f t="shared" si="18"/>
        <v/>
      </c>
      <c r="S214" s="6" t="str">
        <f>IF(OR($A214="",$C214=""),"",IFERROR(INDEX(Turno!$C$3:$V$32,MATCH($C214,Turno!$B$3:$B$32,0),MATCH(DAY($A214),Turno!$C$1:$V$1,0)),""))</f>
        <v/>
      </c>
      <c r="T214" t="str">
        <f>IF(OR($E214="",$S214=""),"",IFERROR(MAX(0,ROUND((INDEX(Config!$D$15:$D$18,MATCH($S214,Config!$B$15:$B$18,0))-$E214)*1440,0)),""))</f>
        <v/>
      </c>
      <c r="U214" s="13" t="str">
        <f>IF(OR($N214="",$T214=""),"",IFERROR(MAX(0,1-($N214+$T214+MAX(0,N($Q214)))/ROUND((INDEX(Config!$D$15:$D$18,MATCH($S214,Config!$B$15:$B$18,0))-INDEX(Config!$C$15:$C$18,MATCH($S214,Config!$B$15:$B$18,0)))*1440,0)),""))</f>
        <v/>
      </c>
      <c r="V214" s="5"/>
    </row>
    <row r="215" spans="1:22" x14ac:dyDescent="0.25">
      <c r="A215" s="11"/>
      <c r="B215" s="16"/>
      <c r="C215" t="str">
        <f>IFERROR(INDEX(Ejecutivos!$B$2:$B$100,MATCH(B215,Ejecutivos!$A$2:$A$100,0)),"")</f>
        <v/>
      </c>
      <c r="D215" s="28"/>
      <c r="E215" s="28"/>
      <c r="F215" s="28"/>
      <c r="G215" s="29"/>
      <c r="H215" s="30"/>
      <c r="I215" s="30"/>
      <c r="J215" s="30"/>
      <c r="K215" s="31"/>
      <c r="L215" s="18">
        <v>0</v>
      </c>
      <c r="M215" t="str">
        <f t="shared" si="15"/>
        <v/>
      </c>
      <c r="N215" t="str">
        <f>IF(OR($D215="",$S215=""),"",IFERROR(MAX(0,ROUND(($D215-INDEX(Config!$C$15:$C$18,MATCH($S215,Config!$B$15:$B$18,0)))*24*60,0)),""))</f>
        <v/>
      </c>
      <c r="O215" t="str">
        <f t="shared" si="16"/>
        <v/>
      </c>
      <c r="P215" t="str">
        <f t="shared" si="17"/>
        <v/>
      </c>
      <c r="Q215" t="str">
        <f>IF(OR($P215="",$S215=""),"",IFERROR($P215-INDEX(Config!$E$15:$E$18,MATCH($S215,Config!$B$15:$B$18,0)),""))</f>
        <v/>
      </c>
      <c r="R215" t="str">
        <f t="shared" si="18"/>
        <v/>
      </c>
      <c r="S215" s="6" t="str">
        <f>IF(OR($A215="",$C215=""),"",IFERROR(INDEX(Turno!$C$3:$V$32,MATCH($C215,Turno!$B$3:$B$32,0),MATCH(DAY($A215),Turno!$C$1:$V$1,0)),""))</f>
        <v/>
      </c>
      <c r="T215" t="str">
        <f>IF(OR($E215="",$S215=""),"",IFERROR(MAX(0,ROUND((INDEX(Config!$D$15:$D$18,MATCH($S215,Config!$B$15:$B$18,0))-$E215)*1440,0)),""))</f>
        <v/>
      </c>
      <c r="U215" s="13" t="str">
        <f>IF(OR($N215="",$T215=""),"",IFERROR(MAX(0,1-($N215+$T215+MAX(0,N($Q215)))/ROUND((INDEX(Config!$D$15:$D$18,MATCH($S215,Config!$B$15:$B$18,0))-INDEX(Config!$C$15:$C$18,MATCH($S215,Config!$B$15:$B$18,0)))*1440,0)),""))</f>
        <v/>
      </c>
      <c r="V215" s="5"/>
    </row>
    <row r="216" spans="1:22" x14ac:dyDescent="0.25">
      <c r="A216" s="11"/>
      <c r="B216" s="16"/>
      <c r="C216" t="str">
        <f>IFERROR(INDEX(Ejecutivos!$B$2:$B$100,MATCH(B216,Ejecutivos!$A$2:$A$100,0)),"")</f>
        <v/>
      </c>
      <c r="D216" s="28"/>
      <c r="E216" s="28"/>
      <c r="F216" s="28"/>
      <c r="G216" s="29"/>
      <c r="H216" s="30"/>
      <c r="I216" s="30"/>
      <c r="J216" s="30"/>
      <c r="K216" s="31"/>
      <c r="L216" s="18">
        <v>0</v>
      </c>
      <c r="M216" t="str">
        <f t="shared" si="15"/>
        <v/>
      </c>
      <c r="N216" t="str">
        <f>IF(OR($D216="",$S216=""),"",IFERROR(MAX(0,ROUND(($D216-INDEX(Config!$C$15:$C$18,MATCH($S216,Config!$B$15:$B$18,0)))*24*60,0)),""))</f>
        <v/>
      </c>
      <c r="O216" t="str">
        <f t="shared" si="16"/>
        <v/>
      </c>
      <c r="P216" t="str">
        <f t="shared" si="17"/>
        <v/>
      </c>
      <c r="Q216" t="str">
        <f>IF(OR($P216="",$S216=""),"",IFERROR($P216-INDEX(Config!$E$15:$E$18,MATCH($S216,Config!$B$15:$B$18,0)),""))</f>
        <v/>
      </c>
      <c r="R216" t="str">
        <f t="shared" si="18"/>
        <v/>
      </c>
      <c r="S216" s="6" t="str">
        <f>IF(OR($A216="",$C216=""),"",IFERROR(INDEX(Turno!$C$3:$V$32,MATCH($C216,Turno!$B$3:$B$32,0),MATCH(DAY($A216),Turno!$C$1:$V$1,0)),""))</f>
        <v/>
      </c>
      <c r="T216" t="str">
        <f>IF(OR($E216="",$S216=""),"",IFERROR(MAX(0,ROUND((INDEX(Config!$D$15:$D$18,MATCH($S216,Config!$B$15:$B$18,0))-$E216)*1440,0)),""))</f>
        <v/>
      </c>
      <c r="U216" s="13" t="str">
        <f>IF(OR($N216="",$T216=""),"",IFERROR(MAX(0,1-($N216+$T216+MAX(0,N($Q216)))/ROUND((INDEX(Config!$D$15:$D$18,MATCH($S216,Config!$B$15:$B$18,0))-INDEX(Config!$C$15:$C$18,MATCH($S216,Config!$B$15:$B$18,0)))*1440,0)),""))</f>
        <v/>
      </c>
      <c r="V216" s="5"/>
    </row>
    <row r="217" spans="1:22" x14ac:dyDescent="0.25">
      <c r="A217" s="11"/>
      <c r="B217" s="16"/>
      <c r="C217" t="str">
        <f>IFERROR(INDEX(Ejecutivos!$B$2:$B$100,MATCH(B217,Ejecutivos!$A$2:$A$100,0)),"")</f>
        <v/>
      </c>
      <c r="D217" s="28"/>
      <c r="E217" s="28"/>
      <c r="F217" s="28"/>
      <c r="G217" s="29"/>
      <c r="H217" s="30"/>
      <c r="I217" s="30"/>
      <c r="J217" s="30"/>
      <c r="K217" s="31"/>
      <c r="L217" s="18">
        <v>0</v>
      </c>
      <c r="M217" t="str">
        <f t="shared" si="15"/>
        <v/>
      </c>
      <c r="N217" t="str">
        <f>IF(OR($D217="",$S217=""),"",IFERROR(MAX(0,ROUND(($D217-INDEX(Config!$C$15:$C$18,MATCH($S217,Config!$B$15:$B$18,0)))*24*60,0)),""))</f>
        <v/>
      </c>
      <c r="O217" t="str">
        <f t="shared" si="16"/>
        <v/>
      </c>
      <c r="P217" t="str">
        <f t="shared" si="17"/>
        <v/>
      </c>
      <c r="Q217" t="str">
        <f>IF(OR($P217="",$S217=""),"",IFERROR($P217-INDEX(Config!$E$15:$E$18,MATCH($S217,Config!$B$15:$B$18,0)),""))</f>
        <v/>
      </c>
      <c r="R217" t="str">
        <f t="shared" si="18"/>
        <v/>
      </c>
      <c r="S217" s="6" t="str">
        <f>IF(OR($A217="",$C217=""),"",IFERROR(INDEX(Turno!$C$3:$V$32,MATCH($C217,Turno!$B$3:$B$32,0),MATCH(DAY($A217),Turno!$C$1:$V$1,0)),""))</f>
        <v/>
      </c>
      <c r="T217" t="str">
        <f>IF(OR($E217="",$S217=""),"",IFERROR(MAX(0,ROUND((INDEX(Config!$D$15:$D$18,MATCH($S217,Config!$B$15:$B$18,0))-$E217)*1440,0)),""))</f>
        <v/>
      </c>
      <c r="U217" s="13" t="str">
        <f>IF(OR($N217="",$T217=""),"",IFERROR(MAX(0,1-($N217+$T217+MAX(0,N($Q217)))/ROUND((INDEX(Config!$D$15:$D$18,MATCH($S217,Config!$B$15:$B$18,0))-INDEX(Config!$C$15:$C$18,MATCH($S217,Config!$B$15:$B$18,0)))*1440,0)),""))</f>
        <v/>
      </c>
      <c r="V217" s="5"/>
    </row>
    <row r="218" spans="1:22" x14ac:dyDescent="0.25">
      <c r="A218" s="11"/>
      <c r="B218" s="16"/>
      <c r="C218" t="str">
        <f>IFERROR(INDEX(Ejecutivos!$B$2:$B$100,MATCH(B218,Ejecutivos!$A$2:$A$100,0)),"")</f>
        <v/>
      </c>
      <c r="D218" s="28"/>
      <c r="E218" s="28"/>
      <c r="F218" s="28"/>
      <c r="G218" s="29"/>
      <c r="H218" s="30"/>
      <c r="I218" s="30"/>
      <c r="J218" s="30"/>
      <c r="K218" s="31"/>
      <c r="L218" s="18">
        <v>0</v>
      </c>
      <c r="M218" t="str">
        <f t="shared" si="15"/>
        <v/>
      </c>
      <c r="N218" t="str">
        <f>IF(OR($D218="",$S218=""),"",IFERROR(MAX(0,ROUND(($D218-INDEX(Config!$C$15:$C$18,MATCH($S218,Config!$B$15:$B$18,0)))*24*60,0)),""))</f>
        <v/>
      </c>
      <c r="O218" t="str">
        <f t="shared" si="16"/>
        <v/>
      </c>
      <c r="P218" t="str">
        <f t="shared" si="17"/>
        <v/>
      </c>
      <c r="Q218" t="str">
        <f>IF(OR($P218="",$S218=""),"",IFERROR($P218-INDEX(Config!$E$15:$E$18,MATCH($S218,Config!$B$15:$B$18,0)),""))</f>
        <v/>
      </c>
      <c r="R218" t="str">
        <f t="shared" si="18"/>
        <v/>
      </c>
      <c r="S218" s="6" t="str">
        <f>IF(OR($A218="",$C218=""),"",IFERROR(INDEX(Turno!$C$3:$V$32,MATCH($C218,Turno!$B$3:$B$32,0),MATCH(DAY($A218),Turno!$C$1:$V$1,0)),""))</f>
        <v/>
      </c>
      <c r="T218" t="str">
        <f>IF(OR($E218="",$S218=""),"",IFERROR(MAX(0,ROUND((INDEX(Config!$D$15:$D$18,MATCH($S218,Config!$B$15:$B$18,0))-$E218)*1440,0)),""))</f>
        <v/>
      </c>
      <c r="U218" s="13" t="str">
        <f>IF(OR($N218="",$T218=""),"",IFERROR(MAX(0,1-($N218+$T218+MAX(0,N($Q218)))/ROUND((INDEX(Config!$D$15:$D$18,MATCH($S218,Config!$B$15:$B$18,0))-INDEX(Config!$C$15:$C$18,MATCH($S218,Config!$B$15:$B$18,0)))*1440,0)),""))</f>
        <v/>
      </c>
      <c r="V218" s="5"/>
    </row>
    <row r="219" spans="1:22" x14ac:dyDescent="0.25">
      <c r="A219" s="11"/>
      <c r="B219" s="16"/>
      <c r="C219" t="str">
        <f>IFERROR(INDEX(Ejecutivos!$B$2:$B$100,MATCH(B219,Ejecutivos!$A$2:$A$100,0)),"")</f>
        <v/>
      </c>
      <c r="D219" s="28"/>
      <c r="E219" s="28"/>
      <c r="F219" s="28"/>
      <c r="G219" s="29"/>
      <c r="H219" s="30"/>
      <c r="I219" s="30"/>
      <c r="J219" s="30"/>
      <c r="K219" s="31"/>
      <c r="L219" s="18">
        <v>0</v>
      </c>
      <c r="M219" t="str">
        <f t="shared" si="15"/>
        <v/>
      </c>
      <c r="N219" t="str">
        <f>IF(OR($D219="",$S219=""),"",IFERROR(MAX(0,ROUND(($D219-INDEX(Config!$C$15:$C$18,MATCH($S219,Config!$B$15:$B$18,0)))*24*60,0)),""))</f>
        <v/>
      </c>
      <c r="O219" t="str">
        <f t="shared" si="16"/>
        <v/>
      </c>
      <c r="P219" t="str">
        <f t="shared" si="17"/>
        <v/>
      </c>
      <c r="Q219" t="str">
        <f>IF(OR($P219="",$S219=""),"",IFERROR($P219-INDEX(Config!$E$15:$E$18,MATCH($S219,Config!$B$15:$B$18,0)),""))</f>
        <v/>
      </c>
      <c r="R219" t="str">
        <f t="shared" si="18"/>
        <v/>
      </c>
      <c r="S219" s="6" t="str">
        <f>IF(OR($A219="",$C219=""),"",IFERROR(INDEX(Turno!$C$3:$V$32,MATCH($C219,Turno!$B$3:$B$32,0),MATCH(DAY($A219),Turno!$C$1:$V$1,0)),""))</f>
        <v/>
      </c>
      <c r="T219" t="str">
        <f>IF(OR($E219="",$S219=""),"",IFERROR(MAX(0,ROUND((INDEX(Config!$D$15:$D$18,MATCH($S219,Config!$B$15:$B$18,0))-$E219)*1440,0)),""))</f>
        <v/>
      </c>
      <c r="U219" s="13" t="str">
        <f>IF(OR($N219="",$T219=""),"",IFERROR(MAX(0,1-($N219+$T219+MAX(0,N($Q219)))/ROUND((INDEX(Config!$D$15:$D$18,MATCH($S219,Config!$B$15:$B$18,0))-INDEX(Config!$C$15:$C$18,MATCH($S219,Config!$B$15:$B$18,0)))*1440,0)),""))</f>
        <v/>
      </c>
      <c r="V219" s="5"/>
    </row>
    <row r="220" spans="1:22" x14ac:dyDescent="0.25">
      <c r="A220" s="11"/>
      <c r="B220" s="16"/>
      <c r="C220" t="str">
        <f>IFERROR(INDEX(Ejecutivos!$B$2:$B$100,MATCH(B220,Ejecutivos!$A$2:$A$100,0)),"")</f>
        <v/>
      </c>
      <c r="D220" s="28"/>
      <c r="E220" s="28"/>
      <c r="F220" s="28"/>
      <c r="G220" s="29"/>
      <c r="H220" s="30"/>
      <c r="I220" s="30"/>
      <c r="J220" s="30"/>
      <c r="K220" s="31"/>
      <c r="L220" s="18">
        <v>0</v>
      </c>
      <c r="M220" t="str">
        <f t="shared" si="15"/>
        <v/>
      </c>
      <c r="N220" t="str">
        <f>IF(OR($D220="",$S220=""),"",IFERROR(MAX(0,ROUND(($D220-INDEX(Config!$C$15:$C$18,MATCH($S220,Config!$B$15:$B$18,0)))*24*60,0)),""))</f>
        <v/>
      </c>
      <c r="O220" t="str">
        <f t="shared" si="16"/>
        <v/>
      </c>
      <c r="P220" t="str">
        <f t="shared" si="17"/>
        <v/>
      </c>
      <c r="Q220" t="str">
        <f>IF(OR($P220="",$S220=""),"",IFERROR($P220-INDEX(Config!$E$15:$E$18,MATCH($S220,Config!$B$15:$B$18,0)),""))</f>
        <v/>
      </c>
      <c r="R220" t="str">
        <f t="shared" si="18"/>
        <v/>
      </c>
      <c r="S220" s="6" t="str">
        <f>IF(OR($A220="",$C220=""),"",IFERROR(INDEX(Turno!$C$3:$V$32,MATCH($C220,Turno!$B$3:$B$32,0),MATCH(DAY($A220),Turno!$C$1:$V$1,0)),""))</f>
        <v/>
      </c>
      <c r="T220" t="str">
        <f>IF(OR($E220="",$S220=""),"",IFERROR(MAX(0,ROUND((INDEX(Config!$D$15:$D$18,MATCH($S220,Config!$B$15:$B$18,0))-$E220)*1440,0)),""))</f>
        <v/>
      </c>
      <c r="U220" s="13" t="str">
        <f>IF(OR($N220="",$T220=""),"",IFERROR(MAX(0,1-($N220+$T220+MAX(0,N($Q220)))/ROUND((INDEX(Config!$D$15:$D$18,MATCH($S220,Config!$B$15:$B$18,0))-INDEX(Config!$C$15:$C$18,MATCH($S220,Config!$B$15:$B$18,0)))*1440,0)),""))</f>
        <v/>
      </c>
      <c r="V220" s="5"/>
    </row>
    <row r="221" spans="1:22" x14ac:dyDescent="0.25">
      <c r="A221" s="11"/>
      <c r="B221" s="16"/>
      <c r="C221" t="str">
        <f>IFERROR(INDEX(Ejecutivos!$B$2:$B$100,MATCH(B221,Ejecutivos!$A$2:$A$100,0)),"")</f>
        <v/>
      </c>
      <c r="D221" s="28"/>
      <c r="E221" s="28"/>
      <c r="F221" s="28"/>
      <c r="G221" s="29"/>
      <c r="H221" s="30"/>
      <c r="I221" s="30"/>
      <c r="J221" s="30"/>
      <c r="K221" s="31"/>
      <c r="L221" s="18">
        <v>0</v>
      </c>
      <c r="M221" t="str">
        <f t="shared" si="15"/>
        <v/>
      </c>
      <c r="N221" t="str">
        <f>IF(OR($D221="",$S221=""),"",IFERROR(MAX(0,ROUND(($D221-INDEX(Config!$C$15:$C$18,MATCH($S221,Config!$B$15:$B$18,0)))*24*60,0)),""))</f>
        <v/>
      </c>
      <c r="O221" t="str">
        <f t="shared" si="16"/>
        <v/>
      </c>
      <c r="P221" t="str">
        <f t="shared" si="17"/>
        <v/>
      </c>
      <c r="Q221" t="str">
        <f>IF(OR($P221="",$S221=""),"",IFERROR($P221-INDEX(Config!$E$15:$E$18,MATCH($S221,Config!$B$15:$B$18,0)),""))</f>
        <v/>
      </c>
      <c r="R221" t="str">
        <f t="shared" si="18"/>
        <v/>
      </c>
      <c r="S221" s="6" t="str">
        <f>IF(OR($A221="",$C221=""),"",IFERROR(INDEX(Turno!$C$3:$V$32,MATCH($C221,Turno!$B$3:$B$32,0),MATCH(DAY($A221),Turno!$C$1:$V$1,0)),""))</f>
        <v/>
      </c>
      <c r="T221" t="str">
        <f>IF(OR($E221="",$S221=""),"",IFERROR(MAX(0,ROUND((INDEX(Config!$D$15:$D$18,MATCH($S221,Config!$B$15:$B$18,0))-$E221)*1440,0)),""))</f>
        <v/>
      </c>
      <c r="U221" s="13" t="str">
        <f>IF(OR($N221="",$T221=""),"",IFERROR(MAX(0,1-($N221+$T221+MAX(0,N($Q221)))/ROUND((INDEX(Config!$D$15:$D$18,MATCH($S221,Config!$B$15:$B$18,0))-INDEX(Config!$C$15:$C$18,MATCH($S221,Config!$B$15:$B$18,0)))*1440,0)),""))</f>
        <v/>
      </c>
      <c r="V221" s="5"/>
    </row>
    <row r="222" spans="1:22" x14ac:dyDescent="0.25">
      <c r="A222" s="11"/>
      <c r="B222" s="16"/>
      <c r="C222" t="str">
        <f>IFERROR(INDEX(Ejecutivos!$B$2:$B$100,MATCH(B222,Ejecutivos!$A$2:$A$100,0)),"")</f>
        <v/>
      </c>
      <c r="D222" s="28"/>
      <c r="E222" s="28"/>
      <c r="F222" s="28"/>
      <c r="G222" s="29"/>
      <c r="H222" s="30"/>
      <c r="I222" s="30"/>
      <c r="J222" s="30"/>
      <c r="K222" s="31"/>
      <c r="L222" s="18">
        <v>0</v>
      </c>
      <c r="M222" t="str">
        <f t="shared" si="15"/>
        <v/>
      </c>
      <c r="N222" t="str">
        <f>IF(OR($D222="",$S222=""),"",IFERROR(MAX(0,ROUND(($D222-INDEX(Config!$C$15:$C$18,MATCH($S222,Config!$B$15:$B$18,0)))*24*60,0)),""))</f>
        <v/>
      </c>
      <c r="O222" t="str">
        <f t="shared" si="16"/>
        <v/>
      </c>
      <c r="P222" t="str">
        <f t="shared" si="17"/>
        <v/>
      </c>
      <c r="Q222" t="str">
        <f>IF(OR($P222="",$S222=""),"",IFERROR($P222-INDEX(Config!$E$15:$E$18,MATCH($S222,Config!$B$15:$B$18,0)),""))</f>
        <v/>
      </c>
      <c r="R222" t="str">
        <f t="shared" si="18"/>
        <v/>
      </c>
      <c r="S222" s="6" t="str">
        <f>IF(OR($A222="",$C222=""),"",IFERROR(INDEX(Turno!$C$3:$V$32,MATCH($C222,Turno!$B$3:$B$32,0),MATCH(DAY($A222),Turno!$C$1:$V$1,0)),""))</f>
        <v/>
      </c>
      <c r="T222" t="str">
        <f>IF(OR($E222="",$S222=""),"",IFERROR(MAX(0,ROUND((INDEX(Config!$D$15:$D$18,MATCH($S222,Config!$B$15:$B$18,0))-$E222)*1440,0)),""))</f>
        <v/>
      </c>
      <c r="U222" s="13" t="str">
        <f>IF(OR($N222="",$T222=""),"",IFERROR(MAX(0,1-($N222+$T222+MAX(0,N($Q222)))/ROUND((INDEX(Config!$D$15:$D$18,MATCH($S222,Config!$B$15:$B$18,0))-INDEX(Config!$C$15:$C$18,MATCH($S222,Config!$B$15:$B$18,0)))*1440,0)),""))</f>
        <v/>
      </c>
      <c r="V222" s="5"/>
    </row>
    <row r="223" spans="1:22" x14ac:dyDescent="0.25">
      <c r="A223" s="11"/>
      <c r="B223" s="16"/>
      <c r="C223" t="str">
        <f>IFERROR(INDEX(Ejecutivos!$B$2:$B$100,MATCH(B223,Ejecutivos!$A$2:$A$100,0)),"")</f>
        <v/>
      </c>
      <c r="D223" s="32"/>
      <c r="E223" s="32"/>
      <c r="F223" s="32"/>
      <c r="G223" s="33"/>
      <c r="H223" s="34"/>
      <c r="I223" s="34"/>
      <c r="J223" s="34"/>
      <c r="K223" s="35"/>
      <c r="L223" s="18">
        <v>0</v>
      </c>
      <c r="M223" t="str">
        <f t="shared" si="15"/>
        <v/>
      </c>
      <c r="N223" t="str">
        <f>IF(OR($D223="",$S223=""),"",IFERROR(MAX(0,ROUND(($D223-INDEX(Config!$C$15:$C$18,MATCH($S223,Config!$B$15:$B$18,0)))*24*60,0)),""))</f>
        <v/>
      </c>
      <c r="O223" t="str">
        <f t="shared" si="16"/>
        <v/>
      </c>
      <c r="P223" t="str">
        <f t="shared" si="17"/>
        <v/>
      </c>
      <c r="Q223" t="str">
        <f>IF(OR($P223="",$S223=""),"",IFERROR($P223-INDEX(Config!$E$15:$E$18,MATCH($S223,Config!$B$15:$B$18,0)),""))</f>
        <v/>
      </c>
      <c r="R223" t="str">
        <f t="shared" si="18"/>
        <v/>
      </c>
      <c r="S223" s="6" t="str">
        <f>IF(OR($A223="",$C223=""),"",IFERROR(INDEX(Turno!$C$3:$V$32,MATCH($C223,Turno!$B$3:$B$32,0),MATCH(DAY($A223),Turno!$C$1:$V$1,0)),""))</f>
        <v/>
      </c>
      <c r="T223" t="str">
        <f>IF(OR($E223="",$S223=""),"",IFERROR(MAX(0,ROUND((INDEX(Config!$D$15:$D$18,MATCH($S223,Config!$B$15:$B$18,0))-$E223)*1440,0)),""))</f>
        <v/>
      </c>
      <c r="U223" s="13" t="str">
        <f>IF(OR($N223="",$T223=""),"",IFERROR(MAX(0,1-($N223+$T223+MAX(0,N($Q223)))/ROUND((INDEX(Config!$D$15:$D$18,MATCH($S223,Config!$B$15:$B$18,0))-INDEX(Config!$C$15:$C$18,MATCH($S223,Config!$B$15:$B$18,0)))*1440,0)),""))</f>
        <v/>
      </c>
      <c r="V223" s="5"/>
    </row>
    <row r="224" spans="1:22" x14ac:dyDescent="0.25">
      <c r="A224" s="11"/>
      <c r="B224" s="16"/>
      <c r="C224" t="str">
        <f>IFERROR(INDEX(Ejecutivos!$B$2:$B$100,MATCH(B224,Ejecutivos!$A$2:$A$100,0)),"")</f>
        <v/>
      </c>
      <c r="D224" s="32"/>
      <c r="E224" s="32"/>
      <c r="F224" s="32"/>
      <c r="G224" s="33"/>
      <c r="H224" s="34"/>
      <c r="I224" s="34"/>
      <c r="J224" s="34"/>
      <c r="K224" s="35"/>
      <c r="L224" s="18">
        <v>0</v>
      </c>
      <c r="M224" t="str">
        <f t="shared" si="15"/>
        <v/>
      </c>
      <c r="N224" t="str">
        <f>IF(OR($D224="",$S224=""),"",IFERROR(MAX(0,ROUND(($D224-INDEX(Config!$C$15:$C$18,MATCH($S224,Config!$B$15:$B$18,0)))*24*60,0)),""))</f>
        <v/>
      </c>
      <c r="O224" t="str">
        <f t="shared" si="16"/>
        <v/>
      </c>
      <c r="P224" t="str">
        <f t="shared" si="17"/>
        <v/>
      </c>
      <c r="Q224" t="str">
        <f>IF(OR($P224="",$S224=""),"",IFERROR($P224-INDEX(Config!$E$15:$E$18,MATCH($S224,Config!$B$15:$B$18,0)),""))</f>
        <v/>
      </c>
      <c r="R224" t="str">
        <f t="shared" si="18"/>
        <v/>
      </c>
      <c r="S224" s="6" t="str">
        <f>IF(OR($A224="",$C224=""),"",IFERROR(INDEX(Turno!$C$3:$V$32,MATCH($C224,Turno!$B$3:$B$32,0),MATCH(DAY($A224),Turno!$C$1:$V$1,0)),""))</f>
        <v/>
      </c>
      <c r="T224" t="str">
        <f>IF(OR($E224="",$S224=""),"",IFERROR(MAX(0,ROUND((INDEX(Config!$D$15:$D$18,MATCH($S224,Config!$B$15:$B$18,0))-$E224)*1440,0)),""))</f>
        <v/>
      </c>
      <c r="U224" s="13" t="str">
        <f>IF(OR($N224="",$T224=""),"",IFERROR(MAX(0,1-($N224+$T224+MAX(0,N($Q224)))/ROUND((INDEX(Config!$D$15:$D$18,MATCH($S224,Config!$B$15:$B$18,0))-INDEX(Config!$C$15:$C$18,MATCH($S224,Config!$B$15:$B$18,0)))*1440,0)),""))</f>
        <v/>
      </c>
      <c r="V224" s="5"/>
    </row>
    <row r="225" spans="1:22" x14ac:dyDescent="0.25">
      <c r="A225" s="11"/>
      <c r="B225" s="16"/>
      <c r="C225" t="str">
        <f>IFERROR(INDEX(Ejecutivos!$B$2:$B$100,MATCH(B225,Ejecutivos!$A$2:$A$100,0)),"")</f>
        <v/>
      </c>
      <c r="D225" s="32"/>
      <c r="E225" s="32"/>
      <c r="F225" s="32"/>
      <c r="G225" s="33"/>
      <c r="H225" s="34"/>
      <c r="I225" s="34"/>
      <c r="J225" s="34"/>
      <c r="K225" s="35"/>
      <c r="L225" s="18">
        <v>0</v>
      </c>
      <c r="M225" t="str">
        <f t="shared" si="15"/>
        <v/>
      </c>
      <c r="N225" t="str">
        <f>IF(OR($D225="",$S225=""),"",IFERROR(MAX(0,ROUND(($D225-INDEX(Config!$C$15:$C$18,MATCH($S225,Config!$B$15:$B$18,0)))*24*60,0)),""))</f>
        <v/>
      </c>
      <c r="O225" t="str">
        <f t="shared" si="16"/>
        <v/>
      </c>
      <c r="P225" t="str">
        <f t="shared" si="17"/>
        <v/>
      </c>
      <c r="Q225" t="str">
        <f>IF(OR($P225="",$S225=""),"",IFERROR($P225-INDEX(Config!$E$15:$E$18,MATCH($S225,Config!$B$15:$B$18,0)),""))</f>
        <v/>
      </c>
      <c r="R225" t="str">
        <f t="shared" si="18"/>
        <v/>
      </c>
      <c r="S225" s="6" t="str">
        <f>IF(OR($A225="",$C225=""),"",IFERROR(INDEX(Turno!$C$3:$V$32,MATCH($C225,Turno!$B$3:$B$32,0),MATCH(DAY($A225),Turno!$C$1:$V$1,0)),""))</f>
        <v/>
      </c>
      <c r="T225" t="str">
        <f>IF(OR($E225="",$S225=""),"",IFERROR(MAX(0,ROUND((INDEX(Config!$D$15:$D$18,MATCH($S225,Config!$B$15:$B$18,0))-$E225)*1440,0)),""))</f>
        <v/>
      </c>
      <c r="U225" s="13" t="str">
        <f>IF(OR($N225="",$T225=""),"",IFERROR(MAX(0,1-($N225+$T225+MAX(0,N($Q225)))/ROUND((INDEX(Config!$D$15:$D$18,MATCH($S225,Config!$B$15:$B$18,0))-INDEX(Config!$C$15:$C$18,MATCH($S225,Config!$B$15:$B$18,0)))*1440,0)),""))</f>
        <v/>
      </c>
      <c r="V225" s="5"/>
    </row>
    <row r="226" spans="1:22" x14ac:dyDescent="0.25">
      <c r="A226" s="11"/>
      <c r="B226" s="16"/>
      <c r="C226" t="str">
        <f>IFERROR(INDEX(Ejecutivos!$B$2:$B$100,MATCH(B226,Ejecutivos!$A$2:$A$100,0)),"")</f>
        <v/>
      </c>
      <c r="D226" s="32"/>
      <c r="E226" s="32"/>
      <c r="F226" s="32"/>
      <c r="G226" s="33"/>
      <c r="H226" s="34"/>
      <c r="I226" s="34"/>
      <c r="J226" s="34"/>
      <c r="K226" s="35"/>
      <c r="L226" s="18">
        <v>0</v>
      </c>
      <c r="M226" t="str">
        <f t="shared" si="15"/>
        <v/>
      </c>
      <c r="N226" t="str">
        <f>IF(OR($D226="",$S226=""),"",IFERROR(MAX(0,ROUND(($D226-INDEX(Config!$C$15:$C$18,MATCH($S226,Config!$B$15:$B$18,0)))*24*60,0)),""))</f>
        <v/>
      </c>
      <c r="O226" t="str">
        <f t="shared" si="16"/>
        <v/>
      </c>
      <c r="P226" t="str">
        <f t="shared" si="17"/>
        <v/>
      </c>
      <c r="Q226" t="str">
        <f>IF(OR($P226="",$S226=""),"",IFERROR($P226-INDEX(Config!$E$15:$E$18,MATCH($S226,Config!$B$15:$B$18,0)),""))</f>
        <v/>
      </c>
      <c r="R226" t="str">
        <f t="shared" si="18"/>
        <v/>
      </c>
      <c r="S226" s="6" t="str">
        <f>IF(OR($A226="",$C226=""),"",IFERROR(INDEX(Turno!$C$3:$V$32,MATCH($C226,Turno!$B$3:$B$32,0),MATCH(DAY($A226),Turno!$C$1:$V$1,0)),""))</f>
        <v/>
      </c>
      <c r="T226" t="str">
        <f>IF(OR($E226="",$S226=""),"",IFERROR(MAX(0,ROUND((INDEX(Config!$D$15:$D$18,MATCH($S226,Config!$B$15:$B$18,0))-$E226)*1440,0)),""))</f>
        <v/>
      </c>
      <c r="U226" s="13" t="str">
        <f>IF(OR($N226="",$T226=""),"",IFERROR(MAX(0,1-($N226+$T226+MAX(0,N($Q226)))/ROUND((INDEX(Config!$D$15:$D$18,MATCH($S226,Config!$B$15:$B$18,0))-INDEX(Config!$C$15:$C$18,MATCH($S226,Config!$B$15:$B$18,0)))*1440,0)),""))</f>
        <v/>
      </c>
      <c r="V226" s="5"/>
    </row>
    <row r="227" spans="1:22" x14ac:dyDescent="0.25">
      <c r="A227" s="11"/>
      <c r="B227" s="16"/>
      <c r="C227" t="str">
        <f>IFERROR(INDEX(Ejecutivos!$B$2:$B$100,MATCH(B227,Ejecutivos!$A$2:$A$100,0)),"")</f>
        <v/>
      </c>
      <c r="D227" s="36"/>
      <c r="E227" s="36"/>
      <c r="F227" s="36"/>
      <c r="G227" s="37"/>
      <c r="H227" s="38"/>
      <c r="I227" s="38"/>
      <c r="J227" s="38"/>
      <c r="K227" s="38"/>
      <c r="L227" s="18">
        <v>0</v>
      </c>
      <c r="M227" t="str">
        <f t="shared" si="15"/>
        <v/>
      </c>
      <c r="N227" t="str">
        <f>IF(OR($D227="",$S227=""),"",IFERROR(MAX(0,ROUND(($D227-INDEX(Config!$C$15:$C$18,MATCH($S227,Config!$B$15:$B$18,0)))*24*60,0)),""))</f>
        <v/>
      </c>
      <c r="O227" t="str">
        <f t="shared" si="16"/>
        <v/>
      </c>
      <c r="P227" t="str">
        <f t="shared" si="17"/>
        <v/>
      </c>
      <c r="Q227" t="str">
        <f>IF(OR($P227="",$S227=""),"",IFERROR($P227-INDEX(Config!$E$15:$E$18,MATCH($S227,Config!$B$15:$B$18,0)),""))</f>
        <v/>
      </c>
      <c r="R227" t="str">
        <f t="shared" si="18"/>
        <v/>
      </c>
      <c r="S227" s="6" t="str">
        <f>IF(OR($A227="",$C227=""),"",IFERROR(INDEX(Turno!$C$3:$V$32,MATCH($C227,Turno!$B$3:$B$32,0),MATCH(DAY($A227),Turno!$C$1:$V$1,0)),""))</f>
        <v/>
      </c>
      <c r="T227" t="str">
        <f>IF(OR($E227="",$S227=""),"",IFERROR(MAX(0,ROUND((INDEX(Config!$D$15:$D$18,MATCH($S227,Config!$B$15:$B$18,0))-$E227)*1440,0)),""))</f>
        <v/>
      </c>
      <c r="U227" s="13" t="str">
        <f>IF(OR($N227="",$T227=""),"",IFERROR(MAX(0,1-($N227+$T227+MAX(0,N($Q227)))/ROUND((INDEX(Config!$D$15:$D$18,MATCH($S227,Config!$B$15:$B$18,0))-INDEX(Config!$C$15:$C$18,MATCH($S227,Config!$B$15:$B$18,0)))*1440,0)),""))</f>
        <v/>
      </c>
      <c r="V227" s="5"/>
    </row>
    <row r="228" spans="1:22" x14ac:dyDescent="0.25">
      <c r="A228" s="11"/>
      <c r="B228" s="16"/>
      <c r="C228" t="str">
        <f>IFERROR(INDEX(Ejecutivos!$B$2:$B$100,MATCH(B228,Ejecutivos!$A$2:$A$100,0)),"")</f>
        <v/>
      </c>
      <c r="D228" s="32"/>
      <c r="E228" s="32"/>
      <c r="F228" s="32"/>
      <c r="G228" s="33"/>
      <c r="H228" s="34"/>
      <c r="I228" s="34"/>
      <c r="J228" s="34"/>
      <c r="K228" s="34"/>
      <c r="L228" s="18">
        <v>0</v>
      </c>
      <c r="M228" t="str">
        <f t="shared" si="15"/>
        <v/>
      </c>
      <c r="N228" t="str">
        <f>IF(OR($D228="",$S228=""),"",IFERROR(MAX(0,ROUND(($D228-INDEX(Config!$C$15:$C$18,MATCH($S228,Config!$B$15:$B$18,0)))*24*60,0)),""))</f>
        <v/>
      </c>
      <c r="O228" t="str">
        <f t="shared" si="16"/>
        <v/>
      </c>
      <c r="P228" t="str">
        <f t="shared" si="17"/>
        <v/>
      </c>
      <c r="Q228" t="str">
        <f>IF(OR($P228="",$S228=""),"",IFERROR($P228-INDEX(Config!$E$15:$E$18,MATCH($S228,Config!$B$15:$B$18,0)),""))</f>
        <v/>
      </c>
      <c r="R228" t="str">
        <f t="shared" si="18"/>
        <v/>
      </c>
      <c r="S228" s="6" t="str">
        <f>IF(OR($A228="",$C228=""),"",IFERROR(INDEX(Turno!$C$3:$V$32,MATCH($C228,Turno!$B$3:$B$32,0),MATCH(DAY($A228),Turno!$C$1:$V$1,0)),""))</f>
        <v/>
      </c>
      <c r="T228" t="str">
        <f>IF(OR($E228="",$S228=""),"",IFERROR(MAX(0,ROUND((INDEX(Config!$D$15:$D$18,MATCH($S228,Config!$B$15:$B$18,0))-$E228)*1440,0)),""))</f>
        <v/>
      </c>
      <c r="U228" s="13" t="str">
        <f>IF(OR($N228="",$T228=""),"",IFERROR(MAX(0,1-($N228+$T228+MAX(0,N($Q228)))/ROUND((INDEX(Config!$D$15:$D$18,MATCH($S228,Config!$B$15:$B$18,0))-INDEX(Config!$C$15:$C$18,MATCH($S228,Config!$B$15:$B$18,0)))*1440,0)),""))</f>
        <v/>
      </c>
      <c r="V228" s="5"/>
    </row>
    <row r="229" spans="1:22" x14ac:dyDescent="0.25">
      <c r="A229" s="11"/>
      <c r="B229" s="16"/>
      <c r="C229" t="str">
        <f>IFERROR(INDEX(Ejecutivos!$B$2:$B$100,MATCH(B229,Ejecutivos!$A$2:$A$100,0)),"")</f>
        <v/>
      </c>
      <c r="D229" s="32"/>
      <c r="E229" s="32"/>
      <c r="F229" s="32"/>
      <c r="G229" s="33"/>
      <c r="H229" s="34"/>
      <c r="I229" s="34"/>
      <c r="J229" s="34"/>
      <c r="K229" s="34"/>
      <c r="L229" s="18">
        <v>0</v>
      </c>
      <c r="M229" t="str">
        <f t="shared" si="15"/>
        <v/>
      </c>
      <c r="N229" t="str">
        <f>IF(OR($D229="",$S229=""),"",IFERROR(MAX(0,ROUND(($D229-INDEX(Config!$C$15:$C$18,MATCH($S229,Config!$B$15:$B$18,0)))*24*60,0)),""))</f>
        <v/>
      </c>
      <c r="O229" t="str">
        <f t="shared" si="16"/>
        <v/>
      </c>
      <c r="P229" t="str">
        <f t="shared" si="17"/>
        <v/>
      </c>
      <c r="Q229" t="str">
        <f>IF(OR($P229="",$S229=""),"",IFERROR($P229-INDEX(Config!$E$15:$E$18,MATCH($S229,Config!$B$15:$B$18,0)),""))</f>
        <v/>
      </c>
      <c r="R229" t="str">
        <f t="shared" si="18"/>
        <v/>
      </c>
      <c r="S229" s="6" t="str">
        <f>IF(OR($A229="",$C229=""),"",IFERROR(INDEX(Turno!$C$3:$V$32,MATCH($C229,Turno!$B$3:$B$32,0),MATCH(DAY($A229),Turno!$C$1:$V$1,0)),""))</f>
        <v/>
      </c>
      <c r="T229" t="str">
        <f>IF(OR($E229="",$S229=""),"",IFERROR(MAX(0,ROUND((INDEX(Config!$D$15:$D$18,MATCH($S229,Config!$B$15:$B$18,0))-$E229)*1440,0)),""))</f>
        <v/>
      </c>
      <c r="U229" s="13" t="str">
        <f>IF(OR($N229="",$T229=""),"",IFERROR(MAX(0,1-($N229+$T229+MAX(0,N($Q229)))/ROUND((INDEX(Config!$D$15:$D$18,MATCH($S229,Config!$B$15:$B$18,0))-INDEX(Config!$C$15:$C$18,MATCH($S229,Config!$B$15:$B$18,0)))*1440,0)),""))</f>
        <v/>
      </c>
      <c r="V229" s="5"/>
    </row>
    <row r="230" spans="1:22" x14ac:dyDescent="0.25">
      <c r="A230" s="11"/>
      <c r="B230" s="16"/>
      <c r="C230" t="str">
        <f>IFERROR(INDEX(Ejecutivos!$B$2:$B$100,MATCH(B230,Ejecutivos!$A$2:$A$100,0)),"")</f>
        <v/>
      </c>
      <c r="D230" s="32"/>
      <c r="E230" s="32"/>
      <c r="F230" s="32"/>
      <c r="G230" s="33"/>
      <c r="H230" s="34"/>
      <c r="I230" s="34"/>
      <c r="J230" s="34"/>
      <c r="K230" s="34"/>
      <c r="L230" s="18">
        <v>0</v>
      </c>
      <c r="M230" t="str">
        <f t="shared" si="15"/>
        <v/>
      </c>
      <c r="N230" t="str">
        <f>IF(OR($D230="",$S230=""),"",IFERROR(MAX(0,ROUND(($D230-INDEX(Config!$C$15:$C$18,MATCH($S230,Config!$B$15:$B$18,0)))*24*60,0)),""))</f>
        <v/>
      </c>
      <c r="O230" t="str">
        <f t="shared" si="16"/>
        <v/>
      </c>
      <c r="P230" t="str">
        <f t="shared" si="17"/>
        <v/>
      </c>
      <c r="Q230" t="str">
        <f>IF(OR($P230="",$S230=""),"",IFERROR($P230-INDEX(Config!$E$15:$E$18,MATCH($S230,Config!$B$15:$B$18,0)),""))</f>
        <v/>
      </c>
      <c r="R230" t="str">
        <f t="shared" si="18"/>
        <v/>
      </c>
      <c r="S230" s="6" t="str">
        <f>IF(OR($A230="",$C230=""),"",IFERROR(INDEX(Turno!$C$3:$V$32,MATCH($C230,Turno!$B$3:$B$32,0),MATCH(DAY($A230),Turno!$C$1:$V$1,0)),""))</f>
        <v/>
      </c>
      <c r="T230" t="str">
        <f>IF(OR($E230="",$S230=""),"",IFERROR(MAX(0,ROUND((INDEX(Config!$D$15:$D$18,MATCH($S230,Config!$B$15:$B$18,0))-$E230)*1440,0)),""))</f>
        <v/>
      </c>
      <c r="U230" s="13" t="str">
        <f>IF(OR($N230="",$T230=""),"",IFERROR(MAX(0,1-($N230+$T230+MAX(0,N($Q230)))/ROUND((INDEX(Config!$D$15:$D$18,MATCH($S230,Config!$B$15:$B$18,0))-INDEX(Config!$C$15:$C$18,MATCH($S230,Config!$B$15:$B$18,0)))*1440,0)),""))</f>
        <v/>
      </c>
      <c r="V230" s="5"/>
    </row>
    <row r="231" spans="1:22" x14ac:dyDescent="0.25">
      <c r="A231" s="11"/>
      <c r="B231" s="16"/>
      <c r="C231" t="str">
        <f>IFERROR(INDEX(Ejecutivos!$B$2:$B$100,MATCH(B231,Ejecutivos!$A$2:$A$100,0)),"")</f>
        <v/>
      </c>
      <c r="D231" s="32"/>
      <c r="E231" s="32"/>
      <c r="F231" s="32"/>
      <c r="G231" s="33"/>
      <c r="H231" s="34"/>
      <c r="I231" s="34"/>
      <c r="J231" s="34"/>
      <c r="K231" s="34"/>
      <c r="L231" s="18">
        <v>0</v>
      </c>
      <c r="M231" t="str">
        <f t="shared" si="15"/>
        <v/>
      </c>
      <c r="N231" t="str">
        <f>IF(OR($D231="",$S231=""),"",IFERROR(MAX(0,ROUND(($D231-INDEX(Config!$C$15:$C$18,MATCH($S231,Config!$B$15:$B$18,0)))*24*60,0)),""))</f>
        <v/>
      </c>
      <c r="O231" t="str">
        <f t="shared" si="16"/>
        <v/>
      </c>
      <c r="P231" t="str">
        <f t="shared" si="17"/>
        <v/>
      </c>
      <c r="Q231" t="str">
        <f>IF(OR($P231="",$S231=""),"",IFERROR($P231-INDEX(Config!$E$15:$E$18,MATCH($S231,Config!$B$15:$B$18,0)),""))</f>
        <v/>
      </c>
      <c r="R231" t="str">
        <f t="shared" si="18"/>
        <v/>
      </c>
      <c r="S231" s="6" t="str">
        <f>IF(OR($A231="",$C231=""),"",IFERROR(INDEX(Turno!$C$3:$V$32,MATCH($C231,Turno!$B$3:$B$32,0),MATCH(DAY($A231),Turno!$C$1:$V$1,0)),""))</f>
        <v/>
      </c>
      <c r="T231" t="str">
        <f>IF(OR($E231="",$S231=""),"",IFERROR(MAX(0,ROUND((INDEX(Config!$D$15:$D$18,MATCH($S231,Config!$B$15:$B$18,0))-$E231)*1440,0)),""))</f>
        <v/>
      </c>
      <c r="U231" s="13" t="str">
        <f>IF(OR($N231="",$T231=""),"",IFERROR(MAX(0,1-($N231+$T231+MAX(0,N($Q231)))/ROUND((INDEX(Config!$D$15:$D$18,MATCH($S231,Config!$B$15:$B$18,0))-INDEX(Config!$C$15:$C$18,MATCH($S231,Config!$B$15:$B$18,0)))*1440,0)),""))</f>
        <v/>
      </c>
      <c r="V231" s="5"/>
    </row>
    <row r="232" spans="1:22" x14ac:dyDescent="0.25">
      <c r="A232" s="11"/>
      <c r="B232" s="16"/>
      <c r="C232" t="str">
        <f>IFERROR(INDEX(Ejecutivos!$B$2:$B$100,MATCH(B232,Ejecutivos!$A$2:$A$100,0)),"")</f>
        <v/>
      </c>
      <c r="D232" s="32"/>
      <c r="E232" s="32"/>
      <c r="F232" s="32"/>
      <c r="G232" s="33"/>
      <c r="H232" s="34"/>
      <c r="I232" s="34"/>
      <c r="J232" s="34"/>
      <c r="K232" s="34"/>
      <c r="L232" s="18">
        <v>0</v>
      </c>
      <c r="M232" t="str">
        <f t="shared" si="15"/>
        <v/>
      </c>
      <c r="N232" t="str">
        <f>IF(OR($D232="",$S232=""),"",IFERROR(MAX(0,ROUND(($D232-INDEX(Config!$C$15:$C$18,MATCH($S232,Config!$B$15:$B$18,0)))*24*60,0)),""))</f>
        <v/>
      </c>
      <c r="O232" t="str">
        <f t="shared" si="16"/>
        <v/>
      </c>
      <c r="P232" t="str">
        <f t="shared" si="17"/>
        <v/>
      </c>
      <c r="Q232" t="str">
        <f>IF(OR($P232="",$S232=""),"",IFERROR($P232-INDEX(Config!$E$15:$E$18,MATCH($S232,Config!$B$15:$B$18,0)),""))</f>
        <v/>
      </c>
      <c r="R232" t="str">
        <f t="shared" si="18"/>
        <v/>
      </c>
      <c r="S232" s="6" t="str">
        <f>IF(OR($A232="",$C232=""),"",IFERROR(INDEX(Turno!$C$3:$V$32,MATCH($C232,Turno!$B$3:$B$32,0),MATCH(DAY($A232),Turno!$C$1:$V$1,0)),""))</f>
        <v/>
      </c>
      <c r="T232" t="str">
        <f>IF(OR($E232="",$S232=""),"",IFERROR(MAX(0,ROUND((INDEX(Config!$D$15:$D$18,MATCH($S232,Config!$B$15:$B$18,0))-$E232)*1440,0)),""))</f>
        <v/>
      </c>
      <c r="U232" s="13" t="str">
        <f>IF(OR($N232="",$T232=""),"",IFERROR(MAX(0,1-($N232+$T232+MAX(0,N($Q232)))/ROUND((INDEX(Config!$D$15:$D$18,MATCH($S232,Config!$B$15:$B$18,0))-INDEX(Config!$C$15:$C$18,MATCH($S232,Config!$B$15:$B$18,0)))*1440,0)),""))</f>
        <v/>
      </c>
      <c r="V232" s="5"/>
    </row>
    <row r="233" spans="1:22" x14ac:dyDescent="0.25">
      <c r="A233" s="11"/>
      <c r="B233" s="16"/>
      <c r="C233" t="str">
        <f>IFERROR(INDEX(Ejecutivos!$B$2:$B$100,MATCH(B233,Ejecutivos!$A$2:$A$100,0)),"")</f>
        <v/>
      </c>
      <c r="D233" s="32"/>
      <c r="E233" s="32"/>
      <c r="F233" s="32"/>
      <c r="G233" s="33"/>
      <c r="H233" s="34"/>
      <c r="I233" s="34"/>
      <c r="J233" s="34"/>
      <c r="K233" s="34"/>
      <c r="L233" s="18">
        <v>0</v>
      </c>
      <c r="M233" t="str">
        <f t="shared" si="15"/>
        <v/>
      </c>
      <c r="N233" t="str">
        <f>IF(OR($D233="",$S233=""),"",IFERROR(MAX(0,ROUND(($D233-INDEX(Config!$C$15:$C$18,MATCH($S233,Config!$B$15:$B$18,0)))*24*60,0)),""))</f>
        <v/>
      </c>
      <c r="O233" t="str">
        <f t="shared" si="16"/>
        <v/>
      </c>
      <c r="P233" t="str">
        <f t="shared" si="17"/>
        <v/>
      </c>
      <c r="Q233" t="str">
        <f>IF(OR($P233="",$S233=""),"",IFERROR($P233-INDEX(Config!$E$15:$E$18,MATCH($S233,Config!$B$15:$B$18,0)),""))</f>
        <v/>
      </c>
      <c r="R233" t="str">
        <f t="shared" si="18"/>
        <v/>
      </c>
      <c r="S233" s="6" t="str">
        <f>IF(OR($A233="",$C233=""),"",IFERROR(INDEX(Turno!$C$3:$V$32,MATCH($C233,Turno!$B$3:$B$32,0),MATCH(DAY($A233),Turno!$C$1:$V$1,0)),""))</f>
        <v/>
      </c>
      <c r="T233" t="str">
        <f>IF(OR($E233="",$S233=""),"",IFERROR(MAX(0,ROUND((INDEX(Config!$D$15:$D$18,MATCH($S233,Config!$B$15:$B$18,0))-$E233)*1440,0)),""))</f>
        <v/>
      </c>
      <c r="U233" s="13" t="str">
        <f>IF(OR($N233="",$T233=""),"",IFERROR(MAX(0,1-($N233+$T233+MAX(0,N($Q233)))/ROUND((INDEX(Config!$D$15:$D$18,MATCH($S233,Config!$B$15:$B$18,0))-INDEX(Config!$C$15:$C$18,MATCH($S233,Config!$B$15:$B$18,0)))*1440,0)),""))</f>
        <v/>
      </c>
      <c r="V233" s="5"/>
    </row>
    <row r="234" spans="1:22" x14ac:dyDescent="0.25">
      <c r="A234" s="11"/>
      <c r="B234" s="16"/>
      <c r="C234" t="str">
        <f>IFERROR(INDEX(Ejecutivos!$B$2:$B$100,MATCH(B234,Ejecutivos!$A$2:$A$100,0)),"")</f>
        <v/>
      </c>
      <c r="D234" s="32"/>
      <c r="E234" s="32"/>
      <c r="F234" s="32"/>
      <c r="G234" s="33"/>
      <c r="H234" s="34"/>
      <c r="I234" s="34"/>
      <c r="J234" s="34"/>
      <c r="K234" s="34"/>
      <c r="L234" s="18">
        <v>0</v>
      </c>
      <c r="M234" t="str">
        <f t="shared" si="15"/>
        <v/>
      </c>
      <c r="N234" t="str">
        <f>IF(OR($D234="",$S234=""),"",IFERROR(MAX(0,ROUND(($D234-INDEX(Config!$C$15:$C$18,MATCH($S234,Config!$B$15:$B$18,0)))*24*60,0)),""))</f>
        <v/>
      </c>
      <c r="O234" t="str">
        <f t="shared" si="16"/>
        <v/>
      </c>
      <c r="P234" t="str">
        <f t="shared" si="17"/>
        <v/>
      </c>
      <c r="Q234" t="str">
        <f>IF(OR($P234="",$S234=""),"",IFERROR($P234-INDEX(Config!$E$15:$E$18,MATCH($S234,Config!$B$15:$B$18,0)),""))</f>
        <v/>
      </c>
      <c r="R234" t="str">
        <f t="shared" si="18"/>
        <v/>
      </c>
      <c r="S234" s="6" t="str">
        <f>IF(OR($A234="",$C234=""),"",IFERROR(INDEX(Turno!$C$3:$V$32,MATCH($C234,Turno!$B$3:$B$32,0),MATCH(DAY($A234),Turno!$C$1:$V$1,0)),""))</f>
        <v/>
      </c>
      <c r="T234" t="str">
        <f>IF(OR($E234="",$S234=""),"",IFERROR(MAX(0,ROUND((INDEX(Config!$D$15:$D$18,MATCH($S234,Config!$B$15:$B$18,0))-$E234)*1440,0)),""))</f>
        <v/>
      </c>
      <c r="U234" s="13" t="str">
        <f>IF(OR($N234="",$T234=""),"",IFERROR(MAX(0,1-($N234+$T234+MAX(0,N($Q234)))/ROUND((INDEX(Config!$D$15:$D$18,MATCH($S234,Config!$B$15:$B$18,0))-INDEX(Config!$C$15:$C$18,MATCH($S234,Config!$B$15:$B$18,0)))*1440,0)),""))</f>
        <v/>
      </c>
      <c r="V234" s="5"/>
    </row>
    <row r="235" spans="1:22" x14ac:dyDescent="0.25">
      <c r="A235" s="11"/>
      <c r="B235" s="16"/>
      <c r="C235" t="str">
        <f>IFERROR(INDEX(Ejecutivos!$B$2:$B$100,MATCH(B235,Ejecutivos!$A$2:$A$100,0)),"")</f>
        <v/>
      </c>
      <c r="D235" s="32"/>
      <c r="E235" s="32"/>
      <c r="F235" s="32"/>
      <c r="G235" s="33"/>
      <c r="H235" s="34"/>
      <c r="I235" s="34"/>
      <c r="J235" s="34"/>
      <c r="K235" s="34"/>
      <c r="L235" s="18">
        <v>0</v>
      </c>
      <c r="M235" t="str">
        <f t="shared" si="15"/>
        <v/>
      </c>
      <c r="N235" t="str">
        <f>IF(OR($D235="",$S235=""),"",IFERROR(MAX(0,ROUND(($D235-INDEX(Config!$C$15:$C$18,MATCH($S235,Config!$B$15:$B$18,0)))*24*60,0)),""))</f>
        <v/>
      </c>
      <c r="O235" t="str">
        <f t="shared" si="16"/>
        <v/>
      </c>
      <c r="P235" t="str">
        <f t="shared" si="17"/>
        <v/>
      </c>
      <c r="Q235" t="str">
        <f>IF(OR($P235="",$S235=""),"",IFERROR($P235-INDEX(Config!$E$15:$E$18,MATCH($S235,Config!$B$15:$B$18,0)),""))</f>
        <v/>
      </c>
      <c r="R235" t="str">
        <f t="shared" si="18"/>
        <v/>
      </c>
      <c r="S235" s="6" t="str">
        <f>IF(OR($A235="",$C235=""),"",IFERROR(INDEX(Turno!$C$3:$V$32,MATCH($C235,Turno!$B$3:$B$32,0),MATCH(DAY($A235),Turno!$C$1:$V$1,0)),""))</f>
        <v/>
      </c>
      <c r="T235" t="str">
        <f>IF(OR($E235="",$S235=""),"",IFERROR(MAX(0,ROUND((INDEX(Config!$D$15:$D$18,MATCH($S235,Config!$B$15:$B$18,0))-$E235)*1440,0)),""))</f>
        <v/>
      </c>
      <c r="U235" s="13" t="str">
        <f>IF(OR($N235="",$T235=""),"",IFERROR(MAX(0,1-($N235+$T235+MAX(0,N($Q235)))/ROUND((INDEX(Config!$D$15:$D$18,MATCH($S235,Config!$B$15:$B$18,0))-INDEX(Config!$C$15:$C$18,MATCH($S235,Config!$B$15:$B$18,0)))*1440,0)),""))</f>
        <v/>
      </c>
      <c r="V235" s="5"/>
    </row>
    <row r="236" spans="1:22" x14ac:dyDescent="0.25">
      <c r="A236" s="11"/>
      <c r="B236" s="16"/>
      <c r="C236" t="str">
        <f>IFERROR(INDEX(Ejecutivos!$B$2:$B$100,MATCH(B236,Ejecutivos!$A$2:$A$100,0)),"")</f>
        <v/>
      </c>
      <c r="D236" s="32"/>
      <c r="E236" s="32"/>
      <c r="F236" s="32"/>
      <c r="G236" s="33"/>
      <c r="H236" s="34"/>
      <c r="I236" s="34"/>
      <c r="J236" s="34"/>
      <c r="K236" s="34"/>
      <c r="L236" s="18">
        <v>0</v>
      </c>
      <c r="M236" t="str">
        <f t="shared" si="15"/>
        <v/>
      </c>
      <c r="N236" t="str">
        <f>IF(OR($D236="",$S236=""),"",IFERROR(MAX(0,ROUND(($D236-INDEX(Config!$C$15:$C$18,MATCH($S236,Config!$B$15:$B$18,0)))*24*60,0)),""))</f>
        <v/>
      </c>
      <c r="O236" t="str">
        <f t="shared" si="16"/>
        <v/>
      </c>
      <c r="P236" t="str">
        <f t="shared" si="17"/>
        <v/>
      </c>
      <c r="Q236" t="str">
        <f>IF(OR($P236="",$S236=""),"",IFERROR($P236-INDEX(Config!$E$15:$E$18,MATCH($S236,Config!$B$15:$B$18,0)),""))</f>
        <v/>
      </c>
      <c r="R236" t="str">
        <f t="shared" si="18"/>
        <v/>
      </c>
      <c r="S236" s="6" t="str">
        <f>IF(OR($A236="",$C236=""),"",IFERROR(INDEX(Turno!$C$3:$V$32,MATCH($C236,Turno!$B$3:$B$32,0),MATCH(DAY($A236),Turno!$C$1:$V$1,0)),""))</f>
        <v/>
      </c>
      <c r="T236" t="str">
        <f>IF(OR($E236="",$S236=""),"",IFERROR(MAX(0,ROUND((INDEX(Config!$D$15:$D$18,MATCH($S236,Config!$B$15:$B$18,0))-$E236)*1440,0)),""))</f>
        <v/>
      </c>
      <c r="U236" s="13" t="str">
        <f>IF(OR($N236="",$T236=""),"",IFERROR(MAX(0,1-($N236+$T236+MAX(0,N($Q236)))/ROUND((INDEX(Config!$D$15:$D$18,MATCH($S236,Config!$B$15:$B$18,0))-INDEX(Config!$C$15:$C$18,MATCH($S236,Config!$B$15:$B$18,0)))*1440,0)),""))</f>
        <v/>
      </c>
      <c r="V236" s="5"/>
    </row>
    <row r="237" spans="1:22" x14ac:dyDescent="0.25">
      <c r="A237" s="11"/>
      <c r="B237" s="16"/>
      <c r="C237" t="str">
        <f>IFERROR(INDEX(Ejecutivos!$B$2:$B$100,MATCH(B237,Ejecutivos!$A$2:$A$100,0)),"")</f>
        <v/>
      </c>
      <c r="D237" s="32"/>
      <c r="E237" s="32"/>
      <c r="F237" s="32"/>
      <c r="G237" s="33"/>
      <c r="H237" s="34"/>
      <c r="I237" s="34"/>
      <c r="J237" s="34"/>
      <c r="K237" s="34"/>
      <c r="L237" s="18">
        <v>0</v>
      </c>
      <c r="M237" t="str">
        <f t="shared" si="15"/>
        <v/>
      </c>
      <c r="N237" t="str">
        <f>IF(OR($D237="",$S237=""),"",IFERROR(MAX(0,ROUND(($D237-INDEX(Config!$C$15:$C$18,MATCH($S237,Config!$B$15:$B$18,0)))*24*60,0)),""))</f>
        <v/>
      </c>
      <c r="O237" t="str">
        <f t="shared" si="16"/>
        <v/>
      </c>
      <c r="P237" t="str">
        <f t="shared" si="17"/>
        <v/>
      </c>
      <c r="Q237" t="str">
        <f>IF(OR($P237="",$S237=""),"",IFERROR($P237-INDEX(Config!$E$15:$E$18,MATCH($S237,Config!$B$15:$B$18,0)),""))</f>
        <v/>
      </c>
      <c r="R237" t="str">
        <f t="shared" si="18"/>
        <v/>
      </c>
      <c r="S237" s="6" t="str">
        <f>IF(OR($A237="",$C237=""),"",IFERROR(INDEX(Turno!$C$3:$V$32,MATCH($C237,Turno!$B$3:$B$32,0),MATCH(DAY($A237),Turno!$C$1:$V$1,0)),""))</f>
        <v/>
      </c>
      <c r="T237" t="str">
        <f>IF(OR($E237="",$S237=""),"",IFERROR(MAX(0,ROUND((INDEX(Config!$D$15:$D$18,MATCH($S237,Config!$B$15:$B$18,0))-$E237)*1440,0)),""))</f>
        <v/>
      </c>
      <c r="U237" s="13" t="str">
        <f>IF(OR($N237="",$T237=""),"",IFERROR(MAX(0,1-($N237+$T237+MAX(0,N($Q237)))/ROUND((INDEX(Config!$D$15:$D$18,MATCH($S237,Config!$B$15:$B$18,0))-INDEX(Config!$C$15:$C$18,MATCH($S237,Config!$B$15:$B$18,0)))*1440,0)),""))</f>
        <v/>
      </c>
      <c r="V237" s="5"/>
    </row>
    <row r="238" spans="1:22" x14ac:dyDescent="0.25">
      <c r="A238" s="11"/>
      <c r="B238" s="16"/>
      <c r="C238" t="str">
        <f>IFERROR(INDEX(Ejecutivos!$B$2:$B$100,MATCH(B238,Ejecutivos!$A$2:$A$100,0)),"")</f>
        <v/>
      </c>
      <c r="D238" s="32"/>
      <c r="E238" s="32"/>
      <c r="F238" s="32"/>
      <c r="G238" s="33"/>
      <c r="H238" s="34"/>
      <c r="I238" s="34"/>
      <c r="J238" s="34"/>
      <c r="K238" s="34"/>
      <c r="L238" s="18">
        <v>0</v>
      </c>
      <c r="M238" t="str">
        <f t="shared" si="15"/>
        <v/>
      </c>
      <c r="N238" t="str">
        <f>IF(OR($D238="",$S238=""),"",IFERROR(MAX(0,ROUND(($D238-INDEX(Config!$C$15:$C$18,MATCH($S238,Config!$B$15:$B$18,0)))*24*60,0)),""))</f>
        <v/>
      </c>
      <c r="O238" t="str">
        <f t="shared" si="16"/>
        <v/>
      </c>
      <c r="P238" t="str">
        <f t="shared" si="17"/>
        <v/>
      </c>
      <c r="Q238" t="str">
        <f>IF(OR($P238="",$S238=""),"",IFERROR($P238-INDEX(Config!$E$15:$E$18,MATCH($S238,Config!$B$15:$B$18,0)),""))</f>
        <v/>
      </c>
      <c r="R238" t="str">
        <f t="shared" si="18"/>
        <v/>
      </c>
      <c r="S238" s="6" t="str">
        <f>IF(OR($A238="",$C238=""),"",IFERROR(INDEX(Turno!$C$3:$V$32,MATCH($C238,Turno!$B$3:$B$32,0),MATCH(DAY($A238),Turno!$C$1:$V$1,0)),""))</f>
        <v/>
      </c>
      <c r="T238" t="str">
        <f>IF(OR($E238="",$S238=""),"",IFERROR(MAX(0,ROUND((INDEX(Config!$D$15:$D$18,MATCH($S238,Config!$B$15:$B$18,0))-$E238)*1440,0)),""))</f>
        <v/>
      </c>
      <c r="U238" s="13" t="str">
        <f>IF(OR($N238="",$T238=""),"",IFERROR(MAX(0,1-($N238+$T238+MAX(0,N($Q238)))/ROUND((INDEX(Config!$D$15:$D$18,MATCH($S238,Config!$B$15:$B$18,0))-INDEX(Config!$C$15:$C$18,MATCH($S238,Config!$B$15:$B$18,0)))*1440,0)),""))</f>
        <v/>
      </c>
      <c r="V238" s="5"/>
    </row>
    <row r="239" spans="1:22" x14ac:dyDescent="0.25">
      <c r="A239" s="11"/>
      <c r="B239" s="16"/>
      <c r="C239" t="str">
        <f>IFERROR(INDEX(Ejecutivos!$B$2:$B$100,MATCH(B239,Ejecutivos!$A$2:$A$100,0)),"")</f>
        <v/>
      </c>
      <c r="D239" s="28"/>
      <c r="E239" s="28"/>
      <c r="F239" s="28"/>
      <c r="G239" s="29"/>
      <c r="H239" s="30"/>
      <c r="I239" s="30"/>
      <c r="J239" s="30"/>
      <c r="K239" s="30"/>
      <c r="L239" s="18">
        <v>0</v>
      </c>
      <c r="M239" t="str">
        <f t="shared" si="15"/>
        <v/>
      </c>
      <c r="N239" t="str">
        <f>IF(OR($D239="",$S239=""),"",IFERROR(MAX(0,ROUND(($D239-INDEX(Config!$C$15:$C$18,MATCH($S239,Config!$B$15:$B$18,0)))*24*60,0)),""))</f>
        <v/>
      </c>
      <c r="O239" t="str">
        <f t="shared" si="16"/>
        <v/>
      </c>
      <c r="P239" t="str">
        <f t="shared" si="17"/>
        <v/>
      </c>
      <c r="Q239" t="str">
        <f>IF(OR($P239="",$S239=""),"",IFERROR($P239-INDEX(Config!$E$15:$E$18,MATCH($S239,Config!$B$15:$B$18,0)),""))</f>
        <v/>
      </c>
      <c r="R239" t="str">
        <f t="shared" si="18"/>
        <v/>
      </c>
      <c r="S239" s="6" t="str">
        <f>IF(OR($A239="",$C239=""),"",IFERROR(INDEX(Turno!$C$3:$V$32,MATCH($C239,Turno!$B$3:$B$32,0),MATCH(DAY($A239),Turno!$C$1:$V$1,0)),""))</f>
        <v/>
      </c>
      <c r="T239" t="str">
        <f>IF(OR($E239="",$S239=""),"",IFERROR(MAX(0,ROUND((INDEX(Config!$D$15:$D$18,MATCH($S239,Config!$B$15:$B$18,0))-$E239)*1440,0)),""))</f>
        <v/>
      </c>
      <c r="U239" s="13" t="str">
        <f>IF(OR($N239="",$T239=""),"",IFERROR(MAX(0,1-($N239+$T239+MAX(0,N($Q239)))/ROUND((INDEX(Config!$D$15:$D$18,MATCH($S239,Config!$B$15:$B$18,0))-INDEX(Config!$C$15:$C$18,MATCH($S239,Config!$B$15:$B$18,0)))*1440,0)),""))</f>
        <v/>
      </c>
      <c r="V239" s="5"/>
    </row>
    <row r="240" spans="1:22" x14ac:dyDescent="0.25">
      <c r="A240" s="11"/>
      <c r="B240" s="16"/>
      <c r="C240" t="str">
        <f>IFERROR(INDEX(Ejecutivos!$B$2:$B$100,MATCH(B240,Ejecutivos!$A$2:$A$100,0)),"")</f>
        <v/>
      </c>
      <c r="D240" s="28"/>
      <c r="E240" s="28"/>
      <c r="F240" s="28"/>
      <c r="G240" s="29"/>
      <c r="H240" s="30"/>
      <c r="I240" s="30"/>
      <c r="J240" s="30"/>
      <c r="K240" s="30"/>
      <c r="L240" s="18">
        <v>0</v>
      </c>
      <c r="M240" t="str">
        <f t="shared" si="15"/>
        <v/>
      </c>
      <c r="N240" t="str">
        <f>IF(OR($D240="",$S240=""),"",IFERROR(MAX(0,ROUND(($D240-INDEX(Config!$C$15:$C$18,MATCH($S240,Config!$B$15:$B$18,0)))*24*60,0)),""))</f>
        <v/>
      </c>
      <c r="O240" t="str">
        <f t="shared" si="16"/>
        <v/>
      </c>
      <c r="P240" t="str">
        <f t="shared" si="17"/>
        <v/>
      </c>
      <c r="Q240" t="str">
        <f>IF(OR($P240="",$S240=""),"",IFERROR($P240-INDEX(Config!$E$15:$E$18,MATCH($S240,Config!$B$15:$B$18,0)),""))</f>
        <v/>
      </c>
      <c r="R240" t="str">
        <f t="shared" si="18"/>
        <v/>
      </c>
      <c r="S240" s="6" t="str">
        <f>IF(OR($A240="",$C240=""),"",IFERROR(INDEX(Turno!$C$3:$V$32,MATCH($C240,Turno!$B$3:$B$32,0),MATCH(DAY($A240),Turno!$C$1:$V$1,0)),""))</f>
        <v/>
      </c>
      <c r="T240" t="str">
        <f>IF(OR($E240="",$S240=""),"",IFERROR(MAX(0,ROUND((INDEX(Config!$D$15:$D$18,MATCH($S240,Config!$B$15:$B$18,0))-$E240)*1440,0)),""))</f>
        <v/>
      </c>
      <c r="U240" s="13" t="str">
        <f>IF(OR($N240="",$T240=""),"",IFERROR(MAX(0,1-($N240+$T240+MAX(0,N($Q240)))/ROUND((INDEX(Config!$D$15:$D$18,MATCH($S240,Config!$B$15:$B$18,0))-INDEX(Config!$C$15:$C$18,MATCH($S240,Config!$B$15:$B$18,0)))*1440,0)),""))</f>
        <v/>
      </c>
      <c r="V240" s="5"/>
    </row>
    <row r="241" spans="1:22" x14ac:dyDescent="0.25">
      <c r="A241" s="11"/>
      <c r="B241" s="16"/>
      <c r="C241" t="str">
        <f>IFERROR(INDEX(Ejecutivos!$B$2:$B$100,MATCH(B241,Ejecutivos!$A$2:$A$100,0)),"")</f>
        <v/>
      </c>
      <c r="D241" s="28"/>
      <c r="E241" s="28"/>
      <c r="F241" s="28"/>
      <c r="G241" s="29"/>
      <c r="H241" s="30"/>
      <c r="I241" s="30"/>
      <c r="J241" s="30"/>
      <c r="K241" s="30"/>
      <c r="L241" s="18">
        <v>0</v>
      </c>
      <c r="M241" t="str">
        <f t="shared" si="15"/>
        <v/>
      </c>
      <c r="N241" t="str">
        <f>IF(OR($D241="",$S241=""),"",IFERROR(MAX(0,ROUND(($D241-INDEX(Config!$C$15:$C$18,MATCH($S241,Config!$B$15:$B$18,0)))*24*60,0)),""))</f>
        <v/>
      </c>
      <c r="O241" t="str">
        <f t="shared" si="16"/>
        <v/>
      </c>
      <c r="P241" t="str">
        <f t="shared" si="17"/>
        <v/>
      </c>
      <c r="Q241" t="str">
        <f>IF(OR($P241="",$S241=""),"",IFERROR($P241-INDEX(Config!$E$15:$E$18,MATCH($S241,Config!$B$15:$B$18,0)),""))</f>
        <v/>
      </c>
      <c r="R241" t="str">
        <f t="shared" si="18"/>
        <v/>
      </c>
      <c r="S241" s="6" t="str">
        <f>IF(OR($A241="",$C241=""),"",IFERROR(INDEX(Turno!$C$3:$V$32,MATCH($C241,Turno!$B$3:$B$32,0),MATCH(DAY($A241),Turno!$C$1:$V$1,0)),""))</f>
        <v/>
      </c>
      <c r="T241" t="str">
        <f>IF(OR($E241="",$S241=""),"",IFERROR(MAX(0,ROUND((INDEX(Config!$D$15:$D$18,MATCH($S241,Config!$B$15:$B$18,0))-$E241)*1440,0)),""))</f>
        <v/>
      </c>
      <c r="U241" s="13" t="str">
        <f>IF(OR($N241="",$T241=""),"",IFERROR(MAX(0,1-($N241+$T241+MAX(0,N($Q241)))/ROUND((INDEX(Config!$D$15:$D$18,MATCH($S241,Config!$B$15:$B$18,0))-INDEX(Config!$C$15:$C$18,MATCH($S241,Config!$B$15:$B$18,0)))*1440,0)),""))</f>
        <v/>
      </c>
      <c r="V241" s="5"/>
    </row>
    <row r="242" spans="1:22" x14ac:dyDescent="0.25">
      <c r="A242" s="11"/>
      <c r="B242" s="16"/>
      <c r="C242" t="str">
        <f>IFERROR(INDEX(Ejecutivos!$B$2:$B$100,MATCH(B242,Ejecutivos!$A$2:$A$100,0)),"")</f>
        <v/>
      </c>
      <c r="D242" s="28"/>
      <c r="E242" s="28"/>
      <c r="F242" s="28"/>
      <c r="G242" s="29"/>
      <c r="H242" s="30"/>
      <c r="I242" s="30"/>
      <c r="J242" s="30"/>
      <c r="K242" s="30"/>
      <c r="L242" s="18">
        <v>0</v>
      </c>
      <c r="M242" t="str">
        <f t="shared" si="15"/>
        <v/>
      </c>
      <c r="N242" t="str">
        <f>IF(OR($D242="",$S242=""),"",IFERROR(MAX(0,ROUND(($D242-INDEX(Config!$C$15:$C$18,MATCH($S242,Config!$B$15:$B$18,0)))*24*60,0)),""))</f>
        <v/>
      </c>
      <c r="O242" t="str">
        <f t="shared" si="16"/>
        <v/>
      </c>
      <c r="P242" t="str">
        <f t="shared" si="17"/>
        <v/>
      </c>
      <c r="Q242" t="str">
        <f>IF(OR($P242="",$S242=""),"",IFERROR($P242-INDEX(Config!$E$15:$E$18,MATCH($S242,Config!$B$15:$B$18,0)),""))</f>
        <v/>
      </c>
      <c r="R242" t="str">
        <f t="shared" si="18"/>
        <v/>
      </c>
      <c r="S242" s="6" t="str">
        <f>IF(OR($A242="",$C242=""),"",IFERROR(INDEX(Turno!$C$3:$V$32,MATCH($C242,Turno!$B$3:$B$32,0),MATCH(DAY($A242),Turno!$C$1:$V$1,0)),""))</f>
        <v/>
      </c>
      <c r="T242" t="str">
        <f>IF(OR($E242="",$S242=""),"",IFERROR(MAX(0,ROUND((INDEX(Config!$D$15:$D$18,MATCH($S242,Config!$B$15:$B$18,0))-$E242)*1440,0)),""))</f>
        <v/>
      </c>
      <c r="U242" s="13" t="str">
        <f>IF(OR($N242="",$T242=""),"",IFERROR(MAX(0,1-($N242+$T242+MAX(0,N($Q242)))/ROUND((INDEX(Config!$D$15:$D$18,MATCH($S242,Config!$B$15:$B$18,0))-INDEX(Config!$C$15:$C$18,MATCH($S242,Config!$B$15:$B$18,0)))*1440,0)),""))</f>
        <v/>
      </c>
      <c r="V242" s="5"/>
    </row>
    <row r="243" spans="1:22" x14ac:dyDescent="0.25">
      <c r="A243" s="11"/>
      <c r="B243" s="16"/>
      <c r="C243" t="str">
        <f>IFERROR(INDEX([1]Ejecutivos!$B$2:$B$101,MATCH(B243,[1]Ejecutivos!$A$2:$A$101,0)),"")</f>
        <v/>
      </c>
      <c r="D243" s="42"/>
      <c r="E243" s="42"/>
      <c r="F243" s="42"/>
      <c r="G243" s="42"/>
      <c r="H243" s="43"/>
      <c r="I243" s="43"/>
      <c r="J243" s="43"/>
      <c r="K243" s="42"/>
      <c r="L243" s="18">
        <v>0</v>
      </c>
      <c r="M243" t="str">
        <f t="shared" si="15"/>
        <v/>
      </c>
      <c r="N243" t="str">
        <f>IF(OR($D243="",$S243=""),"",IFERROR(MAX(0,ROUND(($D243-INDEX(Config!$C$15:$C$18,MATCH($S243,Config!$B$15:$B$18,0)))*24*60,0)),""))</f>
        <v/>
      </c>
      <c r="O243" t="str">
        <f t="shared" si="16"/>
        <v/>
      </c>
      <c r="P243" t="str">
        <f t="shared" si="17"/>
        <v/>
      </c>
      <c r="Q243" t="str">
        <f>IF(OR($P243="",$S243=""),"",IFERROR($P243-INDEX(Config!$E$15:$E$18,MATCH($S243,Config!$B$15:$B$18,0)),""))</f>
        <v/>
      </c>
      <c r="R243" t="str">
        <f t="shared" si="18"/>
        <v/>
      </c>
      <c r="S243" s="6" t="str">
        <f>IF(OR($A243="",$C243=""),"",IFERROR(INDEX(Turno!$C$3:$V$32,MATCH($C243,Turno!$B$3:$B$32,0),MATCH(DAY($A243),Turno!$C$1:$V$1,0)),""))</f>
        <v/>
      </c>
      <c r="T243" t="str">
        <f>IF(OR($E243="",$S243=""),"",IFERROR(MAX(0,ROUND((INDEX(Config!$D$15:$D$18,MATCH($S243,Config!$B$15:$B$18,0))-$E243)*1440,0)),""))</f>
        <v/>
      </c>
      <c r="U243" s="13" t="str">
        <f>IF(OR($N243="",$T243=""),"",IFERROR(MAX(0,1-($N243+$T243+MAX(0,N($Q243)))/ROUND((INDEX(Config!$D$15:$D$18,MATCH($S243,Config!$B$15:$B$18,0))-INDEX(Config!$C$15:$C$18,MATCH($S243,Config!$B$15:$B$18,0)))*1440,0)),""))</f>
        <v/>
      </c>
      <c r="V243" s="5"/>
    </row>
    <row r="244" spans="1:22" x14ac:dyDescent="0.25">
      <c r="A244" s="11"/>
      <c r="B244" s="16"/>
      <c r="C244" t="str">
        <f>IFERROR(INDEX([1]Ejecutivos!$B$2:$B$101,MATCH(B244,[1]Ejecutivos!$A$2:$A$101,0)),"")</f>
        <v/>
      </c>
      <c r="D244" s="44"/>
      <c r="E244" s="44"/>
      <c r="F244" s="44"/>
      <c r="G244" s="44"/>
      <c r="H244" s="45"/>
      <c r="I244" s="45"/>
      <c r="J244" s="45"/>
      <c r="K244" s="44"/>
      <c r="L244" s="18">
        <v>0</v>
      </c>
      <c r="M244" t="str">
        <f t="shared" si="15"/>
        <v/>
      </c>
      <c r="N244" t="str">
        <f>IF(OR($D244="",$S244=""),"",IFERROR(MAX(0,ROUND(($D244-INDEX(Config!$C$15:$C$18,MATCH($S244,Config!$B$15:$B$18,0)))*24*60,0)),""))</f>
        <v/>
      </c>
      <c r="O244" t="str">
        <f t="shared" si="16"/>
        <v/>
      </c>
      <c r="P244" t="str">
        <f t="shared" si="17"/>
        <v/>
      </c>
      <c r="Q244" t="str">
        <f>IF(OR($P244="",$S244=""),"",IFERROR($P244-INDEX(Config!$E$15:$E$18,MATCH($S244,Config!$B$15:$B$18,0)),""))</f>
        <v/>
      </c>
      <c r="R244" t="str">
        <f t="shared" si="18"/>
        <v/>
      </c>
      <c r="S244" s="6" t="str">
        <f>IF(OR($A244="",$C244=""),"",IFERROR(INDEX(Turno!$C$3:$V$32,MATCH($C244,Turno!$B$3:$B$32,0),MATCH(DAY($A244),Turno!$C$1:$V$1,0)),""))</f>
        <v/>
      </c>
      <c r="T244" t="str">
        <f>IF(OR($E244="",$S244=""),"",IFERROR(MAX(0,ROUND((INDEX(Config!$D$15:$D$18,MATCH($S244,Config!$B$15:$B$18,0))-$E244)*1440,0)),""))</f>
        <v/>
      </c>
      <c r="U244" s="13" t="str">
        <f>IF(OR($N244="",$T244=""),"",IFERROR(MAX(0,1-($N244+$T244+MAX(0,N($Q244)))/ROUND((INDEX(Config!$D$15:$D$18,MATCH($S244,Config!$B$15:$B$18,0))-INDEX(Config!$C$15:$C$18,MATCH($S244,Config!$B$15:$B$18,0)))*1440,0)),""))</f>
        <v/>
      </c>
      <c r="V244" s="5"/>
    </row>
    <row r="245" spans="1:22" x14ac:dyDescent="0.25">
      <c r="A245" s="11"/>
      <c r="B245" s="16"/>
      <c r="C245" t="str">
        <f>IFERROR(INDEX([1]Ejecutivos!$B$2:$B$101,MATCH(B245,[1]Ejecutivos!$A$2:$A$101,0)),"")</f>
        <v/>
      </c>
      <c r="D245" s="42"/>
      <c r="E245" s="42"/>
      <c r="F245" s="42"/>
      <c r="G245" s="42"/>
      <c r="H245" s="43"/>
      <c r="I245" s="43"/>
      <c r="J245" s="46"/>
      <c r="K245" s="42"/>
      <c r="L245" s="18">
        <v>0</v>
      </c>
      <c r="M245" t="str">
        <f t="shared" ref="M245:M308" si="19">IF(OR(D245="",E245=""),"",ROUND(((E245-D245)*24)-((G245-F245)*24)-((H245+I245)/60),2))</f>
        <v/>
      </c>
      <c r="N245" t="str">
        <f>IF(OR($D245="",$S245=""),"",IFERROR(MAX(0,ROUND(($D245-INDEX(Config!$C$15:$C$18,MATCH($S245,Config!$B$15:$B$18,0)))*24*60,0)),""))</f>
        <v/>
      </c>
      <c r="O245" t="str">
        <f t="shared" ref="O245:O308" si="20">IF(OR(F245="",G245=""),"",ROUND((G245-F245)*24*60,0))</f>
        <v/>
      </c>
      <c r="P245" t="str">
        <f t="shared" ref="P245:P308" si="21">IF(O245="","",O245+H245+I245)</f>
        <v/>
      </c>
      <c r="Q245" t="str">
        <f>IF(OR($P245="",$S245=""),"",IFERROR($P245-INDEX(Config!$E$15:$E$18,MATCH($S245,Config!$B$15:$B$18,0)),""))</f>
        <v/>
      </c>
      <c r="R245" t="str">
        <f t="shared" ref="R245:R308" si="22">IF($A245="","",IF($D245="","Ausente",IF($N245="","",IF($N245&gt;0,"Atrasado","Puntual"))))</f>
        <v/>
      </c>
      <c r="S245" s="6" t="str">
        <f>IF(OR($A245="",$C245=""),"",IFERROR(INDEX(Turno!$C$3:$V$32,MATCH($C245,Turno!$B$3:$B$32,0),MATCH(DAY($A245),Turno!$C$1:$V$1,0)),""))</f>
        <v/>
      </c>
      <c r="T245" t="str">
        <f>IF(OR($E245="",$S245=""),"",IFERROR(MAX(0,ROUND((INDEX(Config!$D$15:$D$18,MATCH($S245,Config!$B$15:$B$18,0))-$E245)*1440,0)),""))</f>
        <v/>
      </c>
      <c r="U245" s="13" t="str">
        <f>IF(OR($N245="",$T245=""),"",IFERROR(MAX(0,1-($N245+$T245+MAX(0,N($Q245)))/ROUND((INDEX(Config!$D$15:$D$18,MATCH($S245,Config!$B$15:$B$18,0))-INDEX(Config!$C$15:$C$18,MATCH($S245,Config!$B$15:$B$18,0)))*1440,0)),""))</f>
        <v/>
      </c>
      <c r="V245" s="5"/>
    </row>
    <row r="246" spans="1:22" x14ac:dyDescent="0.25">
      <c r="A246" s="11"/>
      <c r="B246" s="16"/>
      <c r="C246" t="str">
        <f>IFERROR(INDEX([1]Ejecutivos!$B$2:$B$101,MATCH(B246,[1]Ejecutivos!$A$2:$A$101,0)),"")</f>
        <v/>
      </c>
      <c r="D246" s="44"/>
      <c r="E246" s="44"/>
      <c r="F246" s="44"/>
      <c r="G246" s="44"/>
      <c r="H246" s="45"/>
      <c r="I246" s="45"/>
      <c r="J246" s="45"/>
      <c r="K246" s="44"/>
      <c r="L246" s="18">
        <v>0</v>
      </c>
      <c r="M246" t="str">
        <f t="shared" si="19"/>
        <v/>
      </c>
      <c r="N246" t="str">
        <f>IF(OR($D246="",$S246=""),"",IFERROR(MAX(0,ROUND(($D246-INDEX(Config!$C$15:$C$18,MATCH($S246,Config!$B$15:$B$18,0)))*24*60,0)),""))</f>
        <v/>
      </c>
      <c r="O246" t="str">
        <f t="shared" si="20"/>
        <v/>
      </c>
      <c r="P246" t="str">
        <f t="shared" si="21"/>
        <v/>
      </c>
      <c r="Q246" t="str">
        <f>IF(OR($P246="",$S246=""),"",IFERROR($P246-INDEX(Config!$E$15:$E$18,MATCH($S246,Config!$B$15:$B$18,0)),""))</f>
        <v/>
      </c>
      <c r="R246" t="str">
        <f t="shared" si="22"/>
        <v/>
      </c>
      <c r="S246" s="6" t="str">
        <f>IF(OR($A246="",$C246=""),"",IFERROR(INDEX(Turno!$C$3:$V$32,MATCH($C246,Turno!$B$3:$B$32,0),MATCH(DAY($A246),Turno!$C$1:$V$1,0)),""))</f>
        <v/>
      </c>
      <c r="T246" t="str">
        <f>IF(OR($E246="",$S246=""),"",IFERROR(MAX(0,ROUND((INDEX(Config!$D$15:$D$18,MATCH($S246,Config!$B$15:$B$18,0))-$E246)*1440,0)),""))</f>
        <v/>
      </c>
      <c r="U246" s="13" t="str">
        <f>IF(OR($N246="",$T246=""),"",IFERROR(MAX(0,1-($N246+$T246+MAX(0,N($Q246)))/ROUND((INDEX(Config!$D$15:$D$18,MATCH($S246,Config!$B$15:$B$18,0))-INDEX(Config!$C$15:$C$18,MATCH($S246,Config!$B$15:$B$18,0)))*1440,0)),""))</f>
        <v/>
      </c>
      <c r="V246" s="5"/>
    </row>
    <row r="247" spans="1:22" x14ac:dyDescent="0.25">
      <c r="A247" s="11"/>
      <c r="B247" s="16"/>
      <c r="C247" t="str">
        <f>IFERROR(INDEX([1]Ejecutivos!$B$2:$B$101,MATCH(B247,[1]Ejecutivos!$A$2:$A$101,0)),"")</f>
        <v/>
      </c>
      <c r="D247" s="42"/>
      <c r="E247" s="42"/>
      <c r="F247" s="42"/>
      <c r="G247" s="42"/>
      <c r="H247" s="43"/>
      <c r="I247" s="43"/>
      <c r="J247" s="43"/>
      <c r="K247" s="42"/>
      <c r="L247" s="18">
        <v>0</v>
      </c>
      <c r="M247" t="str">
        <f t="shared" si="19"/>
        <v/>
      </c>
      <c r="N247" t="str">
        <f>IF(OR($D247="",$S247=""),"",IFERROR(MAX(0,ROUND(($D247-INDEX(Config!$C$15:$C$18,MATCH($S247,Config!$B$15:$B$18,0)))*24*60,0)),""))</f>
        <v/>
      </c>
      <c r="O247" t="str">
        <f t="shared" si="20"/>
        <v/>
      </c>
      <c r="P247" t="str">
        <f t="shared" si="21"/>
        <v/>
      </c>
      <c r="Q247" t="str">
        <f>IF(OR($P247="",$S247=""),"",IFERROR($P247-INDEX(Config!$E$15:$E$18,MATCH($S247,Config!$B$15:$B$18,0)),""))</f>
        <v/>
      </c>
      <c r="R247" t="str">
        <f t="shared" si="22"/>
        <v/>
      </c>
      <c r="S247" s="6" t="str">
        <f>IF(OR($A247="",$C247=""),"",IFERROR(INDEX(Turno!$C$3:$V$32,MATCH($C247,Turno!$B$3:$B$32,0),MATCH(DAY($A247),Turno!$C$1:$V$1,0)),""))</f>
        <v/>
      </c>
      <c r="T247" t="str">
        <f>IF(OR($E247="",$S247=""),"",IFERROR(MAX(0,ROUND((INDEX(Config!$D$15:$D$18,MATCH($S247,Config!$B$15:$B$18,0))-$E247)*1440,0)),""))</f>
        <v/>
      </c>
      <c r="U247" s="13" t="str">
        <f>IF(OR($N247="",$T247=""),"",IFERROR(MAX(0,1-($N247+$T247+MAX(0,N($Q247)))/ROUND((INDEX(Config!$D$15:$D$18,MATCH($S247,Config!$B$15:$B$18,0))-INDEX(Config!$C$15:$C$18,MATCH($S247,Config!$B$15:$B$18,0)))*1440,0)),""))</f>
        <v/>
      </c>
      <c r="V247" s="5"/>
    </row>
    <row r="248" spans="1:22" x14ac:dyDescent="0.25">
      <c r="A248" s="11"/>
      <c r="B248" s="17"/>
      <c r="C248" t="str">
        <f>IFERROR(INDEX([1]Ejecutivos!$B$2:$B$101,MATCH(B248,[1]Ejecutivos!$A$2:$A$101,0)),"")</f>
        <v/>
      </c>
      <c r="D248" s="44"/>
      <c r="E248" s="44"/>
      <c r="F248" s="44"/>
      <c r="G248" s="44"/>
      <c r="H248" s="45"/>
      <c r="I248" s="45"/>
      <c r="J248" s="45"/>
      <c r="K248" s="44"/>
      <c r="L248" s="18">
        <v>0</v>
      </c>
      <c r="M248" t="str">
        <f t="shared" si="19"/>
        <v/>
      </c>
      <c r="N248" t="str">
        <f>IF(OR($D248="",$S248=""),"",IFERROR(MAX(0,ROUND(($D248-INDEX(Config!$C$15:$C$18,MATCH($S248,Config!$B$15:$B$18,0)))*24*60,0)),""))</f>
        <v/>
      </c>
      <c r="O248" t="str">
        <f t="shared" si="20"/>
        <v/>
      </c>
      <c r="P248" t="str">
        <f t="shared" si="21"/>
        <v/>
      </c>
      <c r="Q248" t="str">
        <f>IF(OR($P248="",$S248=""),"",IFERROR($P248-INDEX(Config!$E$15:$E$18,MATCH($S248,Config!$B$15:$B$18,0)),""))</f>
        <v/>
      </c>
      <c r="R248" t="str">
        <f t="shared" si="22"/>
        <v/>
      </c>
      <c r="S248" s="6" t="str">
        <f>IF(OR($A248="",$C248=""),"",IFERROR(INDEX(Turno!$C$3:$V$32,MATCH($C248,Turno!$B$3:$B$32,0),MATCH(DAY($A248),Turno!$C$1:$V$1,0)),""))</f>
        <v/>
      </c>
      <c r="T248" t="str">
        <f>IF(OR($E248="",$S248=""),"",IFERROR(MAX(0,ROUND((INDEX(Config!$D$15:$D$18,MATCH($S248,Config!$B$15:$B$18,0))-$E248)*1440,0)),""))</f>
        <v/>
      </c>
      <c r="U248" s="13" t="str">
        <f>IF(OR($N248="",$T248=""),"",IFERROR(MAX(0,1-($N248+$T248+MAX(0,N($Q248)))/ROUND((INDEX(Config!$D$15:$D$18,MATCH($S248,Config!$B$15:$B$18,0))-INDEX(Config!$C$15:$C$18,MATCH($S248,Config!$B$15:$B$18,0)))*1440,0)),""))</f>
        <v/>
      </c>
      <c r="V248" s="5"/>
    </row>
    <row r="249" spans="1:22" x14ac:dyDescent="0.25">
      <c r="A249" s="11"/>
      <c r="B249" s="17"/>
      <c r="C249" t="str">
        <f>IFERROR(INDEX([1]Ejecutivos!$B$2:$B$101,MATCH(B249,[1]Ejecutivos!$A$2:$A$101,0)),"")</f>
        <v/>
      </c>
      <c r="D249" s="42"/>
      <c r="E249" s="42"/>
      <c r="F249" s="42"/>
      <c r="G249" s="42"/>
      <c r="H249" s="43"/>
      <c r="I249" s="43"/>
      <c r="J249" s="43"/>
      <c r="K249" s="42"/>
      <c r="L249" s="18">
        <v>0</v>
      </c>
      <c r="M249" t="str">
        <f t="shared" si="19"/>
        <v/>
      </c>
      <c r="N249" t="str">
        <f>IF(OR($D249="",$S249=""),"",IFERROR(MAX(0,ROUND(($D249-INDEX(Config!$C$15:$C$18,MATCH($S249,Config!$B$15:$B$18,0)))*24*60,0)),""))</f>
        <v/>
      </c>
      <c r="O249" t="str">
        <f t="shared" si="20"/>
        <v/>
      </c>
      <c r="P249" t="str">
        <f t="shared" si="21"/>
        <v/>
      </c>
      <c r="Q249" t="str">
        <f>IF(OR($P249="",$S249=""),"",IFERROR($P249-INDEX(Config!$E$15:$E$18,MATCH($S249,Config!$B$15:$B$18,0)),""))</f>
        <v/>
      </c>
      <c r="R249" t="str">
        <f t="shared" si="22"/>
        <v/>
      </c>
      <c r="S249" s="6" t="str">
        <f>IF(OR($A249="",$C249=""),"",IFERROR(INDEX(Turno!$C$3:$V$32,MATCH($C249,Turno!$B$3:$B$32,0),MATCH(DAY($A249),Turno!$C$1:$V$1,0)),""))</f>
        <v/>
      </c>
      <c r="T249" t="str">
        <f>IF(OR($E249="",$S249=""),"",IFERROR(MAX(0,ROUND((INDEX(Config!$D$15:$D$18,MATCH($S249,Config!$B$15:$B$18,0))-$E249)*1440,0)),""))</f>
        <v/>
      </c>
      <c r="U249" s="13" t="str">
        <f>IF(OR($N249="",$T249=""),"",IFERROR(MAX(0,1-($N249+$T249+MAX(0,N($Q249)))/ROUND((INDEX(Config!$D$15:$D$18,MATCH($S249,Config!$B$15:$B$18,0))-INDEX(Config!$C$15:$C$18,MATCH($S249,Config!$B$15:$B$18,0)))*1440,0)),""))</f>
        <v/>
      </c>
      <c r="V249" s="5"/>
    </row>
    <row r="250" spans="1:22" x14ac:dyDescent="0.25">
      <c r="A250" s="11"/>
      <c r="B250" s="17"/>
      <c r="C250" t="str">
        <f>IFERROR(INDEX([1]Ejecutivos!$B$2:$B$101,MATCH(B250,[1]Ejecutivos!$A$2:$A$101,0)),"")</f>
        <v/>
      </c>
      <c r="D250" s="44"/>
      <c r="E250" s="44"/>
      <c r="F250" s="44"/>
      <c r="G250" s="44"/>
      <c r="H250" s="45"/>
      <c r="I250" s="45"/>
      <c r="J250" s="45"/>
      <c r="K250" s="44"/>
      <c r="L250" s="18">
        <v>0</v>
      </c>
      <c r="M250" t="str">
        <f t="shared" si="19"/>
        <v/>
      </c>
      <c r="N250" t="str">
        <f>IF(OR($D250="",$S250=""),"",IFERROR(MAX(0,ROUND(($D250-INDEX(Config!$C$15:$C$18,MATCH($S250,Config!$B$15:$B$18,0)))*24*60,0)),""))</f>
        <v/>
      </c>
      <c r="O250" t="str">
        <f t="shared" si="20"/>
        <v/>
      </c>
      <c r="P250" t="str">
        <f t="shared" si="21"/>
        <v/>
      </c>
      <c r="Q250" t="str">
        <f>IF(OR($P250="",$S250=""),"",IFERROR($P250-INDEX(Config!$E$15:$E$18,MATCH($S250,Config!$B$15:$B$18,0)),""))</f>
        <v/>
      </c>
      <c r="R250" t="str">
        <f t="shared" si="22"/>
        <v/>
      </c>
      <c r="S250" s="6" t="str">
        <f>IF(OR($A250="",$C250=""),"",IFERROR(INDEX(Turno!$C$3:$V$32,MATCH($C250,Turno!$B$3:$B$32,0),MATCH(DAY($A250),Turno!$C$1:$V$1,0)),""))</f>
        <v/>
      </c>
      <c r="T250" t="str">
        <f>IF(OR($E250="",$S250=""),"",IFERROR(MAX(0,ROUND((INDEX(Config!$D$15:$D$18,MATCH($S250,Config!$B$15:$B$18,0))-$E250)*1440,0)),""))</f>
        <v/>
      </c>
      <c r="U250" s="13" t="str">
        <f>IF(OR($N250="",$T250=""),"",IFERROR(MAX(0,1-($N250+$T250+MAX(0,N($Q250)))/ROUND((INDEX(Config!$D$15:$D$18,MATCH($S250,Config!$B$15:$B$18,0))-INDEX(Config!$C$15:$C$18,MATCH($S250,Config!$B$15:$B$18,0)))*1440,0)),""))</f>
        <v/>
      </c>
      <c r="V250" s="5"/>
    </row>
    <row r="251" spans="1:22" x14ac:dyDescent="0.25">
      <c r="A251" s="11"/>
      <c r="B251" s="17"/>
      <c r="C251" t="str">
        <f>IFERROR(INDEX([1]Ejecutivos!$B$2:$B$101,MATCH(B251,[1]Ejecutivos!$A$2:$A$101,0)),"")</f>
        <v/>
      </c>
      <c r="D251" s="42"/>
      <c r="E251" s="42"/>
      <c r="F251" s="42"/>
      <c r="G251" s="42"/>
      <c r="H251" s="43"/>
      <c r="I251" s="43"/>
      <c r="J251" s="43"/>
      <c r="K251" s="42"/>
      <c r="L251" s="18">
        <v>0</v>
      </c>
      <c r="M251" t="str">
        <f t="shared" si="19"/>
        <v/>
      </c>
      <c r="N251" t="str">
        <f>IF(OR($D251="",$S251=""),"",IFERROR(MAX(0,ROUND(($D251-INDEX(Config!$C$15:$C$18,MATCH($S251,Config!$B$15:$B$18,0)))*24*60,0)),""))</f>
        <v/>
      </c>
      <c r="O251" t="str">
        <f t="shared" si="20"/>
        <v/>
      </c>
      <c r="P251" t="str">
        <f t="shared" si="21"/>
        <v/>
      </c>
      <c r="Q251" t="str">
        <f>IF(OR($P251="",$S251=""),"",IFERROR($P251-INDEX(Config!$E$15:$E$18,MATCH($S251,Config!$B$15:$B$18,0)),""))</f>
        <v/>
      </c>
      <c r="R251" t="str">
        <f t="shared" si="22"/>
        <v/>
      </c>
      <c r="S251" s="6" t="str">
        <f>IF(OR($A251="",$C251=""),"",IFERROR(INDEX(Turno!$C$3:$V$32,MATCH($C251,Turno!$B$3:$B$32,0),MATCH(DAY($A251),Turno!$C$1:$V$1,0)),""))</f>
        <v/>
      </c>
      <c r="T251" t="str">
        <f>IF(OR($E251="",$S251=""),"",IFERROR(MAX(0,ROUND((INDEX(Config!$D$15:$D$18,MATCH($S251,Config!$B$15:$B$18,0))-$E251)*1440,0)),""))</f>
        <v/>
      </c>
      <c r="U251" s="13" t="str">
        <f>IF(OR($N251="",$T251=""),"",IFERROR(MAX(0,1-($N251+$T251+MAX(0,N($Q251)))/ROUND((INDEX(Config!$D$15:$D$18,MATCH($S251,Config!$B$15:$B$18,0))-INDEX(Config!$C$15:$C$18,MATCH($S251,Config!$B$15:$B$18,0)))*1440,0)),""))</f>
        <v/>
      </c>
      <c r="V251" s="5"/>
    </row>
    <row r="252" spans="1:22" x14ac:dyDescent="0.25">
      <c r="A252" s="11"/>
      <c r="B252" s="17"/>
      <c r="C252" t="str">
        <f>IFERROR(INDEX([1]Ejecutivos!$B$2:$B$101,MATCH(B252,[1]Ejecutivos!$A$2:$A$101,0)),"")</f>
        <v/>
      </c>
      <c r="D252" s="44"/>
      <c r="E252" s="44"/>
      <c r="F252" s="44"/>
      <c r="G252" s="44"/>
      <c r="H252" s="45"/>
      <c r="I252" s="45"/>
      <c r="J252" s="45"/>
      <c r="K252" s="44"/>
      <c r="L252" s="18">
        <v>0</v>
      </c>
      <c r="M252" t="str">
        <f t="shared" si="19"/>
        <v/>
      </c>
      <c r="N252" t="str">
        <f>IF(OR($D252="",$S252=""),"",IFERROR(MAX(0,ROUND(($D252-INDEX(Config!$C$15:$C$18,MATCH($S252,Config!$B$15:$B$18,0)))*24*60,0)),""))</f>
        <v/>
      </c>
      <c r="O252" t="str">
        <f t="shared" si="20"/>
        <v/>
      </c>
      <c r="P252" t="str">
        <f t="shared" si="21"/>
        <v/>
      </c>
      <c r="Q252" t="str">
        <f>IF(OR($P252="",$S252=""),"",IFERROR($P252-INDEX(Config!$E$15:$E$18,MATCH($S252,Config!$B$15:$B$18,0)),""))</f>
        <v/>
      </c>
      <c r="R252" t="str">
        <f t="shared" si="22"/>
        <v/>
      </c>
      <c r="S252" s="6" t="str">
        <f>IF(OR($A252="",$C252=""),"",IFERROR(INDEX(Turno!$C$3:$V$32,MATCH($C252,Turno!$B$3:$B$32,0),MATCH(DAY($A252),Turno!$C$1:$V$1,0)),""))</f>
        <v/>
      </c>
      <c r="T252" t="str">
        <f>IF(OR($E252="",$S252=""),"",IFERROR(MAX(0,ROUND((INDEX(Config!$D$15:$D$18,MATCH($S252,Config!$B$15:$B$18,0))-$E252)*1440,0)),""))</f>
        <v/>
      </c>
      <c r="U252" s="13" t="str">
        <f>IF(OR($N252="",$T252=""),"",IFERROR(MAX(0,1-($N252+$T252+MAX(0,N($Q252)))/ROUND((INDEX(Config!$D$15:$D$18,MATCH($S252,Config!$B$15:$B$18,0))-INDEX(Config!$C$15:$C$18,MATCH($S252,Config!$B$15:$B$18,0)))*1440,0)),""))</f>
        <v/>
      </c>
      <c r="V252" s="5"/>
    </row>
    <row r="253" spans="1:22" x14ac:dyDescent="0.25">
      <c r="A253" s="11"/>
      <c r="B253" s="17"/>
      <c r="C253" t="str">
        <f>IFERROR(INDEX([1]Ejecutivos!$B$2:$B$101,MATCH(B253,[1]Ejecutivos!$A$2:$A$101,0)),"")</f>
        <v/>
      </c>
      <c r="D253" s="42"/>
      <c r="E253" s="42"/>
      <c r="F253" s="42"/>
      <c r="G253" s="42"/>
      <c r="H253" s="43"/>
      <c r="I253" s="43"/>
      <c r="J253" s="43"/>
      <c r="K253" s="42"/>
      <c r="L253" s="18">
        <v>0</v>
      </c>
      <c r="M253" t="str">
        <f t="shared" si="19"/>
        <v/>
      </c>
      <c r="N253" t="str">
        <f>IF(OR($D253="",$S253=""),"",IFERROR(MAX(0,ROUND(($D253-INDEX(Config!$C$15:$C$18,MATCH($S253,Config!$B$15:$B$18,0)))*24*60,0)),""))</f>
        <v/>
      </c>
      <c r="O253" t="str">
        <f t="shared" si="20"/>
        <v/>
      </c>
      <c r="P253" t="str">
        <f t="shared" si="21"/>
        <v/>
      </c>
      <c r="Q253" t="str">
        <f>IF(OR($P253="",$S253=""),"",IFERROR($P253-INDEX(Config!$E$15:$E$18,MATCH($S253,Config!$B$15:$B$18,0)),""))</f>
        <v/>
      </c>
      <c r="R253" t="str">
        <f t="shared" si="22"/>
        <v/>
      </c>
      <c r="S253" s="6" t="str">
        <f>IF(OR($A253="",$C253=""),"",IFERROR(INDEX(Turno!$C$3:$V$32,MATCH($C253,Turno!$B$3:$B$32,0),MATCH(DAY($A253),Turno!$C$1:$V$1,0)),""))</f>
        <v/>
      </c>
      <c r="T253" t="str">
        <f>IF(OR($E253="",$S253=""),"",IFERROR(MAX(0,ROUND((INDEX(Config!$D$15:$D$18,MATCH($S253,Config!$B$15:$B$18,0))-$E253)*1440,0)),""))</f>
        <v/>
      </c>
      <c r="U253" s="13" t="str">
        <f>IF(OR($N253="",$T253=""),"",IFERROR(MAX(0,1-($N253+$T253+MAX(0,N($Q253)))/ROUND((INDEX(Config!$D$15:$D$18,MATCH($S253,Config!$B$15:$B$18,0))-INDEX(Config!$C$15:$C$18,MATCH($S253,Config!$B$15:$B$18,0)))*1440,0)),""))</f>
        <v/>
      </c>
      <c r="V253" s="5"/>
    </row>
    <row r="254" spans="1:22" x14ac:dyDescent="0.25">
      <c r="A254" s="11"/>
      <c r="B254" s="17"/>
      <c r="C254" t="str">
        <f>IFERROR(INDEX([1]Ejecutivos!$B$2:$B$101,MATCH(B254,[1]Ejecutivos!$A$2:$A$101,0)),"")</f>
        <v/>
      </c>
      <c r="D254" s="44"/>
      <c r="E254" s="44"/>
      <c r="F254" s="44"/>
      <c r="G254" s="44"/>
      <c r="H254" s="45"/>
      <c r="I254" s="45"/>
      <c r="J254" s="45"/>
      <c r="K254" s="44"/>
      <c r="L254" s="18">
        <v>0</v>
      </c>
      <c r="M254" t="str">
        <f t="shared" si="19"/>
        <v/>
      </c>
      <c r="N254" t="str">
        <f>IF(OR($D254="",$S254=""),"",IFERROR(MAX(0,ROUND(($D254-INDEX(Config!$C$15:$C$18,MATCH($S254,Config!$B$15:$B$18,0)))*24*60,0)),""))</f>
        <v/>
      </c>
      <c r="O254" t="str">
        <f t="shared" si="20"/>
        <v/>
      </c>
      <c r="P254" t="str">
        <f t="shared" si="21"/>
        <v/>
      </c>
      <c r="Q254" t="str">
        <f>IF(OR($P254="",$S254=""),"",IFERROR($P254-INDEX(Config!$E$15:$E$18,MATCH($S254,Config!$B$15:$B$18,0)),""))</f>
        <v/>
      </c>
      <c r="R254" t="str">
        <f t="shared" si="22"/>
        <v/>
      </c>
      <c r="S254" s="6" t="str">
        <f>IF(OR($A254="",$C254=""),"",IFERROR(INDEX(Turno!$C$3:$V$32,MATCH($C254,Turno!$B$3:$B$32,0),MATCH(DAY($A254),Turno!$C$1:$V$1,0)),""))</f>
        <v/>
      </c>
      <c r="T254" t="str">
        <f>IF(OR($E254="",$S254=""),"",IFERROR(MAX(0,ROUND((INDEX(Config!$D$15:$D$18,MATCH($S254,Config!$B$15:$B$18,0))-$E254)*1440,0)),""))</f>
        <v/>
      </c>
      <c r="U254" s="13" t="str">
        <f>IF(OR($N254="",$T254=""),"",IFERROR(MAX(0,1-($N254+$T254+MAX(0,N($Q254)))/ROUND((INDEX(Config!$D$15:$D$18,MATCH($S254,Config!$B$15:$B$18,0))-INDEX(Config!$C$15:$C$18,MATCH($S254,Config!$B$15:$B$18,0)))*1440,0)),""))</f>
        <v/>
      </c>
      <c r="V254" s="5"/>
    </row>
    <row r="255" spans="1:22" x14ac:dyDescent="0.25">
      <c r="A255" s="11"/>
      <c r="B255" s="17"/>
      <c r="C255" t="str">
        <f>IFERROR(INDEX([1]Ejecutivos!$B$2:$B$101,MATCH(B255,[1]Ejecutivos!$A$2:$A$101,0)),"")</f>
        <v/>
      </c>
      <c r="D255" s="42"/>
      <c r="E255" s="42"/>
      <c r="F255" s="42"/>
      <c r="G255" s="42"/>
      <c r="H255" s="43"/>
      <c r="I255" s="42"/>
      <c r="J255" s="43"/>
      <c r="K255" s="42"/>
      <c r="L255" s="18">
        <v>0</v>
      </c>
      <c r="M255" t="str">
        <f t="shared" si="19"/>
        <v/>
      </c>
      <c r="N255" t="str">
        <f>IF(OR($D255="",$S255=""),"",IFERROR(MAX(0,ROUND(($D255-INDEX(Config!$C$15:$C$18,MATCH($S255,Config!$B$15:$B$18,0)))*24*60,0)),""))</f>
        <v/>
      </c>
      <c r="O255" t="str">
        <f t="shared" si="20"/>
        <v/>
      </c>
      <c r="P255" t="str">
        <f t="shared" si="21"/>
        <v/>
      </c>
      <c r="Q255" t="str">
        <f>IF(OR($P255="",$S255=""),"",IFERROR($P255-INDEX(Config!$E$15:$E$18,MATCH($S255,Config!$B$15:$B$18,0)),""))</f>
        <v/>
      </c>
      <c r="R255" t="str">
        <f t="shared" si="22"/>
        <v/>
      </c>
      <c r="S255" s="6" t="str">
        <f>IF(OR($A255="",$C255=""),"",IFERROR(INDEX(Turno!$C$3:$V$32,MATCH($C255,Turno!$B$3:$B$32,0),MATCH(DAY($A255),Turno!$C$1:$V$1,0)),""))</f>
        <v/>
      </c>
      <c r="T255" t="str">
        <f>IF(OR($E255="",$S255=""),"",IFERROR(MAX(0,ROUND((INDEX(Config!$D$15:$D$18,MATCH($S255,Config!$B$15:$B$18,0))-$E255)*1440,0)),""))</f>
        <v/>
      </c>
      <c r="U255" s="13" t="str">
        <f>IF(OR($N255="",$T255=""),"",IFERROR(MAX(0,1-($N255+$T255+MAX(0,N($Q255)))/ROUND((INDEX(Config!$D$15:$D$18,MATCH($S255,Config!$B$15:$B$18,0))-INDEX(Config!$C$15:$C$18,MATCH($S255,Config!$B$15:$B$18,0)))*1440,0)),""))</f>
        <v/>
      </c>
      <c r="V255" s="5"/>
    </row>
    <row r="256" spans="1:22" x14ac:dyDescent="0.25">
      <c r="A256" s="11"/>
      <c r="B256" s="17"/>
      <c r="C256" t="str">
        <f>IFERROR(INDEX([1]Ejecutivos!$B$2:$B$101,MATCH(B256,[1]Ejecutivos!$A$2:$A$101,0)),"")</f>
        <v/>
      </c>
      <c r="D256" s="44"/>
      <c r="E256" s="44"/>
      <c r="F256" s="44"/>
      <c r="G256" s="44"/>
      <c r="H256" s="45"/>
      <c r="I256" s="45"/>
      <c r="J256" s="45"/>
      <c r="K256" s="44"/>
      <c r="L256" s="18">
        <v>0</v>
      </c>
      <c r="M256" t="str">
        <f t="shared" si="19"/>
        <v/>
      </c>
      <c r="N256" t="str">
        <f>IF(OR($D256="",$S256=""),"",IFERROR(MAX(0,ROUND(($D256-INDEX(Config!$C$15:$C$18,MATCH($S256,Config!$B$15:$B$18,0)))*24*60,0)),""))</f>
        <v/>
      </c>
      <c r="O256" t="str">
        <f t="shared" si="20"/>
        <v/>
      </c>
      <c r="P256" t="str">
        <f t="shared" si="21"/>
        <v/>
      </c>
      <c r="Q256" t="str">
        <f>IF(OR($P256="",$S256=""),"",IFERROR($P256-INDEX(Config!$E$15:$E$18,MATCH($S256,Config!$B$15:$B$18,0)),""))</f>
        <v/>
      </c>
      <c r="R256" t="str">
        <f t="shared" si="22"/>
        <v/>
      </c>
      <c r="S256" s="6" t="str">
        <f>IF(OR($A256="",$C256=""),"",IFERROR(INDEX(Turno!$C$3:$V$32,MATCH($C256,Turno!$B$3:$B$32,0),MATCH(DAY($A256),Turno!$C$1:$V$1,0)),""))</f>
        <v/>
      </c>
      <c r="T256" t="str">
        <f>IF(OR($E256="",$S256=""),"",IFERROR(MAX(0,ROUND((INDEX(Config!$D$15:$D$18,MATCH($S256,Config!$B$15:$B$18,0))-$E256)*1440,0)),""))</f>
        <v/>
      </c>
      <c r="U256" s="13" t="str">
        <f>IF(OR($N256="",$T256=""),"",IFERROR(MAX(0,1-($N256+$T256+MAX(0,N($Q256)))/ROUND((INDEX(Config!$D$15:$D$18,MATCH($S256,Config!$B$15:$B$18,0))-INDEX(Config!$C$15:$C$18,MATCH($S256,Config!$B$15:$B$18,0)))*1440,0)),""))</f>
        <v/>
      </c>
      <c r="V256" s="5"/>
    </row>
    <row r="257" spans="1:22" x14ac:dyDescent="0.25">
      <c r="A257" s="11"/>
      <c r="B257" s="17"/>
      <c r="C257" t="str">
        <f>IFERROR(INDEX([1]Ejecutivos!$B$2:$B$101,MATCH(B257,[1]Ejecutivos!$A$2:$A$101,0)),"")</f>
        <v/>
      </c>
      <c r="D257" s="42"/>
      <c r="E257" s="42"/>
      <c r="F257" s="42"/>
      <c r="G257" s="42"/>
      <c r="H257" s="43"/>
      <c r="I257" s="43"/>
      <c r="J257" s="43"/>
      <c r="K257" s="42"/>
      <c r="L257" s="18">
        <v>0</v>
      </c>
      <c r="M257" t="str">
        <f t="shared" si="19"/>
        <v/>
      </c>
      <c r="N257" t="str">
        <f>IF(OR($D257="",$S257=""),"",IFERROR(MAX(0,ROUND(($D257-INDEX(Config!$C$15:$C$18,MATCH($S257,Config!$B$15:$B$18,0)))*24*60,0)),""))</f>
        <v/>
      </c>
      <c r="O257" t="str">
        <f t="shared" si="20"/>
        <v/>
      </c>
      <c r="P257" t="str">
        <f t="shared" si="21"/>
        <v/>
      </c>
      <c r="Q257" t="str">
        <f>IF(OR($P257="",$S257=""),"",IFERROR($P257-INDEX(Config!$E$15:$E$18,MATCH($S257,Config!$B$15:$B$18,0)),""))</f>
        <v/>
      </c>
      <c r="R257" t="str">
        <f t="shared" si="22"/>
        <v/>
      </c>
      <c r="S257" s="6" t="str">
        <f>IF(OR($A257="",$C257=""),"",IFERROR(INDEX(Turno!$C$3:$V$32,MATCH($C257,Turno!$B$3:$B$32,0),MATCH(DAY($A257),Turno!$C$1:$V$1,0)),""))</f>
        <v/>
      </c>
      <c r="T257" t="str">
        <f>IF(OR($E257="",$S257=""),"",IFERROR(MAX(0,ROUND((INDEX(Config!$D$15:$D$18,MATCH($S257,Config!$B$15:$B$18,0))-$E257)*1440,0)),""))</f>
        <v/>
      </c>
      <c r="U257" s="13" t="str">
        <f>IF(OR($N257="",$T257=""),"",IFERROR(MAX(0,1-($N257+$T257+MAX(0,N($Q257)))/ROUND((INDEX(Config!$D$15:$D$18,MATCH($S257,Config!$B$15:$B$18,0))-INDEX(Config!$C$15:$C$18,MATCH($S257,Config!$B$15:$B$18,0)))*1440,0)),""))</f>
        <v/>
      </c>
      <c r="V257" s="5"/>
    </row>
    <row r="258" spans="1:22" x14ac:dyDescent="0.25">
      <c r="A258" s="11"/>
      <c r="B258" s="17"/>
      <c r="C258" t="str">
        <f>IFERROR(INDEX([1]Ejecutivos!$B$2:$B$101,MATCH(B258,[1]Ejecutivos!$A$2:$A$101,0)),"")</f>
        <v/>
      </c>
      <c r="D258" s="44"/>
      <c r="E258" s="44"/>
      <c r="F258" s="44"/>
      <c r="G258" s="44"/>
      <c r="H258" s="45"/>
      <c r="I258" s="45"/>
      <c r="J258" s="45"/>
      <c r="K258" s="44"/>
      <c r="L258" s="18">
        <v>0</v>
      </c>
      <c r="M258" t="str">
        <f t="shared" si="19"/>
        <v/>
      </c>
      <c r="N258" t="str">
        <f>IF(OR($D258="",$S258=""),"",IFERROR(MAX(0,ROUND(($D258-INDEX(Config!$C$15:$C$18,MATCH($S258,Config!$B$15:$B$18,0)))*24*60,0)),""))</f>
        <v/>
      </c>
      <c r="O258" t="str">
        <f t="shared" si="20"/>
        <v/>
      </c>
      <c r="P258" t="str">
        <f t="shared" si="21"/>
        <v/>
      </c>
      <c r="Q258" t="str">
        <f>IF(OR($P258="",$S258=""),"",IFERROR($P258-INDEX(Config!$E$15:$E$18,MATCH($S258,Config!$B$15:$B$18,0)),""))</f>
        <v/>
      </c>
      <c r="R258" t="str">
        <f t="shared" si="22"/>
        <v/>
      </c>
      <c r="S258" s="6" t="str">
        <f>IF(OR($A258="",$C258=""),"",IFERROR(INDEX(Turno!$C$3:$V$32,MATCH($C258,Turno!$B$3:$B$32,0),MATCH(DAY($A258),Turno!$C$1:$V$1,0)),""))</f>
        <v/>
      </c>
      <c r="T258" t="str">
        <f>IF(OR($E258="",$S258=""),"",IFERROR(MAX(0,ROUND((INDEX(Config!$D$15:$D$18,MATCH($S258,Config!$B$15:$B$18,0))-$E258)*1440,0)),""))</f>
        <v/>
      </c>
      <c r="U258" s="13" t="str">
        <f>IF(OR($N258="",$T258=""),"",IFERROR(MAX(0,1-($N258+$T258+MAX(0,N($Q258)))/ROUND((INDEX(Config!$D$15:$D$18,MATCH($S258,Config!$B$15:$B$18,0))-INDEX(Config!$C$15:$C$18,MATCH($S258,Config!$B$15:$B$18,0)))*1440,0)),""))</f>
        <v/>
      </c>
      <c r="V258" s="5"/>
    </row>
    <row r="259" spans="1:22" x14ac:dyDescent="0.25">
      <c r="A259" s="11"/>
      <c r="B259" s="17"/>
      <c r="C259" t="str">
        <f>IFERROR(INDEX([1]Ejecutivos!$B$2:$B$101,MATCH(B259,[1]Ejecutivos!$A$2:$A$101,0)),"")</f>
        <v/>
      </c>
      <c r="D259" s="42"/>
      <c r="E259" s="42"/>
      <c r="F259" s="42"/>
      <c r="G259" s="42"/>
      <c r="H259" s="43"/>
      <c r="I259" s="43"/>
      <c r="J259" s="43"/>
      <c r="K259" s="42"/>
      <c r="L259" s="18">
        <v>0</v>
      </c>
      <c r="M259" t="str">
        <f t="shared" si="19"/>
        <v/>
      </c>
      <c r="N259" t="str">
        <f>IF(OR($D259="",$S259=""),"",IFERROR(MAX(0,ROUND(($D259-INDEX(Config!$C$15:$C$18,MATCH($S259,Config!$B$15:$B$18,0)))*24*60,0)),""))</f>
        <v/>
      </c>
      <c r="O259" t="str">
        <f t="shared" si="20"/>
        <v/>
      </c>
      <c r="P259" t="str">
        <f t="shared" si="21"/>
        <v/>
      </c>
      <c r="Q259" t="str">
        <f>IF(OR($P259="",$S259=""),"",IFERROR($P259-INDEX(Config!$E$15:$E$18,MATCH($S259,Config!$B$15:$B$18,0)),""))</f>
        <v/>
      </c>
      <c r="R259" t="str">
        <f t="shared" si="22"/>
        <v/>
      </c>
      <c r="S259" s="6" t="str">
        <f>IF(OR($A259="",$C259=""),"",IFERROR(INDEX(Turno!$C$3:$V$32,MATCH($C259,Turno!$B$3:$B$32,0),MATCH(DAY($A259),Turno!$C$1:$V$1,0)),""))</f>
        <v/>
      </c>
      <c r="T259" t="str">
        <f>IF(OR($E259="",$S259=""),"",IFERROR(MAX(0,ROUND((INDEX(Config!$D$15:$D$18,MATCH($S259,Config!$B$15:$B$18,0))-$E259)*1440,0)),""))</f>
        <v/>
      </c>
      <c r="U259" s="13" t="str">
        <f>IF(OR($N259="",$T259=""),"",IFERROR(MAX(0,1-($N259+$T259+MAX(0,N($Q259)))/ROUND((INDEX(Config!$D$15:$D$18,MATCH($S259,Config!$B$15:$B$18,0))-INDEX(Config!$C$15:$C$18,MATCH($S259,Config!$B$15:$B$18,0)))*1440,0)),""))</f>
        <v/>
      </c>
      <c r="V259" s="5"/>
    </row>
    <row r="260" spans="1:22" x14ac:dyDescent="0.25">
      <c r="A260" s="11"/>
      <c r="B260" s="17"/>
      <c r="C260" t="str">
        <f>IFERROR(INDEX([1]Ejecutivos!$B$2:$B$101,MATCH(B260,[1]Ejecutivos!$A$2:$A$101,0)),"")</f>
        <v/>
      </c>
      <c r="D260" s="44"/>
      <c r="E260" s="44"/>
      <c r="F260" s="44"/>
      <c r="G260" s="44"/>
      <c r="H260" s="45"/>
      <c r="I260" s="45"/>
      <c r="J260" s="45"/>
      <c r="K260" s="44"/>
      <c r="L260" s="18">
        <v>0</v>
      </c>
      <c r="M260" t="str">
        <f t="shared" si="19"/>
        <v/>
      </c>
      <c r="N260" t="str">
        <f>IF(OR($D260="",$S260=""),"",IFERROR(MAX(0,ROUND(($D260-INDEX(Config!$C$15:$C$18,MATCH($S260,Config!$B$15:$B$18,0)))*24*60,0)),""))</f>
        <v/>
      </c>
      <c r="O260" t="str">
        <f t="shared" si="20"/>
        <v/>
      </c>
      <c r="P260" t="str">
        <f t="shared" si="21"/>
        <v/>
      </c>
      <c r="Q260" t="str">
        <f>IF(OR($P260="",$S260=""),"",IFERROR($P260-INDEX(Config!$E$15:$E$18,MATCH($S260,Config!$B$15:$B$18,0)),""))</f>
        <v/>
      </c>
      <c r="R260" t="str">
        <f t="shared" si="22"/>
        <v/>
      </c>
      <c r="S260" s="6" t="str">
        <f>IF(OR($A260="",$C260=""),"",IFERROR(INDEX(Turno!$C$3:$V$32,MATCH($C260,Turno!$B$3:$B$32,0),MATCH(DAY($A260),Turno!$C$1:$V$1,0)),""))</f>
        <v/>
      </c>
      <c r="T260" t="str">
        <f>IF(OR($E260="",$S260=""),"",IFERROR(MAX(0,ROUND((INDEX(Config!$D$15:$D$18,MATCH($S260,Config!$B$15:$B$18,0))-$E260)*1440,0)),""))</f>
        <v/>
      </c>
      <c r="U260" s="13" t="str">
        <f>IF(OR($N260="",$T260=""),"",IFERROR(MAX(0,1-($N260+$T260+MAX(0,N($Q260)))/ROUND((INDEX(Config!$D$15:$D$18,MATCH($S260,Config!$B$15:$B$18,0))-INDEX(Config!$C$15:$C$18,MATCH($S260,Config!$B$15:$B$18,0)))*1440,0)),""))</f>
        <v/>
      </c>
      <c r="V260" s="5"/>
    </row>
    <row r="261" spans="1:22" x14ac:dyDescent="0.25">
      <c r="A261" s="11"/>
      <c r="B261" s="17"/>
      <c r="C261" t="str">
        <f>IFERROR(INDEX([1]Ejecutivos!$B$2:$B$101,MATCH(B261,[1]Ejecutivos!$A$2:$A$101,0)),"")</f>
        <v/>
      </c>
      <c r="D261" s="42"/>
      <c r="E261" s="42"/>
      <c r="F261" s="42"/>
      <c r="G261" s="42"/>
      <c r="H261" s="43"/>
      <c r="I261" s="42"/>
      <c r="J261" s="43"/>
      <c r="K261" s="42"/>
      <c r="L261" s="18">
        <v>0</v>
      </c>
      <c r="M261" t="str">
        <f t="shared" si="19"/>
        <v/>
      </c>
      <c r="N261" t="str">
        <f>IF(OR($D261="",$S261=""),"",IFERROR(MAX(0,ROUND(($D261-INDEX(Config!$C$15:$C$18,MATCH($S261,Config!$B$15:$B$18,0)))*24*60,0)),""))</f>
        <v/>
      </c>
      <c r="O261" t="str">
        <f t="shared" si="20"/>
        <v/>
      </c>
      <c r="P261" t="str">
        <f t="shared" si="21"/>
        <v/>
      </c>
      <c r="Q261" t="str">
        <f>IF(OR($P261="",$S261=""),"",IFERROR($P261-INDEX(Config!$E$15:$E$18,MATCH($S261,Config!$B$15:$B$18,0)),""))</f>
        <v/>
      </c>
      <c r="R261" t="str">
        <f t="shared" si="22"/>
        <v/>
      </c>
      <c r="S261" s="6" t="str">
        <f>IF(OR($A261="",$C261=""),"",IFERROR(INDEX(Turno!$C$3:$V$32,MATCH($C261,Turno!$B$3:$B$32,0),MATCH(DAY($A261),Turno!$C$1:$V$1,0)),""))</f>
        <v/>
      </c>
      <c r="T261" t="str">
        <f>IF(OR($E261="",$S261=""),"",IFERROR(MAX(0,ROUND((INDEX(Config!$D$15:$D$18,MATCH($S261,Config!$B$15:$B$18,0))-$E261)*1440,0)),""))</f>
        <v/>
      </c>
      <c r="U261" s="13" t="str">
        <f>IF(OR($N261="",$T261=""),"",IFERROR(MAX(0,1-($N261+$T261+MAX(0,N($Q261)))/ROUND((INDEX(Config!$D$15:$D$18,MATCH($S261,Config!$B$15:$B$18,0))-INDEX(Config!$C$15:$C$18,MATCH($S261,Config!$B$15:$B$18,0)))*1440,0)),""))</f>
        <v/>
      </c>
      <c r="V261" s="5"/>
    </row>
    <row r="262" spans="1:22" x14ac:dyDescent="0.25">
      <c r="A262" s="11"/>
      <c r="B262" s="17"/>
      <c r="C262" t="str">
        <f>IFERROR(INDEX([1]Ejecutivos!$B$2:$B$101,MATCH(B262,[1]Ejecutivos!$A$2:$A$101,0)),"")</f>
        <v/>
      </c>
      <c r="D262" s="44"/>
      <c r="E262" s="44"/>
      <c r="F262" s="44"/>
      <c r="G262" s="44"/>
      <c r="H262" s="45"/>
      <c r="I262" s="45"/>
      <c r="J262" s="45"/>
      <c r="K262" s="44"/>
      <c r="L262" s="18">
        <v>0</v>
      </c>
      <c r="M262" t="str">
        <f t="shared" si="19"/>
        <v/>
      </c>
      <c r="N262" t="str">
        <f>IF(OR($D262="",$S262=""),"",IFERROR(MAX(0,ROUND(($D262-INDEX(Config!$C$15:$C$18,MATCH($S262,Config!$B$15:$B$18,0)))*24*60,0)),""))</f>
        <v/>
      </c>
      <c r="O262" t="str">
        <f t="shared" si="20"/>
        <v/>
      </c>
      <c r="P262" t="str">
        <f t="shared" si="21"/>
        <v/>
      </c>
      <c r="Q262" t="str">
        <f>IF(OR($P262="",$S262=""),"",IFERROR($P262-INDEX(Config!$E$15:$E$18,MATCH($S262,Config!$B$15:$B$18,0)),""))</f>
        <v/>
      </c>
      <c r="R262" t="str">
        <f t="shared" si="22"/>
        <v/>
      </c>
      <c r="S262" s="6" t="str">
        <f>IF(OR($A262="",$C262=""),"",IFERROR(INDEX(Turno!$C$3:$V$32,MATCH($C262,Turno!$B$3:$B$32,0),MATCH(DAY($A262),Turno!$C$1:$V$1,0)),""))</f>
        <v/>
      </c>
      <c r="T262" t="str">
        <f>IF(OR($E262="",$S262=""),"",IFERROR(MAX(0,ROUND((INDEX(Config!$D$15:$D$18,MATCH($S262,Config!$B$15:$B$18,0))-$E262)*1440,0)),""))</f>
        <v/>
      </c>
      <c r="U262" s="13" t="str">
        <f>IF(OR($N262="",$T262=""),"",IFERROR(MAX(0,1-($N262+$T262+MAX(0,N($Q262)))/ROUND((INDEX(Config!$D$15:$D$18,MATCH($S262,Config!$B$15:$B$18,0))-INDEX(Config!$C$15:$C$18,MATCH($S262,Config!$B$15:$B$18,0)))*1440,0)),""))</f>
        <v/>
      </c>
      <c r="V262" s="5"/>
    </row>
    <row r="263" spans="1:22" x14ac:dyDescent="0.25">
      <c r="A263" s="11"/>
      <c r="B263" s="17"/>
      <c r="C263" t="str">
        <f>IFERROR(INDEX([1]Ejecutivos!$B$2:$B$101,MATCH(B263,[1]Ejecutivos!$A$2:$A$101,0)),"")</f>
        <v/>
      </c>
      <c r="D263" s="42"/>
      <c r="E263" s="42"/>
      <c r="F263" s="42"/>
      <c r="G263" s="42"/>
      <c r="H263" s="43"/>
      <c r="I263" s="43"/>
      <c r="J263" s="46"/>
      <c r="K263" s="42"/>
      <c r="L263" s="18">
        <v>0</v>
      </c>
      <c r="M263" t="str">
        <f t="shared" si="19"/>
        <v/>
      </c>
      <c r="N263" t="str">
        <f>IF(OR($D263="",$S263=""),"",IFERROR(MAX(0,ROUND(($D263-INDEX(Config!$C$15:$C$18,MATCH($S263,Config!$B$15:$B$18,0)))*24*60,0)),""))</f>
        <v/>
      </c>
      <c r="O263" t="str">
        <f t="shared" si="20"/>
        <v/>
      </c>
      <c r="P263" t="str">
        <f t="shared" si="21"/>
        <v/>
      </c>
      <c r="Q263" t="str">
        <f>IF(OR($P263="",$S263=""),"",IFERROR($P263-INDEX(Config!$E$15:$E$18,MATCH($S263,Config!$B$15:$B$18,0)),""))</f>
        <v/>
      </c>
      <c r="R263" t="str">
        <f t="shared" si="22"/>
        <v/>
      </c>
      <c r="S263" s="6" t="str">
        <f>IF(OR($A263="",$C263=""),"",IFERROR(INDEX(Turno!$C$3:$V$32,MATCH($C263,Turno!$B$3:$B$32,0),MATCH(DAY($A263),Turno!$C$1:$V$1,0)),""))</f>
        <v/>
      </c>
      <c r="T263" t="str">
        <f>IF(OR($E263="",$S263=""),"",IFERROR(MAX(0,ROUND((INDEX(Config!$D$15:$D$18,MATCH($S263,Config!$B$15:$B$18,0))-$E263)*1440,0)),""))</f>
        <v/>
      </c>
      <c r="U263" s="13" t="str">
        <f>IF(OR($N263="",$T263=""),"",IFERROR(MAX(0,1-($N263+$T263+MAX(0,N($Q263)))/ROUND((INDEX(Config!$D$15:$D$18,MATCH($S263,Config!$B$15:$B$18,0))-INDEX(Config!$C$15:$C$18,MATCH($S263,Config!$B$15:$B$18,0)))*1440,0)),""))</f>
        <v/>
      </c>
      <c r="V263" s="5"/>
    </row>
    <row r="264" spans="1:22" x14ac:dyDescent="0.25">
      <c r="A264" s="11"/>
      <c r="B264" s="17"/>
      <c r="C264" t="str">
        <f>IFERROR(INDEX([1]Ejecutivos!$B$2:$B$101,MATCH(B264,[1]Ejecutivos!$A$2:$A$101,0)),"")</f>
        <v/>
      </c>
      <c r="D264" s="44"/>
      <c r="E264" s="44"/>
      <c r="F264" s="44"/>
      <c r="G264" s="44"/>
      <c r="H264" s="45"/>
      <c r="I264" s="45"/>
      <c r="J264" s="45"/>
      <c r="K264" s="44"/>
      <c r="L264" s="18">
        <v>0</v>
      </c>
      <c r="M264" t="str">
        <f t="shared" si="19"/>
        <v/>
      </c>
      <c r="N264" t="str">
        <f>IF(OR($D264="",$S264=""),"",IFERROR(MAX(0,ROUND(($D264-INDEX(Config!$C$15:$C$18,MATCH($S264,Config!$B$15:$B$18,0)))*24*60,0)),""))</f>
        <v/>
      </c>
      <c r="O264" t="str">
        <f t="shared" si="20"/>
        <v/>
      </c>
      <c r="P264" t="str">
        <f t="shared" si="21"/>
        <v/>
      </c>
      <c r="Q264" t="str">
        <f>IF(OR($P264="",$S264=""),"",IFERROR($P264-INDEX(Config!$E$15:$E$18,MATCH($S264,Config!$B$15:$B$18,0)),""))</f>
        <v/>
      </c>
      <c r="R264" t="str">
        <f t="shared" si="22"/>
        <v/>
      </c>
      <c r="S264" s="6" t="str">
        <f>IF(OR($A264="",$C264=""),"",IFERROR(INDEX(Turno!$C$3:$V$32,MATCH($C264,Turno!$B$3:$B$32,0),MATCH(DAY($A264),Turno!$C$1:$V$1,0)),""))</f>
        <v/>
      </c>
      <c r="T264" t="str">
        <f>IF(OR($E264="",$S264=""),"",IFERROR(MAX(0,ROUND((INDEX(Config!$D$15:$D$18,MATCH($S264,Config!$B$15:$B$18,0))-$E264)*1440,0)),""))</f>
        <v/>
      </c>
      <c r="U264" s="13" t="str">
        <f>IF(OR($N264="",$T264=""),"",IFERROR(MAX(0,1-($N264+$T264+MAX(0,N($Q264)))/ROUND((INDEX(Config!$D$15:$D$18,MATCH($S264,Config!$B$15:$B$18,0))-INDEX(Config!$C$15:$C$18,MATCH($S264,Config!$B$15:$B$18,0)))*1440,0)),""))</f>
        <v/>
      </c>
      <c r="V264" s="5"/>
    </row>
    <row r="265" spans="1:22" x14ac:dyDescent="0.25">
      <c r="A265" s="11"/>
      <c r="B265" s="17"/>
      <c r="C265" t="str">
        <f>IFERROR(INDEX([1]Ejecutivos!$B$2:$B$101,MATCH(B265,[1]Ejecutivos!$A$2:$A$101,0)),"")</f>
        <v/>
      </c>
      <c r="D265" s="42"/>
      <c r="E265" s="42"/>
      <c r="F265" s="42"/>
      <c r="G265" s="42"/>
      <c r="H265" s="43"/>
      <c r="I265" s="43"/>
      <c r="J265" s="46"/>
      <c r="K265" s="42"/>
      <c r="L265" s="18">
        <v>0</v>
      </c>
      <c r="M265" t="str">
        <f t="shared" si="19"/>
        <v/>
      </c>
      <c r="N265" t="str">
        <f>IF(OR($D265="",$S265=""),"",IFERROR(MAX(0,ROUND(($D265-INDEX(Config!$C$15:$C$18,MATCH($S265,Config!$B$15:$B$18,0)))*24*60,0)),""))</f>
        <v/>
      </c>
      <c r="O265" t="str">
        <f t="shared" si="20"/>
        <v/>
      </c>
      <c r="P265" t="str">
        <f t="shared" si="21"/>
        <v/>
      </c>
      <c r="Q265" t="str">
        <f>IF(OR($P265="",$S265=""),"",IFERROR($P265-INDEX(Config!$E$15:$E$18,MATCH($S265,Config!$B$15:$B$18,0)),""))</f>
        <v/>
      </c>
      <c r="R265" t="str">
        <f t="shared" si="22"/>
        <v/>
      </c>
      <c r="S265" s="6" t="str">
        <f>IF(OR($A265="",$C265=""),"",IFERROR(INDEX(Turno!$C$3:$V$32,MATCH($C265,Turno!$B$3:$B$32,0),MATCH(DAY($A265),Turno!$C$1:$V$1,0)),""))</f>
        <v/>
      </c>
      <c r="T265" t="str">
        <f>IF(OR($E265="",$S265=""),"",IFERROR(MAX(0,ROUND((INDEX(Config!$D$15:$D$18,MATCH($S265,Config!$B$15:$B$18,0))-$E265)*1440,0)),""))</f>
        <v/>
      </c>
      <c r="U265" s="13" t="str">
        <f>IF(OR($N265="",$T265=""),"",IFERROR(MAX(0,1-($N265+$T265+MAX(0,N($Q265)))/ROUND((INDEX(Config!$D$15:$D$18,MATCH($S265,Config!$B$15:$B$18,0))-INDEX(Config!$C$15:$C$18,MATCH($S265,Config!$B$15:$B$18,0)))*1440,0)),""))</f>
        <v/>
      </c>
      <c r="V265" s="5"/>
    </row>
    <row r="266" spans="1:22" x14ac:dyDescent="0.25">
      <c r="A266" s="11"/>
      <c r="B266" s="17"/>
      <c r="C266" t="str">
        <f>IFERROR(INDEX([1]Ejecutivos!$B$2:$B$101,MATCH(B266,[1]Ejecutivos!$A$2:$A$101,0)),"")</f>
        <v/>
      </c>
      <c r="D266" s="44"/>
      <c r="E266" s="44"/>
      <c r="F266" s="44"/>
      <c r="G266" s="44"/>
      <c r="H266" s="45"/>
      <c r="I266" s="45"/>
      <c r="J266" s="45"/>
      <c r="K266" s="44"/>
      <c r="L266" s="18">
        <v>0</v>
      </c>
      <c r="M266" t="str">
        <f t="shared" si="19"/>
        <v/>
      </c>
      <c r="N266" t="str">
        <f>IF(OR($D266="",$S266=""),"",IFERROR(MAX(0,ROUND(($D266-INDEX(Config!$C$15:$C$18,MATCH($S266,Config!$B$15:$B$18,0)))*24*60,0)),""))</f>
        <v/>
      </c>
      <c r="O266" t="str">
        <f t="shared" si="20"/>
        <v/>
      </c>
      <c r="P266" t="str">
        <f t="shared" si="21"/>
        <v/>
      </c>
      <c r="Q266" t="str">
        <f>IF(OR($P266="",$S266=""),"",IFERROR($P266-INDEX(Config!$E$15:$E$18,MATCH($S266,Config!$B$15:$B$18,0)),""))</f>
        <v/>
      </c>
      <c r="R266" t="str">
        <f t="shared" si="22"/>
        <v/>
      </c>
      <c r="S266" s="6" t="str">
        <f>IF(OR($A266="",$C266=""),"",IFERROR(INDEX(Turno!$C$3:$V$32,MATCH($C266,Turno!$B$3:$B$32,0),MATCH(DAY($A266),Turno!$C$1:$V$1,0)),""))</f>
        <v/>
      </c>
      <c r="T266" t="str">
        <f>IF(OR($E266="",$S266=""),"",IFERROR(MAX(0,ROUND((INDEX(Config!$D$15:$D$18,MATCH($S266,Config!$B$15:$B$18,0))-$E266)*1440,0)),""))</f>
        <v/>
      </c>
      <c r="U266" s="13" t="str">
        <f>IF(OR($N266="",$T266=""),"",IFERROR(MAX(0,1-($N266+$T266+MAX(0,N($Q266)))/ROUND((INDEX(Config!$D$15:$D$18,MATCH($S266,Config!$B$15:$B$18,0))-INDEX(Config!$C$15:$C$18,MATCH($S266,Config!$B$15:$B$18,0)))*1440,0)),""))</f>
        <v/>
      </c>
      <c r="V266" s="5"/>
    </row>
    <row r="267" spans="1:22" x14ac:dyDescent="0.25">
      <c r="A267" s="11"/>
      <c r="B267" s="17"/>
      <c r="C267" t="str">
        <f>IFERROR(INDEX([1]Ejecutivos!$B$2:$B$101,MATCH(B267,[1]Ejecutivos!$A$2:$A$101,0)),"")</f>
        <v/>
      </c>
      <c r="D267" s="42"/>
      <c r="E267" s="42"/>
      <c r="F267" s="42"/>
      <c r="G267" s="42"/>
      <c r="H267" s="43"/>
      <c r="I267" s="43"/>
      <c r="J267" s="46"/>
      <c r="K267" s="42"/>
      <c r="L267" s="18">
        <v>0</v>
      </c>
      <c r="M267" t="str">
        <f t="shared" si="19"/>
        <v/>
      </c>
      <c r="N267" t="str">
        <f>IF(OR($D267="",$S267=""),"",IFERROR(MAX(0,ROUND(($D267-INDEX(Config!$C$15:$C$18,MATCH($S267,Config!$B$15:$B$18,0)))*24*60,0)),""))</f>
        <v/>
      </c>
      <c r="O267" t="str">
        <f t="shared" si="20"/>
        <v/>
      </c>
      <c r="P267" t="str">
        <f t="shared" si="21"/>
        <v/>
      </c>
      <c r="Q267" t="str">
        <f>IF(OR($P267="",$S267=""),"",IFERROR($P267-INDEX(Config!$E$15:$E$18,MATCH($S267,Config!$B$15:$B$18,0)),""))</f>
        <v/>
      </c>
      <c r="R267" t="str">
        <f t="shared" si="22"/>
        <v/>
      </c>
      <c r="S267" s="6" t="str">
        <f>IF(OR($A267="",$C267=""),"",IFERROR(INDEX(Turno!$C$3:$V$32,MATCH($C267,Turno!$B$3:$B$32,0),MATCH(DAY($A267),Turno!$C$1:$V$1,0)),""))</f>
        <v/>
      </c>
      <c r="T267" t="str">
        <f>IF(OR($E267="",$S267=""),"",IFERROR(MAX(0,ROUND((INDEX(Config!$D$15:$D$18,MATCH($S267,Config!$B$15:$B$18,0))-$E267)*1440,0)),""))</f>
        <v/>
      </c>
      <c r="U267" s="13" t="str">
        <f>IF(OR($N267="",$T267=""),"",IFERROR(MAX(0,1-($N267+$T267+MAX(0,N($Q267)))/ROUND((INDEX(Config!$D$15:$D$18,MATCH($S267,Config!$B$15:$B$18,0))-INDEX(Config!$C$15:$C$18,MATCH($S267,Config!$B$15:$B$18,0)))*1440,0)),""))</f>
        <v/>
      </c>
      <c r="V267" s="5"/>
    </row>
    <row r="268" spans="1:22" x14ac:dyDescent="0.25">
      <c r="A268" s="11"/>
      <c r="B268" s="17"/>
      <c r="C268" t="str">
        <f>IFERROR(INDEX([1]Ejecutivos!$B$2:$B$101,MATCH(B268,[1]Ejecutivos!$A$2:$A$101,0)),"")</f>
        <v/>
      </c>
      <c r="D268" s="44"/>
      <c r="E268" s="44"/>
      <c r="F268" s="44"/>
      <c r="G268" s="44"/>
      <c r="H268" s="45"/>
      <c r="I268" s="45"/>
      <c r="J268" s="47"/>
      <c r="K268" s="44"/>
      <c r="L268" s="18">
        <v>0</v>
      </c>
      <c r="M268" t="str">
        <f t="shared" si="19"/>
        <v/>
      </c>
      <c r="N268" t="str">
        <f>IF(OR($D268="",$S268=""),"",IFERROR(MAX(0,ROUND(($D268-INDEX(Config!$C$15:$C$18,MATCH($S268,Config!$B$15:$B$18,0)))*24*60,0)),""))</f>
        <v/>
      </c>
      <c r="O268" t="str">
        <f t="shared" si="20"/>
        <v/>
      </c>
      <c r="P268" t="str">
        <f t="shared" si="21"/>
        <v/>
      </c>
      <c r="Q268" t="str">
        <f>IF(OR($P268="",$S268=""),"",IFERROR($P268-INDEX(Config!$E$15:$E$18,MATCH($S268,Config!$B$15:$B$18,0)),""))</f>
        <v/>
      </c>
      <c r="R268" t="str">
        <f t="shared" si="22"/>
        <v/>
      </c>
      <c r="S268" s="6" t="str">
        <f>IF(OR($A268="",$C268=""),"",IFERROR(INDEX(Turno!$C$3:$V$32,MATCH($C268,Turno!$B$3:$B$32,0),MATCH(DAY($A268),Turno!$C$1:$V$1,0)),""))</f>
        <v/>
      </c>
      <c r="T268" t="str">
        <f>IF(OR($E268="",$S268=""),"",IFERROR(MAX(0,ROUND((INDEX(Config!$D$15:$D$18,MATCH($S268,Config!$B$15:$B$18,0))-$E268)*1440,0)),""))</f>
        <v/>
      </c>
      <c r="U268" s="13" t="str">
        <f>IF(OR($N268="",$T268=""),"",IFERROR(MAX(0,1-($N268+$T268+MAX(0,N($Q268)))/ROUND((INDEX(Config!$D$15:$D$18,MATCH($S268,Config!$B$15:$B$18,0))-INDEX(Config!$C$15:$C$18,MATCH($S268,Config!$B$15:$B$18,0)))*1440,0)),""))</f>
        <v/>
      </c>
      <c r="V268" s="5"/>
    </row>
    <row r="269" spans="1:22" x14ac:dyDescent="0.25">
      <c r="A269" s="11"/>
      <c r="B269" s="17"/>
      <c r="C269" t="str">
        <f>IFERROR(INDEX([1]Ejecutivos!$B$2:$B$101,MATCH(B269,[1]Ejecutivos!$A$2:$A$101,0)),"")</f>
        <v/>
      </c>
      <c r="D269" s="42"/>
      <c r="E269" s="42"/>
      <c r="F269" s="42"/>
      <c r="G269" s="42"/>
      <c r="H269" s="43"/>
      <c r="I269" s="43"/>
      <c r="J269" s="46"/>
      <c r="K269" s="42"/>
      <c r="L269" s="18">
        <v>0</v>
      </c>
      <c r="M269" t="str">
        <f t="shared" si="19"/>
        <v/>
      </c>
      <c r="N269" t="str">
        <f>IF(OR($D269="",$S269=""),"",IFERROR(MAX(0,ROUND(($D269-INDEX(Config!$C$15:$C$18,MATCH($S269,Config!$B$15:$B$18,0)))*24*60,0)),""))</f>
        <v/>
      </c>
      <c r="O269" t="str">
        <f t="shared" si="20"/>
        <v/>
      </c>
      <c r="P269" t="str">
        <f t="shared" si="21"/>
        <v/>
      </c>
      <c r="Q269" t="str">
        <f>IF(OR($P269="",$S269=""),"",IFERROR($P269-INDEX(Config!$E$15:$E$18,MATCH($S269,Config!$B$15:$B$18,0)),""))</f>
        <v/>
      </c>
      <c r="R269" t="str">
        <f t="shared" si="22"/>
        <v/>
      </c>
      <c r="S269" s="6" t="str">
        <f>IF(OR($A269="",$C269=""),"",IFERROR(INDEX(Turno!$C$3:$V$32,MATCH($C269,Turno!$B$3:$B$32,0),MATCH(DAY($A269),Turno!$C$1:$V$1,0)),""))</f>
        <v/>
      </c>
      <c r="T269" t="str">
        <f>IF(OR($E269="",$S269=""),"",IFERROR(MAX(0,ROUND((INDEX(Config!$D$15:$D$18,MATCH($S269,Config!$B$15:$B$18,0))-$E269)*1440,0)),""))</f>
        <v/>
      </c>
      <c r="U269" s="13" t="str">
        <f>IF(OR($N269="",$T269=""),"",IFERROR(MAX(0,1-($N269+$T269+MAX(0,N($Q269)))/ROUND((INDEX(Config!$D$15:$D$18,MATCH($S269,Config!$B$15:$B$18,0))-INDEX(Config!$C$15:$C$18,MATCH($S269,Config!$B$15:$B$18,0)))*1440,0)),""))</f>
        <v/>
      </c>
      <c r="V269" s="5"/>
    </row>
    <row r="270" spans="1:22" x14ac:dyDescent="0.25">
      <c r="A270" s="11"/>
      <c r="B270" s="17"/>
      <c r="C270" t="str">
        <f>IFERROR(INDEX([1]Ejecutivos!$B$2:$B$101,MATCH(B270,[1]Ejecutivos!$A$2:$A$101,0)),"")</f>
        <v/>
      </c>
      <c r="D270" s="44"/>
      <c r="E270" s="44"/>
      <c r="F270" s="44"/>
      <c r="G270" s="44"/>
      <c r="H270" s="45"/>
      <c r="I270" s="45"/>
      <c r="J270" s="47"/>
      <c r="K270" s="44"/>
      <c r="L270" s="18">
        <v>0</v>
      </c>
      <c r="M270" t="str">
        <f t="shared" si="19"/>
        <v/>
      </c>
      <c r="N270" t="str">
        <f>IF(OR($D270="",$S270=""),"",IFERROR(MAX(0,ROUND(($D270-INDEX(Config!$C$15:$C$18,MATCH($S270,Config!$B$15:$B$18,0)))*24*60,0)),""))</f>
        <v/>
      </c>
      <c r="O270" t="str">
        <f t="shared" si="20"/>
        <v/>
      </c>
      <c r="P270" t="str">
        <f t="shared" si="21"/>
        <v/>
      </c>
      <c r="Q270" t="str">
        <f>IF(OR($P270="",$S270=""),"",IFERROR($P270-INDEX(Config!$E$15:$E$18,MATCH($S270,Config!$B$15:$B$18,0)),""))</f>
        <v/>
      </c>
      <c r="R270" t="str">
        <f t="shared" si="22"/>
        <v/>
      </c>
      <c r="S270" s="6" t="str">
        <f>IF(OR($A270="",$C270=""),"",IFERROR(INDEX(Turno!$C$3:$V$32,MATCH($C270,Turno!$B$3:$B$32,0),MATCH(DAY($A270),Turno!$C$1:$V$1,0)),""))</f>
        <v/>
      </c>
      <c r="T270" t="str">
        <f>IF(OR($E270="",$S270=""),"",IFERROR(MAX(0,ROUND((INDEX(Config!$D$15:$D$18,MATCH($S270,Config!$B$15:$B$18,0))-$E270)*1440,0)),""))</f>
        <v/>
      </c>
      <c r="U270" s="13" t="str">
        <f>IF(OR($N270="",$T270=""),"",IFERROR(MAX(0,1-($N270+$T270+MAX(0,N($Q270)))/ROUND((INDEX(Config!$D$15:$D$18,MATCH($S270,Config!$B$15:$B$18,0))-INDEX(Config!$C$15:$C$18,MATCH($S270,Config!$B$15:$B$18,0)))*1440,0)),""))</f>
        <v/>
      </c>
      <c r="V270" s="5"/>
    </row>
    <row r="271" spans="1:22" x14ac:dyDescent="0.25">
      <c r="A271" s="11"/>
      <c r="B271" s="17"/>
      <c r="C271" t="str">
        <f>IFERROR(INDEX([1]Ejecutivos!$B$2:$B$101,MATCH(B271,[1]Ejecutivos!$A$2:$A$101,0)),"")</f>
        <v/>
      </c>
      <c r="D271" s="42"/>
      <c r="E271" s="42"/>
      <c r="F271" s="42"/>
      <c r="G271" s="42"/>
      <c r="H271" s="43"/>
      <c r="I271" s="43"/>
      <c r="J271" s="46"/>
      <c r="K271" s="42"/>
      <c r="L271" s="18">
        <v>0</v>
      </c>
      <c r="M271" t="str">
        <f t="shared" si="19"/>
        <v/>
      </c>
      <c r="N271" t="str">
        <f>IF(OR($D271="",$S271=""),"",IFERROR(MAX(0,ROUND(($D271-INDEX(Config!$C$15:$C$18,MATCH($S271,Config!$B$15:$B$18,0)))*24*60,0)),""))</f>
        <v/>
      </c>
      <c r="O271" t="str">
        <f t="shared" si="20"/>
        <v/>
      </c>
      <c r="P271" t="str">
        <f t="shared" si="21"/>
        <v/>
      </c>
      <c r="Q271" t="str">
        <f>IF(OR($P271="",$S271=""),"",IFERROR($P271-INDEX(Config!$E$15:$E$18,MATCH($S271,Config!$B$15:$B$18,0)),""))</f>
        <v/>
      </c>
      <c r="R271" t="str">
        <f t="shared" si="22"/>
        <v/>
      </c>
      <c r="S271" s="6" t="str">
        <f>IF(OR($A271="",$C271=""),"",IFERROR(INDEX(Turno!$C$3:$V$32,MATCH($C271,Turno!$B$3:$B$32,0),MATCH(DAY($A271),Turno!$C$1:$V$1,0)),""))</f>
        <v/>
      </c>
      <c r="T271" t="str">
        <f>IF(OR($E271="",$S271=""),"",IFERROR(MAX(0,ROUND((INDEX(Config!$D$15:$D$18,MATCH($S271,Config!$B$15:$B$18,0))-$E271)*1440,0)),""))</f>
        <v/>
      </c>
      <c r="U271" s="13" t="str">
        <f>IF(OR($N271="",$T271=""),"",IFERROR(MAX(0,1-($N271+$T271+MAX(0,N($Q271)))/ROUND((INDEX(Config!$D$15:$D$18,MATCH($S271,Config!$B$15:$B$18,0))-INDEX(Config!$C$15:$C$18,MATCH($S271,Config!$B$15:$B$18,0)))*1440,0)),""))</f>
        <v/>
      </c>
      <c r="V271" s="5"/>
    </row>
    <row r="272" spans="1:22" x14ac:dyDescent="0.25">
      <c r="A272" s="11"/>
      <c r="B272" s="17"/>
      <c r="C272" t="str">
        <f>IFERROR(INDEX([1]Ejecutivos!$B$2:$B$101,MATCH(B272,[1]Ejecutivos!$A$2:$A$101,0)),"")</f>
        <v/>
      </c>
      <c r="D272" s="44"/>
      <c r="E272" s="44"/>
      <c r="F272" s="44"/>
      <c r="G272" s="44"/>
      <c r="H272" s="45"/>
      <c r="I272" s="45"/>
      <c r="J272" s="45"/>
      <c r="K272" s="44"/>
      <c r="L272" s="18">
        <v>0</v>
      </c>
      <c r="M272" t="str">
        <f t="shared" si="19"/>
        <v/>
      </c>
      <c r="N272" t="str">
        <f>IF(OR($D272="",$S272=""),"",IFERROR(MAX(0,ROUND(($D272-INDEX(Config!$C$15:$C$18,MATCH($S272,Config!$B$15:$B$18,0)))*24*60,0)),""))</f>
        <v/>
      </c>
      <c r="O272" t="str">
        <f t="shared" si="20"/>
        <v/>
      </c>
      <c r="P272" t="str">
        <f t="shared" si="21"/>
        <v/>
      </c>
      <c r="Q272" t="str">
        <f>IF(OR($P272="",$S272=""),"",IFERROR($P272-INDEX(Config!$E$15:$E$18,MATCH($S272,Config!$B$15:$B$18,0)),""))</f>
        <v/>
      </c>
      <c r="R272" t="str">
        <f t="shared" si="22"/>
        <v/>
      </c>
      <c r="S272" s="6" t="str">
        <f>IF(OR($A272="",$C272=""),"",IFERROR(INDEX(Turno!$C$3:$V$32,MATCH($C272,Turno!$B$3:$B$32,0),MATCH(DAY($A272),Turno!$C$1:$V$1,0)),""))</f>
        <v/>
      </c>
      <c r="T272" t="str">
        <f>IF(OR($E272="",$S272=""),"",IFERROR(MAX(0,ROUND((INDEX(Config!$D$15:$D$18,MATCH($S272,Config!$B$15:$B$18,0))-$E272)*1440,0)),""))</f>
        <v/>
      </c>
      <c r="U272" s="13" t="str">
        <f>IF(OR($N272="",$T272=""),"",IFERROR(MAX(0,1-($N272+$T272+MAX(0,N($Q272)))/ROUND((INDEX(Config!$D$15:$D$18,MATCH($S272,Config!$B$15:$B$18,0))-INDEX(Config!$C$15:$C$18,MATCH($S272,Config!$B$15:$B$18,0)))*1440,0)),""))</f>
        <v/>
      </c>
      <c r="V272" s="5"/>
    </row>
    <row r="273" spans="1:22" x14ac:dyDescent="0.25">
      <c r="A273" s="11"/>
      <c r="B273" s="17"/>
      <c r="C273" t="str">
        <f>IFERROR(INDEX([1]Ejecutivos!$B$2:$B$101,MATCH(B273,[1]Ejecutivos!$A$2:$A$101,0)),"")</f>
        <v/>
      </c>
      <c r="D273" s="42"/>
      <c r="E273" s="42"/>
      <c r="F273" s="42"/>
      <c r="G273" s="42"/>
      <c r="H273" s="43"/>
      <c r="I273" s="43"/>
      <c r="J273" s="43"/>
      <c r="K273" s="42"/>
      <c r="L273" s="18">
        <v>0</v>
      </c>
      <c r="M273" t="str">
        <f t="shared" si="19"/>
        <v/>
      </c>
      <c r="N273" t="str">
        <f>IF(OR($D273="",$S273=""),"",IFERROR(MAX(0,ROUND(($D273-INDEX(Config!$C$15:$C$18,MATCH($S273,Config!$B$15:$B$18,0)))*24*60,0)),""))</f>
        <v/>
      </c>
      <c r="O273" t="str">
        <f t="shared" si="20"/>
        <v/>
      </c>
      <c r="P273" t="str">
        <f t="shared" si="21"/>
        <v/>
      </c>
      <c r="Q273" t="str">
        <f>IF(OR($P273="",$S273=""),"",IFERROR($P273-INDEX(Config!$E$15:$E$18,MATCH($S273,Config!$B$15:$B$18,0)),""))</f>
        <v/>
      </c>
      <c r="R273" t="str">
        <f t="shared" si="22"/>
        <v/>
      </c>
      <c r="S273" s="6" t="str">
        <f>IF(OR($A273="",$C273=""),"",IFERROR(INDEX(Turno!$C$3:$V$32,MATCH($C273,Turno!$B$3:$B$32,0),MATCH(DAY($A273),Turno!$C$1:$V$1,0)),""))</f>
        <v/>
      </c>
      <c r="T273" t="str">
        <f>IF(OR($E273="",$S273=""),"",IFERROR(MAX(0,ROUND((INDEX(Config!$D$15:$D$18,MATCH($S273,Config!$B$15:$B$18,0))-$E273)*1440,0)),""))</f>
        <v/>
      </c>
      <c r="U273" s="13" t="str">
        <f>IF(OR($N273="",$T273=""),"",IFERROR(MAX(0,1-($N273+$T273+MAX(0,N($Q273)))/ROUND((INDEX(Config!$D$15:$D$18,MATCH($S273,Config!$B$15:$B$18,0))-INDEX(Config!$C$15:$C$18,MATCH($S273,Config!$B$15:$B$18,0)))*1440,0)),""))</f>
        <v/>
      </c>
      <c r="V273" s="5"/>
    </row>
    <row r="274" spans="1:22" x14ac:dyDescent="0.25">
      <c r="A274" s="11"/>
      <c r="B274" s="17"/>
      <c r="C274" t="str">
        <f>IFERROR(INDEX([1]Ejecutivos!$B$2:$B$101,MATCH(B274,[1]Ejecutivos!$A$2:$A$101,0)),"")</f>
        <v/>
      </c>
      <c r="D274" s="44"/>
      <c r="E274" s="44"/>
      <c r="F274" s="44"/>
      <c r="G274" s="44"/>
      <c r="H274" s="45"/>
      <c r="I274" s="45"/>
      <c r="J274" s="45"/>
      <c r="K274" s="44"/>
      <c r="L274" s="18">
        <v>0</v>
      </c>
      <c r="M274" t="str">
        <f t="shared" si="19"/>
        <v/>
      </c>
      <c r="N274" t="str">
        <f>IF(OR($D274="",$S274=""),"",IFERROR(MAX(0,ROUND(($D274-INDEX(Config!$C$15:$C$18,MATCH($S274,Config!$B$15:$B$18,0)))*24*60,0)),""))</f>
        <v/>
      </c>
      <c r="O274" t="str">
        <f t="shared" si="20"/>
        <v/>
      </c>
      <c r="P274" t="str">
        <f t="shared" si="21"/>
        <v/>
      </c>
      <c r="Q274" t="str">
        <f>IF(OR($P274="",$S274=""),"",IFERROR($P274-INDEX(Config!$E$15:$E$18,MATCH($S274,Config!$B$15:$B$18,0)),""))</f>
        <v/>
      </c>
      <c r="R274" t="str">
        <f t="shared" si="22"/>
        <v/>
      </c>
      <c r="S274" s="6" t="str">
        <f>IF(OR($A274="",$C274=""),"",IFERROR(INDEX(Turno!$C$3:$V$32,MATCH($C274,Turno!$B$3:$B$32,0),MATCH(DAY($A274),Turno!$C$1:$V$1,0)),""))</f>
        <v/>
      </c>
      <c r="T274" t="str">
        <f>IF(OR($E274="",$S274=""),"",IFERROR(MAX(0,ROUND((INDEX(Config!$D$15:$D$18,MATCH($S274,Config!$B$15:$B$18,0))-$E274)*1440,0)),""))</f>
        <v/>
      </c>
      <c r="U274" s="13" t="str">
        <f>IF(OR($N274="",$T274=""),"",IFERROR(MAX(0,1-($N274+$T274+MAX(0,N($Q274)))/ROUND((INDEX(Config!$D$15:$D$18,MATCH($S274,Config!$B$15:$B$18,0))-INDEX(Config!$C$15:$C$18,MATCH($S274,Config!$B$15:$B$18,0)))*1440,0)),""))</f>
        <v/>
      </c>
      <c r="V274" s="5"/>
    </row>
    <row r="275" spans="1:22" x14ac:dyDescent="0.25">
      <c r="A275" s="11"/>
      <c r="B275" s="17"/>
      <c r="C275" t="str">
        <f>IFERROR(INDEX([1]Ejecutivos!$B$2:$B$101,MATCH(B275,[1]Ejecutivos!$A$2:$A$101,0)),"")</f>
        <v/>
      </c>
      <c r="D275" s="42"/>
      <c r="E275" s="42"/>
      <c r="F275" s="42"/>
      <c r="G275" s="42"/>
      <c r="H275" s="43"/>
      <c r="I275" s="42"/>
      <c r="J275" s="43"/>
      <c r="K275" s="42"/>
      <c r="L275" s="18">
        <v>0</v>
      </c>
      <c r="M275" t="str">
        <f t="shared" si="19"/>
        <v/>
      </c>
      <c r="N275" t="str">
        <f>IF(OR($D275="",$S275=""),"",IFERROR(MAX(0,ROUND(($D275-INDEX(Config!$C$15:$C$18,MATCH($S275,Config!$B$15:$B$18,0)))*24*60,0)),""))</f>
        <v/>
      </c>
      <c r="O275" t="str">
        <f t="shared" si="20"/>
        <v/>
      </c>
      <c r="P275" t="str">
        <f t="shared" si="21"/>
        <v/>
      </c>
      <c r="Q275" t="str">
        <f>IF(OR($P275="",$S275=""),"",IFERROR($P275-INDEX(Config!$E$15:$E$18,MATCH($S275,Config!$B$15:$B$18,0)),""))</f>
        <v/>
      </c>
      <c r="R275" t="str">
        <f t="shared" si="22"/>
        <v/>
      </c>
      <c r="S275" s="6" t="str">
        <f>IF(OR($A275="",$C275=""),"",IFERROR(INDEX(Turno!$C$3:$V$32,MATCH($C275,Turno!$B$3:$B$32,0),MATCH(DAY($A275),Turno!$C$1:$V$1,0)),""))</f>
        <v/>
      </c>
      <c r="T275" t="str">
        <f>IF(OR($E275="",$S275=""),"",IFERROR(MAX(0,ROUND((INDEX(Config!$D$15:$D$18,MATCH($S275,Config!$B$15:$B$18,0))-$E275)*1440,0)),""))</f>
        <v/>
      </c>
      <c r="U275" s="13" t="str">
        <f>IF(OR($N275="",$T275=""),"",IFERROR(MAX(0,1-($N275+$T275+MAX(0,N($Q275)))/ROUND((INDEX(Config!$D$15:$D$18,MATCH($S275,Config!$B$15:$B$18,0))-INDEX(Config!$C$15:$C$18,MATCH($S275,Config!$B$15:$B$18,0)))*1440,0)),""))</f>
        <v/>
      </c>
      <c r="V275" s="5"/>
    </row>
    <row r="276" spans="1:22" x14ac:dyDescent="0.25">
      <c r="A276" s="11"/>
      <c r="B276" s="17"/>
      <c r="C276" t="str">
        <f>IFERROR(INDEX([1]Ejecutivos!$B$2:$B$101,MATCH(B276,[1]Ejecutivos!$A$2:$A$101,0)),"")</f>
        <v/>
      </c>
      <c r="D276" s="44"/>
      <c r="E276" s="44"/>
      <c r="F276" s="44"/>
      <c r="G276" s="44"/>
      <c r="H276" s="44"/>
      <c r="I276" s="44"/>
      <c r="J276" s="45"/>
      <c r="K276" s="44"/>
      <c r="L276" s="18">
        <v>0</v>
      </c>
      <c r="M276" t="str">
        <f t="shared" si="19"/>
        <v/>
      </c>
      <c r="N276" t="str">
        <f>IF(OR($D276="",$S276=""),"",IFERROR(MAX(0,ROUND(($D276-INDEX(Config!$C$15:$C$18,MATCH($S276,Config!$B$15:$B$18,0)))*24*60,0)),""))</f>
        <v/>
      </c>
      <c r="O276" t="str">
        <f t="shared" si="20"/>
        <v/>
      </c>
      <c r="P276" t="str">
        <f t="shared" si="21"/>
        <v/>
      </c>
      <c r="Q276" t="str">
        <f>IF(OR($P276="",$S276=""),"",IFERROR($P276-INDEX(Config!$E$15:$E$18,MATCH($S276,Config!$B$15:$B$18,0)),""))</f>
        <v/>
      </c>
      <c r="R276" t="str">
        <f t="shared" si="22"/>
        <v/>
      </c>
      <c r="S276" s="6" t="str">
        <f>IF(OR($A276="",$C276=""),"",IFERROR(INDEX(Turno!$C$3:$V$32,MATCH($C276,Turno!$B$3:$B$32,0),MATCH(DAY($A276),Turno!$C$1:$V$1,0)),""))</f>
        <v/>
      </c>
      <c r="T276" t="str">
        <f>IF(OR($E276="",$S276=""),"",IFERROR(MAX(0,ROUND((INDEX(Config!$D$15:$D$18,MATCH($S276,Config!$B$15:$B$18,0))-$E276)*1440,0)),""))</f>
        <v/>
      </c>
      <c r="U276" s="13" t="str">
        <f>IF(OR($N276="",$T276=""),"",IFERROR(MAX(0,1-($N276+$T276+MAX(0,N($Q276)))/ROUND((INDEX(Config!$D$15:$D$18,MATCH($S276,Config!$B$15:$B$18,0))-INDEX(Config!$C$15:$C$18,MATCH($S276,Config!$B$15:$B$18,0)))*1440,0)),""))</f>
        <v/>
      </c>
      <c r="V276" s="5"/>
    </row>
    <row r="277" spans="1:22" x14ac:dyDescent="0.25">
      <c r="A277" s="11"/>
      <c r="B277" s="17"/>
      <c r="C277" t="str">
        <f>IFERROR(INDEX([1]Ejecutivos!$B$2:$B$101,MATCH(B277,[1]Ejecutivos!$A$2:$A$101,0)),"")</f>
        <v/>
      </c>
      <c r="D277" s="42"/>
      <c r="E277" s="42"/>
      <c r="F277" s="42"/>
      <c r="G277" s="42"/>
      <c r="H277" s="44"/>
      <c r="I277" s="44"/>
      <c r="J277" s="45"/>
      <c r="K277" s="44"/>
      <c r="L277" s="18">
        <v>0</v>
      </c>
      <c r="M277" t="str">
        <f t="shared" si="19"/>
        <v/>
      </c>
      <c r="N277" t="str">
        <f>IF(OR($D277="",$S277=""),"",IFERROR(MAX(0,ROUND(($D277-INDEX(Config!$C$15:$C$18,MATCH($S277,Config!$B$15:$B$18,0)))*24*60,0)),""))</f>
        <v/>
      </c>
      <c r="O277" t="str">
        <f t="shared" si="20"/>
        <v/>
      </c>
      <c r="P277" t="str">
        <f t="shared" si="21"/>
        <v/>
      </c>
      <c r="Q277" t="str">
        <f>IF(OR($P277="",$S277=""),"",IFERROR($P277-INDEX(Config!$E$15:$E$18,MATCH($S277,Config!$B$15:$B$18,0)),""))</f>
        <v/>
      </c>
      <c r="R277" t="str">
        <f t="shared" si="22"/>
        <v/>
      </c>
      <c r="S277" s="6" t="str">
        <f>IF(OR($A277="",$C277=""),"",IFERROR(INDEX(Turno!$C$3:$V$32,MATCH($C277,Turno!$B$3:$B$32,0),MATCH(DAY($A277),Turno!$C$1:$V$1,0)),""))</f>
        <v/>
      </c>
      <c r="T277" t="str">
        <f>IF(OR($E277="",$S277=""),"",IFERROR(MAX(0,ROUND((INDEX(Config!$D$15:$D$18,MATCH($S277,Config!$B$15:$B$18,0))-$E277)*1440,0)),""))</f>
        <v/>
      </c>
      <c r="U277" s="13" t="str">
        <f>IF(OR($N277="",$T277=""),"",IFERROR(MAX(0,1-($N277+$T277+MAX(0,N($Q277)))/ROUND((INDEX(Config!$D$15:$D$18,MATCH($S277,Config!$B$15:$B$18,0))-INDEX(Config!$C$15:$C$18,MATCH($S277,Config!$B$15:$B$18,0)))*1440,0)),""))</f>
        <v/>
      </c>
      <c r="V277" s="5"/>
    </row>
    <row r="278" spans="1:22" x14ac:dyDescent="0.25">
      <c r="A278" s="11"/>
      <c r="B278" s="17"/>
      <c r="C278" t="str">
        <f>IFERROR(INDEX([1]Ejecutivos!$B$2:$B$101,MATCH(B278,[1]Ejecutivos!$A$2:$A$101,0)),"")</f>
        <v/>
      </c>
      <c r="D278" s="44"/>
      <c r="E278" s="44"/>
      <c r="F278" s="44"/>
      <c r="G278" s="44"/>
      <c r="H278" s="45"/>
      <c r="I278" s="45"/>
      <c r="J278" s="45"/>
      <c r="K278" s="44"/>
      <c r="L278" s="18">
        <v>0</v>
      </c>
      <c r="M278" t="str">
        <f t="shared" si="19"/>
        <v/>
      </c>
      <c r="N278" t="str">
        <f>IF(OR($D278="",$S278=""),"",IFERROR(MAX(0,ROUND(($D278-INDEX(Config!$C$15:$C$18,MATCH($S278,Config!$B$15:$B$18,0)))*24*60,0)),""))</f>
        <v/>
      </c>
      <c r="O278" t="str">
        <f t="shared" si="20"/>
        <v/>
      </c>
      <c r="P278" t="str">
        <f t="shared" si="21"/>
        <v/>
      </c>
      <c r="Q278" t="str">
        <f>IF(OR($P278="",$S278=""),"",IFERROR($P278-INDEX(Config!$E$15:$E$18,MATCH($S278,Config!$B$15:$B$18,0)),""))</f>
        <v/>
      </c>
      <c r="R278" t="str">
        <f t="shared" si="22"/>
        <v/>
      </c>
      <c r="S278" s="6" t="str">
        <f>IF(OR($A278="",$C278=""),"",IFERROR(INDEX(Turno!$C$3:$V$32,MATCH($C278,Turno!$B$3:$B$32,0),MATCH(DAY($A278),Turno!$C$1:$V$1,0)),""))</f>
        <v/>
      </c>
      <c r="T278" t="str">
        <f>IF(OR($E278="",$S278=""),"",IFERROR(MAX(0,ROUND((INDEX(Config!$D$15:$D$18,MATCH($S278,Config!$B$15:$B$18,0))-$E278)*1440,0)),""))</f>
        <v/>
      </c>
      <c r="U278" s="13" t="str">
        <f>IF(OR($N278="",$T278=""),"",IFERROR(MAX(0,1-($N278+$T278+MAX(0,N($Q278)))/ROUND((INDEX(Config!$D$15:$D$18,MATCH($S278,Config!$B$15:$B$18,0))-INDEX(Config!$C$15:$C$18,MATCH($S278,Config!$B$15:$B$18,0)))*1440,0)),""))</f>
        <v/>
      </c>
      <c r="V278" s="5"/>
    </row>
    <row r="279" spans="1:22" x14ac:dyDescent="0.25">
      <c r="A279" s="11"/>
      <c r="B279" s="17"/>
      <c r="C279" t="str">
        <f>IFERROR(INDEX([1]Ejecutivos!$B$2:$B$101,MATCH(B279,[1]Ejecutivos!$A$2:$A$101,0)),"")</f>
        <v/>
      </c>
      <c r="D279" s="42"/>
      <c r="E279" s="42"/>
      <c r="F279" s="42"/>
      <c r="G279" s="42"/>
      <c r="H279" s="43"/>
      <c r="I279" s="43"/>
      <c r="J279" s="43"/>
      <c r="K279" s="42"/>
      <c r="L279" s="18">
        <v>0</v>
      </c>
      <c r="M279" t="str">
        <f t="shared" si="19"/>
        <v/>
      </c>
      <c r="N279" t="str">
        <f>IF(OR($D279="",$S279=""),"",IFERROR(MAX(0,ROUND(($D279-INDEX(Config!$C$15:$C$18,MATCH($S279,Config!$B$15:$B$18,0)))*24*60,0)),""))</f>
        <v/>
      </c>
      <c r="O279" t="str">
        <f t="shared" si="20"/>
        <v/>
      </c>
      <c r="P279" t="str">
        <f t="shared" si="21"/>
        <v/>
      </c>
      <c r="Q279" t="str">
        <f>IF(OR($P279="",$S279=""),"",IFERROR($P279-INDEX(Config!$E$15:$E$18,MATCH($S279,Config!$B$15:$B$18,0)),""))</f>
        <v/>
      </c>
      <c r="R279" t="str">
        <f t="shared" si="22"/>
        <v/>
      </c>
      <c r="S279" s="6" t="str">
        <f>IF(OR($A279="",$C279=""),"",IFERROR(INDEX(Turno!$C$3:$V$32,MATCH($C279,Turno!$B$3:$B$32,0),MATCH(DAY($A279),Turno!$C$1:$V$1,0)),""))</f>
        <v/>
      </c>
      <c r="T279" t="str">
        <f>IF(OR($E279="",$S279=""),"",IFERROR(MAX(0,ROUND((INDEX(Config!$D$15:$D$18,MATCH($S279,Config!$B$15:$B$18,0))-$E279)*1440,0)),""))</f>
        <v/>
      </c>
      <c r="U279" s="13" t="str">
        <f>IF(OR($N279="",$T279=""),"",IFERROR(MAX(0,1-($N279+$T279+MAX(0,N($Q279)))/ROUND((INDEX(Config!$D$15:$D$18,MATCH($S279,Config!$B$15:$B$18,0))-INDEX(Config!$C$15:$C$18,MATCH($S279,Config!$B$15:$B$18,0)))*1440,0)),""))</f>
        <v/>
      </c>
      <c r="V279" s="5"/>
    </row>
    <row r="280" spans="1:22" x14ac:dyDescent="0.25">
      <c r="A280" s="11"/>
      <c r="B280" s="17"/>
      <c r="C280" t="str">
        <f>IFERROR(INDEX([1]Ejecutivos!$B$2:$B$101,MATCH(B280,[1]Ejecutivos!$A$2:$A$101,0)),"")</f>
        <v/>
      </c>
      <c r="D280" s="44"/>
      <c r="E280" s="44"/>
      <c r="F280" s="44"/>
      <c r="G280" s="44"/>
      <c r="H280" s="45"/>
      <c r="I280" s="45"/>
      <c r="J280" s="45"/>
      <c r="K280" s="44"/>
      <c r="L280" s="18">
        <v>0</v>
      </c>
      <c r="M280" t="str">
        <f t="shared" si="19"/>
        <v/>
      </c>
      <c r="N280" t="str">
        <f>IF(OR($D280="",$S280=""),"",IFERROR(MAX(0,ROUND(($D280-INDEX(Config!$C$15:$C$18,MATCH($S280,Config!$B$15:$B$18,0)))*24*60,0)),""))</f>
        <v/>
      </c>
      <c r="O280" t="str">
        <f t="shared" si="20"/>
        <v/>
      </c>
      <c r="P280" t="str">
        <f t="shared" si="21"/>
        <v/>
      </c>
      <c r="Q280" t="str">
        <f>IF(OR($P280="",$S280=""),"",IFERROR($P280-INDEX(Config!$E$15:$E$18,MATCH($S280,Config!$B$15:$B$18,0)),""))</f>
        <v/>
      </c>
      <c r="R280" t="str">
        <f t="shared" si="22"/>
        <v/>
      </c>
      <c r="S280" s="6" t="str">
        <f>IF(OR($A280="",$C280=""),"",IFERROR(INDEX(Turno!$C$3:$V$32,MATCH($C280,Turno!$B$3:$B$32,0),MATCH(DAY($A280),Turno!$C$1:$V$1,0)),""))</f>
        <v/>
      </c>
      <c r="T280" t="str">
        <f>IF(OR($E280="",$S280=""),"",IFERROR(MAX(0,ROUND((INDEX(Config!$D$15:$D$18,MATCH($S280,Config!$B$15:$B$18,0))-$E280)*1440,0)),""))</f>
        <v/>
      </c>
      <c r="U280" s="13" t="str">
        <f>IF(OR($N280="",$T280=""),"",IFERROR(MAX(0,1-($N280+$T280+MAX(0,N($Q280)))/ROUND((INDEX(Config!$D$15:$D$18,MATCH($S280,Config!$B$15:$B$18,0))-INDEX(Config!$C$15:$C$18,MATCH($S280,Config!$B$15:$B$18,0)))*1440,0)),""))</f>
        <v/>
      </c>
      <c r="V280" s="5"/>
    </row>
    <row r="281" spans="1:22" x14ac:dyDescent="0.25">
      <c r="A281" s="11"/>
      <c r="B281" s="17"/>
      <c r="C281" t="str">
        <f>IFERROR(INDEX([1]Ejecutivos!$B$2:$B$101,MATCH(B281,[1]Ejecutivos!$A$2:$A$101,0)),"")</f>
        <v/>
      </c>
      <c r="D281" s="42"/>
      <c r="E281" s="42"/>
      <c r="F281" s="42"/>
      <c r="G281" s="42"/>
      <c r="H281" s="43"/>
      <c r="I281" s="43"/>
      <c r="J281" s="43"/>
      <c r="K281" s="42"/>
      <c r="L281" s="18">
        <v>0</v>
      </c>
      <c r="M281" t="str">
        <f t="shared" si="19"/>
        <v/>
      </c>
      <c r="N281" t="str">
        <f>IF(OR($D281="",$S281=""),"",IFERROR(MAX(0,ROUND(($D281-INDEX(Config!$C$15:$C$18,MATCH($S281,Config!$B$15:$B$18,0)))*24*60,0)),""))</f>
        <v/>
      </c>
      <c r="O281" t="str">
        <f t="shared" si="20"/>
        <v/>
      </c>
      <c r="P281" t="str">
        <f t="shared" si="21"/>
        <v/>
      </c>
      <c r="Q281" t="str">
        <f>IF(OR($P281="",$S281=""),"",IFERROR($P281-INDEX(Config!$E$15:$E$18,MATCH($S281,Config!$B$15:$B$18,0)),""))</f>
        <v/>
      </c>
      <c r="R281" t="str">
        <f t="shared" si="22"/>
        <v/>
      </c>
      <c r="S281" s="6" t="str">
        <f>IF(OR($A281="",$C281=""),"",IFERROR(INDEX(Turno!$C$3:$V$32,MATCH($C281,Turno!$B$3:$B$32,0),MATCH(DAY($A281),Turno!$C$1:$V$1,0)),""))</f>
        <v/>
      </c>
      <c r="T281" t="str">
        <f>IF(OR($E281="",$S281=""),"",IFERROR(MAX(0,ROUND((INDEX(Config!$D$15:$D$18,MATCH($S281,Config!$B$15:$B$18,0))-$E281)*1440,0)),""))</f>
        <v/>
      </c>
      <c r="U281" s="13" t="str">
        <f>IF(OR($N281="",$T281=""),"",IFERROR(MAX(0,1-($N281+$T281+MAX(0,N($Q281)))/ROUND((INDEX(Config!$D$15:$D$18,MATCH($S281,Config!$B$15:$B$18,0))-INDEX(Config!$C$15:$C$18,MATCH($S281,Config!$B$15:$B$18,0)))*1440,0)),""))</f>
        <v/>
      </c>
      <c r="V281" s="5"/>
    </row>
    <row r="282" spans="1:22" x14ac:dyDescent="0.25">
      <c r="A282" s="11"/>
      <c r="B282" s="17"/>
      <c r="C282" t="str">
        <f>IFERROR(INDEX([1]Ejecutivos!$B$2:$B$101,MATCH(B282,[1]Ejecutivos!$A$2:$A$101,0)),"")</f>
        <v/>
      </c>
      <c r="D282" s="44"/>
      <c r="E282" s="44"/>
      <c r="F282" s="44"/>
      <c r="G282" s="44"/>
      <c r="H282" s="45"/>
      <c r="I282" s="44"/>
      <c r="J282" s="45"/>
      <c r="K282" s="44"/>
      <c r="L282" s="18">
        <v>0</v>
      </c>
      <c r="M282" t="str">
        <f t="shared" si="19"/>
        <v/>
      </c>
      <c r="N282" t="str">
        <f>IF(OR($D282="",$S282=""),"",IFERROR(MAX(0,ROUND(($D282-INDEX(Config!$C$15:$C$18,MATCH($S282,Config!$B$15:$B$18,0)))*24*60,0)),""))</f>
        <v/>
      </c>
      <c r="O282" t="str">
        <f t="shared" si="20"/>
        <v/>
      </c>
      <c r="P282" t="str">
        <f t="shared" si="21"/>
        <v/>
      </c>
      <c r="Q282" t="str">
        <f>IF(OR($P282="",$S282=""),"",IFERROR($P282-INDEX(Config!$E$15:$E$18,MATCH($S282,Config!$B$15:$B$18,0)),""))</f>
        <v/>
      </c>
      <c r="R282" t="str">
        <f t="shared" si="22"/>
        <v/>
      </c>
      <c r="S282" s="6" t="str">
        <f>IF(OR($A282="",$C282=""),"",IFERROR(INDEX(Turno!$C$3:$V$32,MATCH($C282,Turno!$B$3:$B$32,0),MATCH(DAY($A282),Turno!$C$1:$V$1,0)),""))</f>
        <v/>
      </c>
      <c r="T282" t="str">
        <f>IF(OR($E282="",$S282=""),"",IFERROR(MAX(0,ROUND((INDEX(Config!$D$15:$D$18,MATCH($S282,Config!$B$15:$B$18,0))-$E282)*1440,0)),""))</f>
        <v/>
      </c>
      <c r="U282" s="13" t="str">
        <f>IF(OR($N282="",$T282=""),"",IFERROR(MAX(0,1-($N282+$T282+MAX(0,N($Q282)))/ROUND((INDEX(Config!$D$15:$D$18,MATCH($S282,Config!$B$15:$B$18,0))-INDEX(Config!$C$15:$C$18,MATCH($S282,Config!$B$15:$B$18,0)))*1440,0)),""))</f>
        <v/>
      </c>
      <c r="V282" s="5"/>
    </row>
    <row r="283" spans="1:22" x14ac:dyDescent="0.25">
      <c r="A283" s="11"/>
      <c r="B283" s="17"/>
      <c r="C283" t="str">
        <f>IFERROR(INDEX([1]Ejecutivos!$B$2:$B$101,MATCH(B283,[1]Ejecutivos!$A$2:$A$101,0)),"")</f>
        <v/>
      </c>
      <c r="D283" s="42"/>
      <c r="E283" s="42"/>
      <c r="F283" s="42"/>
      <c r="G283" s="42"/>
      <c r="H283" s="43"/>
      <c r="I283" s="43"/>
      <c r="J283" s="43"/>
      <c r="K283" s="42"/>
      <c r="L283" s="18">
        <v>0</v>
      </c>
      <c r="M283" t="str">
        <f t="shared" si="19"/>
        <v/>
      </c>
      <c r="N283" t="str">
        <f>IF(OR($D283="",$S283=""),"",IFERROR(MAX(0,ROUND(($D283-INDEX(Config!$C$15:$C$18,MATCH($S283,Config!$B$15:$B$18,0)))*24*60,0)),""))</f>
        <v/>
      </c>
      <c r="O283" t="str">
        <f t="shared" si="20"/>
        <v/>
      </c>
      <c r="P283" t="str">
        <f t="shared" si="21"/>
        <v/>
      </c>
      <c r="Q283" t="str">
        <f>IF(OR($P283="",$S283=""),"",IFERROR($P283-INDEX(Config!$E$15:$E$18,MATCH($S283,Config!$B$15:$B$18,0)),""))</f>
        <v/>
      </c>
      <c r="R283" t="str">
        <f t="shared" si="22"/>
        <v/>
      </c>
      <c r="S283" s="6" t="str">
        <f>IF(OR($A283="",$C283=""),"",IFERROR(INDEX(Turno!$C$3:$V$32,MATCH($C283,Turno!$B$3:$B$32,0),MATCH(DAY($A283),Turno!$C$1:$V$1,0)),""))</f>
        <v/>
      </c>
      <c r="T283" t="str">
        <f>IF(OR($E283="",$S283=""),"",IFERROR(MAX(0,ROUND((INDEX(Config!$D$15:$D$18,MATCH($S283,Config!$B$15:$B$18,0))-$E283)*1440,0)),""))</f>
        <v/>
      </c>
      <c r="U283" s="13" t="str">
        <f>IF(OR($N283="",$T283=""),"",IFERROR(MAX(0,1-($N283+$T283+MAX(0,N($Q283)))/ROUND((INDEX(Config!$D$15:$D$18,MATCH($S283,Config!$B$15:$B$18,0))-INDEX(Config!$C$15:$C$18,MATCH($S283,Config!$B$15:$B$18,0)))*1440,0)),""))</f>
        <v/>
      </c>
      <c r="V283" s="5"/>
    </row>
    <row r="284" spans="1:22" x14ac:dyDescent="0.25">
      <c r="A284" s="11"/>
      <c r="B284" s="17"/>
      <c r="C284" t="str">
        <f>IFERROR(INDEX([1]Ejecutivos!$B$2:$B$101,MATCH(B284,[1]Ejecutivos!$A$2:$A$101,0)),"")</f>
        <v/>
      </c>
      <c r="D284" s="44"/>
      <c r="E284" s="44"/>
      <c r="F284" s="44"/>
      <c r="G284" s="44"/>
      <c r="H284" s="45"/>
      <c r="I284" s="45"/>
      <c r="J284" s="45"/>
      <c r="K284" s="44"/>
      <c r="L284" s="18">
        <v>0</v>
      </c>
      <c r="M284" t="str">
        <f t="shared" si="19"/>
        <v/>
      </c>
      <c r="N284" t="str">
        <f>IF(OR($D284="",$S284=""),"",IFERROR(MAX(0,ROUND(($D284-INDEX(Config!$C$15:$C$18,MATCH($S284,Config!$B$15:$B$18,0)))*24*60,0)),""))</f>
        <v/>
      </c>
      <c r="O284" t="str">
        <f t="shared" si="20"/>
        <v/>
      </c>
      <c r="P284" t="str">
        <f t="shared" si="21"/>
        <v/>
      </c>
      <c r="Q284" t="str">
        <f>IF(OR($P284="",$S284=""),"",IFERROR($P284-INDEX(Config!$E$15:$E$18,MATCH($S284,Config!$B$15:$B$18,0)),""))</f>
        <v/>
      </c>
      <c r="R284" t="str">
        <f t="shared" si="22"/>
        <v/>
      </c>
      <c r="S284" s="6" t="str">
        <f>IF(OR($A284="",$C284=""),"",IFERROR(INDEX(Turno!$C$3:$V$32,MATCH($C284,Turno!$B$3:$B$32,0),MATCH(DAY($A284),Turno!$C$1:$V$1,0)),""))</f>
        <v/>
      </c>
      <c r="T284" t="str">
        <f>IF(OR($E284="",$S284=""),"",IFERROR(MAX(0,ROUND((INDEX(Config!$D$15:$D$18,MATCH($S284,Config!$B$15:$B$18,0))-$E284)*1440,0)),""))</f>
        <v/>
      </c>
      <c r="U284" s="13" t="str">
        <f>IF(OR($N284="",$T284=""),"",IFERROR(MAX(0,1-($N284+$T284+MAX(0,N($Q284)))/ROUND((INDEX(Config!$D$15:$D$18,MATCH($S284,Config!$B$15:$B$18,0))-INDEX(Config!$C$15:$C$18,MATCH($S284,Config!$B$15:$B$18,0)))*1440,0)),""))</f>
        <v/>
      </c>
      <c r="V284" s="5"/>
    </row>
    <row r="285" spans="1:22" x14ac:dyDescent="0.25">
      <c r="A285" s="11"/>
      <c r="B285" s="17"/>
      <c r="C285" t="str">
        <f>IFERROR(INDEX([1]Ejecutivos!$B$2:$B$101,MATCH(B285,[1]Ejecutivos!$A$2:$A$101,0)),"")</f>
        <v/>
      </c>
      <c r="D285" s="42"/>
      <c r="E285" s="42"/>
      <c r="F285" s="42"/>
      <c r="G285" s="42"/>
      <c r="H285" s="43"/>
      <c r="I285" s="43"/>
      <c r="J285" s="43"/>
      <c r="K285" s="42"/>
      <c r="L285" s="18">
        <v>0</v>
      </c>
      <c r="M285" t="str">
        <f t="shared" si="19"/>
        <v/>
      </c>
      <c r="N285" t="str">
        <f>IF(OR($D285="",$S285=""),"",IFERROR(MAX(0,ROUND(($D285-INDEX(Config!$C$15:$C$18,MATCH($S285,Config!$B$15:$B$18,0)))*24*60,0)),""))</f>
        <v/>
      </c>
      <c r="O285" t="str">
        <f t="shared" si="20"/>
        <v/>
      </c>
      <c r="P285" t="str">
        <f t="shared" si="21"/>
        <v/>
      </c>
      <c r="Q285" t="str">
        <f>IF(OR($P285="",$S285=""),"",IFERROR($P285-INDEX(Config!$E$15:$E$18,MATCH($S285,Config!$B$15:$B$18,0)),""))</f>
        <v/>
      </c>
      <c r="R285" t="str">
        <f t="shared" si="22"/>
        <v/>
      </c>
      <c r="S285" s="6" t="str">
        <f>IF(OR($A285="",$C285=""),"",IFERROR(INDEX(Turno!$C$3:$V$32,MATCH($C285,Turno!$B$3:$B$32,0),MATCH(DAY($A285),Turno!$C$1:$V$1,0)),""))</f>
        <v/>
      </c>
      <c r="T285" t="str">
        <f>IF(OR($E285="",$S285=""),"",IFERROR(MAX(0,ROUND((INDEX(Config!$D$15:$D$18,MATCH($S285,Config!$B$15:$B$18,0))-$E285)*1440,0)),""))</f>
        <v/>
      </c>
      <c r="U285" s="13" t="str">
        <f>IF(OR($N285="",$T285=""),"",IFERROR(MAX(0,1-($N285+$T285+MAX(0,N($Q285)))/ROUND((INDEX(Config!$D$15:$D$18,MATCH($S285,Config!$B$15:$B$18,0))-INDEX(Config!$C$15:$C$18,MATCH($S285,Config!$B$15:$B$18,0)))*1440,0)),""))</f>
        <v/>
      </c>
      <c r="V285" s="5"/>
    </row>
    <row r="286" spans="1:22" x14ac:dyDescent="0.25">
      <c r="A286" s="11"/>
      <c r="B286" s="17"/>
      <c r="C286" t="str">
        <f>IFERROR(INDEX([1]Ejecutivos!$B$2:$B$101,MATCH(B286,[1]Ejecutivos!$A$2:$A$101,0)),"")</f>
        <v/>
      </c>
      <c r="D286" s="44"/>
      <c r="E286" s="44"/>
      <c r="F286" s="44"/>
      <c r="G286" s="44"/>
      <c r="H286" s="45"/>
      <c r="I286" s="45"/>
      <c r="J286" s="45"/>
      <c r="K286" s="44"/>
      <c r="L286" s="18">
        <v>0</v>
      </c>
      <c r="M286" t="str">
        <f t="shared" si="19"/>
        <v/>
      </c>
      <c r="N286" t="str">
        <f>IF(OR($D286="",$S286=""),"",IFERROR(MAX(0,ROUND(($D286-INDEX(Config!$C$15:$C$18,MATCH($S286,Config!$B$15:$B$18,0)))*24*60,0)),""))</f>
        <v/>
      </c>
      <c r="O286" t="str">
        <f t="shared" si="20"/>
        <v/>
      </c>
      <c r="P286" t="str">
        <f t="shared" si="21"/>
        <v/>
      </c>
      <c r="Q286" t="str">
        <f>IF(OR($P286="",$S286=""),"",IFERROR($P286-INDEX(Config!$E$15:$E$18,MATCH($S286,Config!$B$15:$B$18,0)),""))</f>
        <v/>
      </c>
      <c r="R286" t="str">
        <f t="shared" si="22"/>
        <v/>
      </c>
      <c r="S286" s="6" t="str">
        <f>IF(OR($A286="",$C286=""),"",IFERROR(INDEX(Turno!$C$3:$V$32,MATCH($C286,Turno!$B$3:$B$32,0),MATCH(DAY($A286),Turno!$C$1:$V$1,0)),""))</f>
        <v/>
      </c>
      <c r="T286" t="str">
        <f>IF(OR($E286="",$S286=""),"",IFERROR(MAX(0,ROUND((INDEX(Config!$D$15:$D$18,MATCH($S286,Config!$B$15:$B$18,0))-$E286)*1440,0)),""))</f>
        <v/>
      </c>
      <c r="U286" s="13" t="str">
        <f>IF(OR($N286="",$T286=""),"",IFERROR(MAX(0,1-($N286+$T286+MAX(0,N($Q286)))/ROUND((INDEX(Config!$D$15:$D$18,MATCH($S286,Config!$B$15:$B$18,0))-INDEX(Config!$C$15:$C$18,MATCH($S286,Config!$B$15:$B$18,0)))*1440,0)),""))</f>
        <v/>
      </c>
      <c r="V286" s="5"/>
    </row>
    <row r="287" spans="1:22" x14ac:dyDescent="0.25">
      <c r="A287" s="11"/>
      <c r="B287" s="17"/>
      <c r="C287" t="str">
        <f>IFERROR(INDEX([1]Ejecutivos!$B$2:$B$101,MATCH(B287,[1]Ejecutivos!$A$2:$A$101,0)),"")</f>
        <v/>
      </c>
      <c r="D287" s="42"/>
      <c r="E287" s="42"/>
      <c r="F287" s="42"/>
      <c r="G287" s="42"/>
      <c r="H287" s="43"/>
      <c r="I287" s="43"/>
      <c r="J287" s="43"/>
      <c r="K287" s="42"/>
      <c r="L287" s="18">
        <v>0</v>
      </c>
      <c r="M287" t="str">
        <f t="shared" si="19"/>
        <v/>
      </c>
      <c r="N287" t="str">
        <f>IF(OR($D287="",$S287=""),"",IFERROR(MAX(0,ROUND(($D287-INDEX(Config!$C$15:$C$18,MATCH($S287,Config!$B$15:$B$18,0)))*24*60,0)),""))</f>
        <v/>
      </c>
      <c r="O287" t="str">
        <f t="shared" si="20"/>
        <v/>
      </c>
      <c r="P287" t="str">
        <f t="shared" si="21"/>
        <v/>
      </c>
      <c r="Q287" t="str">
        <f>IF(OR($P287="",$S287=""),"",IFERROR($P287-INDEX(Config!$E$15:$E$18,MATCH($S287,Config!$B$15:$B$18,0)),""))</f>
        <v/>
      </c>
      <c r="R287" t="str">
        <f t="shared" si="22"/>
        <v/>
      </c>
      <c r="S287" s="6" t="str">
        <f>IF(OR($A287="",$C287=""),"",IFERROR(INDEX(Turno!$C$3:$V$32,MATCH($C287,Turno!$B$3:$B$32,0),MATCH(DAY($A287),Turno!$C$1:$V$1,0)),""))</f>
        <v/>
      </c>
      <c r="T287" t="str">
        <f>IF(OR($E287="",$S287=""),"",IFERROR(MAX(0,ROUND((INDEX(Config!$D$15:$D$18,MATCH($S287,Config!$B$15:$B$18,0))-$E287)*1440,0)),""))</f>
        <v/>
      </c>
      <c r="U287" s="13" t="str">
        <f>IF(OR($N287="",$T287=""),"",IFERROR(MAX(0,1-($N287+$T287+MAX(0,N($Q287)))/ROUND((INDEX(Config!$D$15:$D$18,MATCH($S287,Config!$B$15:$B$18,0))-INDEX(Config!$C$15:$C$18,MATCH($S287,Config!$B$15:$B$18,0)))*1440,0)),""))</f>
        <v/>
      </c>
      <c r="V287" s="5"/>
    </row>
    <row r="288" spans="1:22" x14ac:dyDescent="0.25">
      <c r="A288" s="11"/>
      <c r="B288" s="17"/>
      <c r="C288" t="str">
        <f>IFERROR(INDEX([1]Ejecutivos!$B$2:$B$101,MATCH(B288,[1]Ejecutivos!$A$2:$A$101,0)),"")</f>
        <v/>
      </c>
      <c r="D288" s="44"/>
      <c r="E288" s="44"/>
      <c r="F288" s="44"/>
      <c r="G288" s="44"/>
      <c r="H288" s="45"/>
      <c r="I288" s="45"/>
      <c r="J288" s="45"/>
      <c r="K288" s="44"/>
      <c r="L288" s="18">
        <v>0</v>
      </c>
      <c r="M288" t="str">
        <f t="shared" si="19"/>
        <v/>
      </c>
      <c r="N288" t="str">
        <f>IF(OR($D288="",$S288=""),"",IFERROR(MAX(0,ROUND(($D288-INDEX(Config!$C$15:$C$18,MATCH($S288,Config!$B$15:$B$18,0)))*24*60,0)),""))</f>
        <v/>
      </c>
      <c r="O288" t="str">
        <f t="shared" si="20"/>
        <v/>
      </c>
      <c r="P288" t="str">
        <f t="shared" si="21"/>
        <v/>
      </c>
      <c r="Q288" t="str">
        <f>IF(OR($P288="",$S288=""),"",IFERROR($P288-INDEX(Config!$E$15:$E$18,MATCH($S288,Config!$B$15:$B$18,0)),""))</f>
        <v/>
      </c>
      <c r="R288" t="str">
        <f t="shared" si="22"/>
        <v/>
      </c>
      <c r="S288" s="6" t="str">
        <f>IF(OR($A288="",$C288=""),"",IFERROR(INDEX(Turno!$C$3:$V$32,MATCH($C288,Turno!$B$3:$B$32,0),MATCH(DAY($A288),Turno!$C$1:$V$1,0)),""))</f>
        <v/>
      </c>
      <c r="T288" t="str">
        <f>IF(OR($E288="",$S288=""),"",IFERROR(MAX(0,ROUND((INDEX(Config!$D$15:$D$18,MATCH($S288,Config!$B$15:$B$18,0))-$E288)*1440,0)),""))</f>
        <v/>
      </c>
      <c r="U288" s="13" t="str">
        <f>IF(OR($N288="",$T288=""),"",IFERROR(MAX(0,1-($N288+$T288+MAX(0,N($Q288)))/ROUND((INDEX(Config!$D$15:$D$18,MATCH($S288,Config!$B$15:$B$18,0))-INDEX(Config!$C$15:$C$18,MATCH($S288,Config!$B$15:$B$18,0)))*1440,0)),""))</f>
        <v/>
      </c>
      <c r="V288" s="5"/>
    </row>
    <row r="289" spans="1:22" x14ac:dyDescent="0.25">
      <c r="A289" s="11"/>
      <c r="B289" s="17"/>
      <c r="C289" t="str">
        <f>IFERROR(INDEX([1]Ejecutivos!$B$2:$B$101,MATCH(B289,[1]Ejecutivos!$A$2:$A$101,0)),"")</f>
        <v/>
      </c>
      <c r="D289" s="42"/>
      <c r="E289" s="42"/>
      <c r="F289" s="42"/>
      <c r="G289" s="42"/>
      <c r="H289" s="43"/>
      <c r="I289" s="43"/>
      <c r="J289" s="43"/>
      <c r="K289" s="42"/>
      <c r="L289" s="18">
        <v>0</v>
      </c>
      <c r="M289" t="str">
        <f t="shared" si="19"/>
        <v/>
      </c>
      <c r="N289" t="str">
        <f>IF(OR($D289="",$S289=""),"",IFERROR(MAX(0,ROUND(($D289-INDEX(Config!$C$15:$C$18,MATCH($S289,Config!$B$15:$B$18,0)))*24*60,0)),""))</f>
        <v/>
      </c>
      <c r="O289" t="str">
        <f t="shared" si="20"/>
        <v/>
      </c>
      <c r="P289" t="str">
        <f t="shared" si="21"/>
        <v/>
      </c>
      <c r="Q289" t="str">
        <f>IF(OR($P289="",$S289=""),"",IFERROR($P289-INDEX(Config!$E$15:$E$18,MATCH($S289,Config!$B$15:$B$18,0)),""))</f>
        <v/>
      </c>
      <c r="R289" t="str">
        <f t="shared" si="22"/>
        <v/>
      </c>
      <c r="S289" s="6" t="str">
        <f>IF(OR($A289="",$C289=""),"",IFERROR(INDEX(Turno!$C$3:$V$32,MATCH($C289,Turno!$B$3:$B$32,0),MATCH(DAY($A289),Turno!$C$1:$V$1,0)),""))</f>
        <v/>
      </c>
      <c r="T289" t="str">
        <f>IF(OR($E289="",$S289=""),"",IFERROR(MAX(0,ROUND((INDEX(Config!$D$15:$D$18,MATCH($S289,Config!$B$15:$B$18,0))-$E289)*1440,0)),""))</f>
        <v/>
      </c>
      <c r="U289" s="13" t="str">
        <f>IF(OR($N289="",$T289=""),"",IFERROR(MAX(0,1-($N289+$T289+MAX(0,N($Q289)))/ROUND((INDEX(Config!$D$15:$D$18,MATCH($S289,Config!$B$15:$B$18,0))-INDEX(Config!$C$15:$C$18,MATCH($S289,Config!$B$15:$B$18,0)))*1440,0)),""))</f>
        <v/>
      </c>
      <c r="V289" s="5"/>
    </row>
    <row r="290" spans="1:22" x14ac:dyDescent="0.25">
      <c r="A290" s="11"/>
      <c r="B290" s="17"/>
      <c r="C290" t="str">
        <f>IFERROR(INDEX([1]Ejecutivos!$B$2:$B$101,MATCH(B290,[1]Ejecutivos!$A$2:$A$101,0)),"")</f>
        <v/>
      </c>
      <c r="D290" s="44"/>
      <c r="E290" s="44"/>
      <c r="F290" s="44"/>
      <c r="G290" s="44"/>
      <c r="H290" s="43"/>
      <c r="I290" s="43"/>
      <c r="J290" s="45"/>
      <c r="K290" s="44"/>
      <c r="L290" s="18">
        <v>0</v>
      </c>
      <c r="M290" t="str">
        <f t="shared" si="19"/>
        <v/>
      </c>
      <c r="N290" t="str">
        <f>IF(OR($D290="",$S290=""),"",IFERROR(MAX(0,ROUND(($D290-INDEX(Config!$C$15:$C$18,MATCH($S290,Config!$B$15:$B$18,0)))*24*60,0)),""))</f>
        <v/>
      </c>
      <c r="O290" t="str">
        <f t="shared" si="20"/>
        <v/>
      </c>
      <c r="P290" t="str">
        <f t="shared" si="21"/>
        <v/>
      </c>
      <c r="Q290" t="str">
        <f>IF(OR($P290="",$S290=""),"",IFERROR($P290-INDEX(Config!$E$15:$E$18,MATCH($S290,Config!$B$15:$B$18,0)),""))</f>
        <v/>
      </c>
      <c r="R290" t="str">
        <f t="shared" si="22"/>
        <v/>
      </c>
      <c r="S290" s="6" t="str">
        <f>IF(OR($A290="",$C290=""),"",IFERROR(INDEX(Turno!$C$3:$V$32,MATCH($C290,Turno!$B$3:$B$32,0),MATCH(DAY($A290),Turno!$C$1:$V$1,0)),""))</f>
        <v/>
      </c>
      <c r="T290" t="str">
        <f>IF(OR($E290="",$S290=""),"",IFERROR(MAX(0,ROUND((INDEX(Config!$D$15:$D$18,MATCH($S290,Config!$B$15:$B$18,0))-$E290)*1440,0)),""))</f>
        <v/>
      </c>
      <c r="U290" s="13" t="str">
        <f>IF(OR($N290="",$T290=""),"",IFERROR(MAX(0,1-($N290+$T290+MAX(0,N($Q290)))/ROUND((INDEX(Config!$D$15:$D$18,MATCH($S290,Config!$B$15:$B$18,0))-INDEX(Config!$C$15:$C$18,MATCH($S290,Config!$B$15:$B$18,0)))*1440,0)),""))</f>
        <v/>
      </c>
      <c r="V290" s="5"/>
    </row>
    <row r="291" spans="1:22" x14ac:dyDescent="0.25">
      <c r="A291" s="11"/>
      <c r="B291" s="17"/>
      <c r="C291" t="str">
        <f>IFERROR(INDEX([1]Ejecutivos!$B$2:$B$101,MATCH(B291,[1]Ejecutivos!$A$2:$A$101,0)),"")</f>
        <v/>
      </c>
      <c r="D291" s="42"/>
      <c r="E291" s="42"/>
      <c r="F291" s="42"/>
      <c r="G291" s="42"/>
      <c r="H291" s="43"/>
      <c r="I291" s="43"/>
      <c r="J291" s="43"/>
      <c r="K291" s="42"/>
      <c r="L291" s="18">
        <v>0</v>
      </c>
      <c r="M291" t="str">
        <f t="shared" si="19"/>
        <v/>
      </c>
      <c r="N291" t="str">
        <f>IF(OR($D291="",$S291=""),"",IFERROR(MAX(0,ROUND(($D291-INDEX(Config!$C$15:$C$18,MATCH($S291,Config!$B$15:$B$18,0)))*24*60,0)),""))</f>
        <v/>
      </c>
      <c r="O291" t="str">
        <f t="shared" si="20"/>
        <v/>
      </c>
      <c r="P291" t="str">
        <f t="shared" si="21"/>
        <v/>
      </c>
      <c r="Q291" t="str">
        <f>IF(OR($P291="",$S291=""),"",IFERROR($P291-INDEX(Config!$E$15:$E$18,MATCH($S291,Config!$B$15:$B$18,0)),""))</f>
        <v/>
      </c>
      <c r="R291" t="str">
        <f t="shared" si="22"/>
        <v/>
      </c>
      <c r="S291" s="6" t="str">
        <f>IF(OR($A291="",$C291=""),"",IFERROR(INDEX(Turno!$C$3:$V$32,MATCH($C291,Turno!$B$3:$B$32,0),MATCH(DAY($A291),Turno!$C$1:$V$1,0)),""))</f>
        <v/>
      </c>
      <c r="T291" t="str">
        <f>IF(OR($E291="",$S291=""),"",IFERROR(MAX(0,ROUND((INDEX(Config!$D$15:$D$18,MATCH($S291,Config!$B$15:$B$18,0))-$E291)*1440,0)),""))</f>
        <v/>
      </c>
      <c r="U291" s="13" t="str">
        <f>IF(OR($N291="",$T291=""),"",IFERROR(MAX(0,1-($N291+$T291+MAX(0,N($Q291)))/ROUND((INDEX(Config!$D$15:$D$18,MATCH($S291,Config!$B$15:$B$18,0))-INDEX(Config!$C$15:$C$18,MATCH($S291,Config!$B$15:$B$18,0)))*1440,0)),""))</f>
        <v/>
      </c>
      <c r="V291" s="5"/>
    </row>
    <row r="292" spans="1:22" x14ac:dyDescent="0.25">
      <c r="A292" s="11"/>
      <c r="B292" s="17"/>
      <c r="C292" t="str">
        <f>IFERROR(INDEX([1]Ejecutivos!$B$2:$B$101,MATCH(B292,[1]Ejecutivos!$A$2:$A$101,0)),"")</f>
        <v/>
      </c>
      <c r="D292" s="44"/>
      <c r="E292" s="44"/>
      <c r="F292" s="44"/>
      <c r="G292" s="44"/>
      <c r="H292" s="45"/>
      <c r="I292" s="43"/>
      <c r="J292" s="45"/>
      <c r="K292" s="44"/>
      <c r="L292" s="18">
        <v>0</v>
      </c>
      <c r="M292" t="str">
        <f t="shared" si="19"/>
        <v/>
      </c>
      <c r="N292" t="str">
        <f>IF(OR($D292="",$S292=""),"",IFERROR(MAX(0,ROUND(($D292-INDEX(Config!$C$15:$C$18,MATCH($S292,Config!$B$15:$B$18,0)))*24*60,0)),""))</f>
        <v/>
      </c>
      <c r="O292" t="str">
        <f t="shared" si="20"/>
        <v/>
      </c>
      <c r="P292" t="str">
        <f t="shared" si="21"/>
        <v/>
      </c>
      <c r="Q292" t="str">
        <f>IF(OR($P292="",$S292=""),"",IFERROR($P292-INDEX(Config!$E$15:$E$18,MATCH($S292,Config!$B$15:$B$18,0)),""))</f>
        <v/>
      </c>
      <c r="R292" t="str">
        <f t="shared" si="22"/>
        <v/>
      </c>
      <c r="S292" s="6" t="str">
        <f>IF(OR($A292="",$C292=""),"",IFERROR(INDEX(Turno!$C$3:$V$32,MATCH($C292,Turno!$B$3:$B$32,0),MATCH(DAY($A292),Turno!$C$1:$V$1,0)),""))</f>
        <v/>
      </c>
      <c r="T292" t="str">
        <f>IF(OR($E292="",$S292=""),"",IFERROR(MAX(0,ROUND((INDEX(Config!$D$15:$D$18,MATCH($S292,Config!$B$15:$B$18,0))-$E292)*1440,0)),""))</f>
        <v/>
      </c>
      <c r="U292" s="13" t="str">
        <f>IF(OR($N292="",$T292=""),"",IFERROR(MAX(0,1-($N292+$T292+MAX(0,N($Q292)))/ROUND((INDEX(Config!$D$15:$D$18,MATCH($S292,Config!$B$15:$B$18,0))-INDEX(Config!$C$15:$C$18,MATCH($S292,Config!$B$15:$B$18,0)))*1440,0)),""))</f>
        <v/>
      </c>
      <c r="V292" s="5"/>
    </row>
    <row r="293" spans="1:22" x14ac:dyDescent="0.25">
      <c r="A293" s="11"/>
      <c r="B293" s="17"/>
      <c r="C293" t="str">
        <f>IFERROR(INDEX([1]Ejecutivos!$B$2:$B$101,MATCH(B293,[1]Ejecutivos!$A$2:$A$101,0)),"")</f>
        <v/>
      </c>
      <c r="D293" s="42"/>
      <c r="E293" s="42"/>
      <c r="F293" s="42"/>
      <c r="G293" s="42"/>
      <c r="H293" s="43"/>
      <c r="I293" s="43"/>
      <c r="J293" s="43"/>
      <c r="K293" s="42"/>
      <c r="L293" s="18">
        <v>0</v>
      </c>
      <c r="M293" t="str">
        <f t="shared" si="19"/>
        <v/>
      </c>
      <c r="N293" t="str">
        <f>IF(OR($D293="",$S293=""),"",IFERROR(MAX(0,ROUND(($D293-INDEX(Config!$C$15:$C$18,MATCH($S293,Config!$B$15:$B$18,0)))*24*60,0)),""))</f>
        <v/>
      </c>
      <c r="O293" t="str">
        <f t="shared" si="20"/>
        <v/>
      </c>
      <c r="P293" t="str">
        <f t="shared" si="21"/>
        <v/>
      </c>
      <c r="Q293" t="str">
        <f>IF(OR($P293="",$S293=""),"",IFERROR($P293-INDEX(Config!$E$15:$E$18,MATCH($S293,Config!$B$15:$B$18,0)),""))</f>
        <v/>
      </c>
      <c r="R293" t="str">
        <f t="shared" si="22"/>
        <v/>
      </c>
      <c r="S293" s="6" t="str">
        <f>IF(OR($A293="",$C293=""),"",IFERROR(INDEX(Turno!$C$3:$V$32,MATCH($C293,Turno!$B$3:$B$32,0),MATCH(DAY($A293),Turno!$C$1:$V$1,0)),""))</f>
        <v/>
      </c>
      <c r="T293" t="str">
        <f>IF(OR($E293="",$S293=""),"",IFERROR(MAX(0,ROUND((INDEX(Config!$D$15:$D$18,MATCH($S293,Config!$B$15:$B$18,0))-$E293)*1440,0)),""))</f>
        <v/>
      </c>
      <c r="U293" s="13" t="str">
        <f>IF(OR($N293="",$T293=""),"",IFERROR(MAX(0,1-($N293+$T293+MAX(0,N($Q293)))/ROUND((INDEX(Config!$D$15:$D$18,MATCH($S293,Config!$B$15:$B$18,0))-INDEX(Config!$C$15:$C$18,MATCH($S293,Config!$B$15:$B$18,0)))*1440,0)),""))</f>
        <v/>
      </c>
      <c r="V293" s="5"/>
    </row>
    <row r="294" spans="1:22" x14ac:dyDescent="0.25">
      <c r="A294" s="11"/>
      <c r="B294" s="17"/>
      <c r="C294" t="str">
        <f>IFERROR(INDEX([1]Ejecutivos!$B$2:$B$101,MATCH(B294,[1]Ejecutivos!$A$2:$A$101,0)),"")</f>
        <v/>
      </c>
      <c r="D294" s="44"/>
      <c r="E294" s="44"/>
      <c r="F294" s="44"/>
      <c r="G294" s="44"/>
      <c r="H294" s="45"/>
      <c r="I294" s="45"/>
      <c r="J294" s="45"/>
      <c r="K294" s="44"/>
      <c r="L294" s="18">
        <v>0</v>
      </c>
      <c r="M294" t="str">
        <f t="shared" si="19"/>
        <v/>
      </c>
      <c r="N294" t="str">
        <f>IF(OR($D294="",$S294=""),"",IFERROR(MAX(0,ROUND(($D294-INDEX(Config!$C$15:$C$18,MATCH($S294,Config!$B$15:$B$18,0)))*24*60,0)),""))</f>
        <v/>
      </c>
      <c r="O294" t="str">
        <f t="shared" si="20"/>
        <v/>
      </c>
      <c r="P294" t="str">
        <f t="shared" si="21"/>
        <v/>
      </c>
      <c r="Q294" t="str">
        <f>IF(OR($P294="",$S294=""),"",IFERROR($P294-INDEX(Config!$E$15:$E$18,MATCH($S294,Config!$B$15:$B$18,0)),""))</f>
        <v/>
      </c>
      <c r="R294" t="str">
        <f t="shared" si="22"/>
        <v/>
      </c>
      <c r="S294" s="6" t="str">
        <f>IF(OR($A294="",$C294=""),"",IFERROR(INDEX(Turno!$C$3:$V$32,MATCH($C294,Turno!$B$3:$B$32,0),MATCH(DAY($A294),Turno!$C$1:$V$1,0)),""))</f>
        <v/>
      </c>
      <c r="T294" t="str">
        <f>IF(OR($E294="",$S294=""),"",IFERROR(MAX(0,ROUND((INDEX(Config!$D$15:$D$18,MATCH($S294,Config!$B$15:$B$18,0))-$E294)*1440,0)),""))</f>
        <v/>
      </c>
      <c r="U294" s="13" t="str">
        <f>IF(OR($N294="",$T294=""),"",IFERROR(MAX(0,1-($N294+$T294+MAX(0,N($Q294)))/ROUND((INDEX(Config!$D$15:$D$18,MATCH($S294,Config!$B$15:$B$18,0))-INDEX(Config!$C$15:$C$18,MATCH($S294,Config!$B$15:$B$18,0)))*1440,0)),""))</f>
        <v/>
      </c>
      <c r="V294" s="5"/>
    </row>
    <row r="295" spans="1:22" x14ac:dyDescent="0.25">
      <c r="A295" s="11"/>
      <c r="B295" s="17"/>
      <c r="C295" t="str">
        <f>IFERROR(INDEX([1]Ejecutivos!$B$2:$B$101,MATCH(B295,[1]Ejecutivos!$A$2:$A$101,0)),"")</f>
        <v/>
      </c>
      <c r="D295" s="42"/>
      <c r="E295" s="42"/>
      <c r="F295" s="42"/>
      <c r="G295" s="42"/>
      <c r="H295" s="43"/>
      <c r="I295" s="43"/>
      <c r="J295" s="43"/>
      <c r="K295" s="42"/>
      <c r="L295" s="18">
        <v>0</v>
      </c>
      <c r="M295" t="str">
        <f t="shared" si="19"/>
        <v/>
      </c>
      <c r="N295" t="str">
        <f>IF(OR($D295="",$S295=""),"",IFERROR(MAX(0,ROUND(($D295-INDEX(Config!$C$15:$C$18,MATCH($S295,Config!$B$15:$B$18,0)))*24*60,0)),""))</f>
        <v/>
      </c>
      <c r="O295" t="str">
        <f t="shared" si="20"/>
        <v/>
      </c>
      <c r="P295" t="str">
        <f t="shared" si="21"/>
        <v/>
      </c>
      <c r="Q295" t="str">
        <f>IF(OR($P295="",$S295=""),"",IFERROR($P295-INDEX(Config!$E$15:$E$18,MATCH($S295,Config!$B$15:$B$18,0)),""))</f>
        <v/>
      </c>
      <c r="R295" t="str">
        <f t="shared" si="22"/>
        <v/>
      </c>
      <c r="S295" s="6" t="str">
        <f>IF(OR($A295="",$C295=""),"",IFERROR(INDEX(Turno!$C$3:$V$32,MATCH($C295,Turno!$B$3:$B$32,0),MATCH(DAY($A295),Turno!$C$1:$V$1,0)),""))</f>
        <v/>
      </c>
      <c r="T295" t="str">
        <f>IF(OR($E295="",$S295=""),"",IFERROR(MAX(0,ROUND((INDEX(Config!$D$15:$D$18,MATCH($S295,Config!$B$15:$B$18,0))-$E295)*1440,0)),""))</f>
        <v/>
      </c>
      <c r="U295" s="13" t="str">
        <f>IF(OR($N295="",$T295=""),"",IFERROR(MAX(0,1-($N295+$T295+MAX(0,N($Q295)))/ROUND((INDEX(Config!$D$15:$D$18,MATCH($S295,Config!$B$15:$B$18,0))-INDEX(Config!$C$15:$C$18,MATCH($S295,Config!$B$15:$B$18,0)))*1440,0)),""))</f>
        <v/>
      </c>
      <c r="V295" s="5"/>
    </row>
    <row r="296" spans="1:22" x14ac:dyDescent="0.25">
      <c r="A296" s="11"/>
      <c r="B296" s="17"/>
      <c r="C296" t="str">
        <f>IFERROR(INDEX([1]Ejecutivos!$B$2:$B$101,MATCH(B296,[1]Ejecutivos!$A$2:$A$101,0)),"")</f>
        <v/>
      </c>
      <c r="D296" s="44"/>
      <c r="E296" s="44"/>
      <c r="F296" s="44"/>
      <c r="G296" s="44"/>
      <c r="H296" s="45"/>
      <c r="I296" s="44"/>
      <c r="J296" s="45"/>
      <c r="K296" s="44"/>
      <c r="L296" s="18">
        <v>0</v>
      </c>
      <c r="M296" t="str">
        <f t="shared" si="19"/>
        <v/>
      </c>
      <c r="N296" t="str">
        <f>IF(OR($D296="",$S296=""),"",IFERROR(MAX(0,ROUND(($D296-INDEX(Config!$C$15:$C$18,MATCH($S296,Config!$B$15:$B$18,0)))*24*60,0)),""))</f>
        <v/>
      </c>
      <c r="O296" t="str">
        <f t="shared" si="20"/>
        <v/>
      </c>
      <c r="P296" t="str">
        <f t="shared" si="21"/>
        <v/>
      </c>
      <c r="Q296" t="str">
        <f>IF(OR($P296="",$S296=""),"",IFERROR($P296-INDEX(Config!$E$15:$E$18,MATCH($S296,Config!$B$15:$B$18,0)),""))</f>
        <v/>
      </c>
      <c r="R296" t="str">
        <f t="shared" si="22"/>
        <v/>
      </c>
      <c r="S296" s="6" t="str">
        <f>IF(OR($A296="",$C296=""),"",IFERROR(INDEX(Turno!$C$3:$V$32,MATCH($C296,Turno!$B$3:$B$32,0),MATCH(DAY($A296),Turno!$C$1:$V$1,0)),""))</f>
        <v/>
      </c>
      <c r="T296" t="str">
        <f>IF(OR($E296="",$S296=""),"",IFERROR(MAX(0,ROUND((INDEX(Config!$D$15:$D$18,MATCH($S296,Config!$B$15:$B$18,0))-$E296)*1440,0)),""))</f>
        <v/>
      </c>
      <c r="U296" s="13" t="str">
        <f>IF(OR($N296="",$T296=""),"",IFERROR(MAX(0,1-($N296+$T296+MAX(0,N($Q296)))/ROUND((INDEX(Config!$D$15:$D$18,MATCH($S296,Config!$B$15:$B$18,0))-INDEX(Config!$C$15:$C$18,MATCH($S296,Config!$B$15:$B$18,0)))*1440,0)),""))</f>
        <v/>
      </c>
      <c r="V296" s="5"/>
    </row>
    <row r="297" spans="1:22" x14ac:dyDescent="0.25">
      <c r="A297" s="11"/>
      <c r="B297" s="17"/>
      <c r="C297" t="str">
        <f>IFERROR(INDEX([1]Ejecutivos!$B$2:$B$101,MATCH(B297,[1]Ejecutivos!$A$2:$A$101,0)),"")</f>
        <v/>
      </c>
      <c r="D297" s="42"/>
      <c r="E297" s="42"/>
      <c r="F297" s="42"/>
      <c r="G297" s="42"/>
      <c r="H297" s="43"/>
      <c r="I297" s="43"/>
      <c r="J297" s="43"/>
      <c r="K297" s="42"/>
      <c r="L297" s="18">
        <v>0</v>
      </c>
      <c r="M297" t="str">
        <f t="shared" si="19"/>
        <v/>
      </c>
      <c r="N297" t="str">
        <f>IF(OR($D297="",$S297=""),"",IFERROR(MAX(0,ROUND(($D297-INDEX(Config!$C$15:$C$18,MATCH($S297,Config!$B$15:$B$18,0)))*24*60,0)),""))</f>
        <v/>
      </c>
      <c r="O297" t="str">
        <f t="shared" si="20"/>
        <v/>
      </c>
      <c r="P297" t="str">
        <f t="shared" si="21"/>
        <v/>
      </c>
      <c r="Q297" t="str">
        <f>IF(OR($P297="",$S297=""),"",IFERROR($P297-INDEX(Config!$E$15:$E$18,MATCH($S297,Config!$B$15:$B$18,0)),""))</f>
        <v/>
      </c>
      <c r="R297" t="str">
        <f t="shared" si="22"/>
        <v/>
      </c>
      <c r="S297" s="6" t="str">
        <f>IF(OR($A297="",$C297=""),"",IFERROR(INDEX(Turno!$C$3:$V$32,MATCH($C297,Turno!$B$3:$B$32,0),MATCH(DAY($A297),Turno!$C$1:$V$1,0)),""))</f>
        <v/>
      </c>
      <c r="T297" t="str">
        <f>IF(OR($E297="",$S297=""),"",IFERROR(MAX(0,ROUND((INDEX(Config!$D$15:$D$18,MATCH($S297,Config!$B$15:$B$18,0))-$E297)*1440,0)),""))</f>
        <v/>
      </c>
      <c r="U297" s="13" t="str">
        <f>IF(OR($N297="",$T297=""),"",IFERROR(MAX(0,1-($N297+$T297+MAX(0,N($Q297)))/ROUND((INDEX(Config!$D$15:$D$18,MATCH($S297,Config!$B$15:$B$18,0))-INDEX(Config!$C$15:$C$18,MATCH($S297,Config!$B$15:$B$18,0)))*1440,0)),""))</f>
        <v/>
      </c>
      <c r="V297" s="5"/>
    </row>
    <row r="298" spans="1:22" x14ac:dyDescent="0.25">
      <c r="A298" s="11"/>
      <c r="B298" s="39"/>
      <c r="C298" t="str">
        <f>IFERROR(INDEX([1]Ejecutivos!$B$2:$B$101,MATCH(B298,[1]Ejecutivos!$A$2:$A$101,0)),"")</f>
        <v/>
      </c>
      <c r="D298" s="44"/>
      <c r="E298" s="44"/>
      <c r="F298" s="44"/>
      <c r="G298" s="44"/>
      <c r="H298" s="45"/>
      <c r="I298" s="45"/>
      <c r="J298" s="45"/>
      <c r="K298" s="44"/>
      <c r="L298" s="18">
        <v>0</v>
      </c>
      <c r="M298" t="str">
        <f t="shared" si="19"/>
        <v/>
      </c>
      <c r="N298" t="str">
        <f>IF(OR($D298="",$S298=""),"",IFERROR(MAX(0,ROUND(($D298-INDEX(Config!$C$15:$C$18,MATCH($S298,Config!$B$15:$B$18,0)))*24*60,0)),""))</f>
        <v/>
      </c>
      <c r="O298" t="str">
        <f t="shared" si="20"/>
        <v/>
      </c>
      <c r="P298" t="str">
        <f t="shared" si="21"/>
        <v/>
      </c>
      <c r="Q298" t="str">
        <f>IF(OR($P298="",$S298=""),"",IFERROR($P298-INDEX(Config!$E$15:$E$18,MATCH($S298,Config!$B$15:$B$18,0)),""))</f>
        <v/>
      </c>
      <c r="R298" t="str">
        <f t="shared" si="22"/>
        <v/>
      </c>
      <c r="S298" s="6" t="str">
        <f>IF(OR($A298="",$C298=""),"",IFERROR(INDEX(Turno!$C$3:$V$32,MATCH($C298,Turno!$B$3:$B$32,0),MATCH(DAY($A298),Turno!$C$1:$V$1,0)),""))</f>
        <v/>
      </c>
      <c r="T298" t="str">
        <f>IF(OR($E298="",$S298=""),"",IFERROR(MAX(0,ROUND((INDEX(Config!$D$15:$D$18,MATCH($S298,Config!$B$15:$B$18,0))-$E298)*1440,0)),""))</f>
        <v/>
      </c>
      <c r="U298" s="13" t="str">
        <f>IF(OR($N298="",$T298=""),"",IFERROR(MAX(0,1-($N298+$T298+MAX(0,N($Q298)))/ROUND((INDEX(Config!$D$15:$D$18,MATCH($S298,Config!$B$15:$B$18,0))-INDEX(Config!$C$15:$C$18,MATCH($S298,Config!$B$15:$B$18,0)))*1440,0)),""))</f>
        <v/>
      </c>
      <c r="V298" s="5"/>
    </row>
    <row r="299" spans="1:22" x14ac:dyDescent="0.25">
      <c r="A299" s="11"/>
      <c r="B299" s="39"/>
      <c r="C299" t="str">
        <f>IFERROR(INDEX([1]Ejecutivos!$B$2:$B$101,MATCH(B299,[1]Ejecutivos!$A$2:$A$101,0)),"")</f>
        <v/>
      </c>
      <c r="D299" s="42"/>
      <c r="E299" s="42"/>
      <c r="F299" s="42"/>
      <c r="G299" s="42"/>
      <c r="H299" s="43"/>
      <c r="I299" s="43"/>
      <c r="J299" s="43"/>
      <c r="K299" s="42"/>
      <c r="L299" s="18">
        <v>0</v>
      </c>
      <c r="M299" t="str">
        <f t="shared" si="19"/>
        <v/>
      </c>
      <c r="N299" t="str">
        <f>IF(OR($D299="",$S299=""),"",IFERROR(MAX(0,ROUND(($D299-INDEX(Config!$C$15:$C$18,MATCH($S299,Config!$B$15:$B$18,0)))*24*60,0)),""))</f>
        <v/>
      </c>
      <c r="O299" t="str">
        <f t="shared" si="20"/>
        <v/>
      </c>
      <c r="P299" t="str">
        <f t="shared" si="21"/>
        <v/>
      </c>
      <c r="Q299" t="str">
        <f>IF(OR($P299="",$S299=""),"",IFERROR($P299-INDEX(Config!$E$15:$E$18,MATCH($S299,Config!$B$15:$B$18,0)),""))</f>
        <v/>
      </c>
      <c r="R299" t="str">
        <f t="shared" si="22"/>
        <v/>
      </c>
      <c r="S299" s="6" t="str">
        <f>IF(OR($A299="",$C299=""),"",IFERROR(INDEX(Turno!$C$3:$V$32,MATCH($C299,Turno!$B$3:$B$32,0),MATCH(DAY($A299),Turno!$C$1:$V$1,0)),""))</f>
        <v/>
      </c>
      <c r="T299" t="str">
        <f>IF(OR($E299="",$S299=""),"",IFERROR(MAX(0,ROUND((INDEX(Config!$D$15:$D$18,MATCH($S299,Config!$B$15:$B$18,0))-$E299)*1440,0)),""))</f>
        <v/>
      </c>
      <c r="U299" s="13" t="str">
        <f>IF(OR($N299="",$T299=""),"",IFERROR(MAX(0,1-($N299+$T299+MAX(0,N($Q299)))/ROUND((INDEX(Config!$D$15:$D$18,MATCH($S299,Config!$B$15:$B$18,0))-INDEX(Config!$C$15:$C$18,MATCH($S299,Config!$B$15:$B$18,0)))*1440,0)),""))</f>
        <v/>
      </c>
      <c r="V299" s="5"/>
    </row>
    <row r="300" spans="1:22" x14ac:dyDescent="0.25">
      <c r="A300" s="11"/>
      <c r="B300" s="39"/>
      <c r="C300" t="str">
        <f>IFERROR(INDEX([1]Ejecutivos!$B$2:$B$101,MATCH(B300,[1]Ejecutivos!$A$2:$A$101,0)),"")</f>
        <v/>
      </c>
      <c r="D300" s="44"/>
      <c r="E300" s="44"/>
      <c r="F300" s="44"/>
      <c r="G300" s="44"/>
      <c r="H300" s="45"/>
      <c r="I300" s="45"/>
      <c r="J300" s="45"/>
      <c r="K300" s="44"/>
      <c r="L300" s="18">
        <v>0</v>
      </c>
      <c r="M300" t="str">
        <f t="shared" si="19"/>
        <v/>
      </c>
      <c r="N300" t="str">
        <f>IF(OR($D300="",$S300=""),"",IFERROR(MAX(0,ROUND(($D300-INDEX(Config!$C$15:$C$18,MATCH($S300,Config!$B$15:$B$18,0)))*24*60,0)),""))</f>
        <v/>
      </c>
      <c r="O300" t="str">
        <f t="shared" si="20"/>
        <v/>
      </c>
      <c r="P300" t="str">
        <f t="shared" si="21"/>
        <v/>
      </c>
      <c r="Q300" t="str">
        <f>IF(OR($P300="",$S300=""),"",IFERROR($P300-INDEX(Config!$E$15:$E$18,MATCH($S300,Config!$B$15:$B$18,0)),""))</f>
        <v/>
      </c>
      <c r="R300" t="str">
        <f t="shared" si="22"/>
        <v/>
      </c>
      <c r="S300" s="6" t="str">
        <f>IF(OR($A300="",$C300=""),"",IFERROR(INDEX(Turno!$C$3:$V$32,MATCH($C300,Turno!$B$3:$B$32,0),MATCH(DAY($A300),Turno!$C$1:$V$1,0)),""))</f>
        <v/>
      </c>
      <c r="T300" t="str">
        <f>IF(OR($E300="",$S300=""),"",IFERROR(MAX(0,ROUND((INDEX(Config!$D$15:$D$18,MATCH($S300,Config!$B$15:$B$18,0))-$E300)*1440,0)),""))</f>
        <v/>
      </c>
      <c r="U300" s="13" t="str">
        <f>IF(OR($N300="",$T300=""),"",IFERROR(MAX(0,1-($N300+$T300+MAX(0,N($Q300)))/ROUND((INDEX(Config!$D$15:$D$18,MATCH($S300,Config!$B$15:$B$18,0))-INDEX(Config!$C$15:$C$18,MATCH($S300,Config!$B$15:$B$18,0)))*1440,0)),""))</f>
        <v/>
      </c>
      <c r="V300" s="5"/>
    </row>
    <row r="301" spans="1:22" x14ac:dyDescent="0.25">
      <c r="A301" s="11"/>
      <c r="B301" s="39"/>
      <c r="C301" t="str">
        <f>IFERROR(INDEX([1]Ejecutivos!$B$2:$B$101,MATCH(B301,[1]Ejecutivos!$A$2:$A$101,0)),"")</f>
        <v/>
      </c>
      <c r="D301" s="42"/>
      <c r="E301" s="42"/>
      <c r="F301" s="42"/>
      <c r="G301" s="42"/>
      <c r="H301" s="43"/>
      <c r="I301" s="43"/>
      <c r="J301" s="43"/>
      <c r="K301" s="42"/>
      <c r="L301" s="18">
        <v>0</v>
      </c>
      <c r="M301" t="str">
        <f t="shared" si="19"/>
        <v/>
      </c>
      <c r="N301" t="str">
        <f>IF(OR($D301="",$S301=""),"",IFERROR(MAX(0,ROUND(($D301-INDEX(Config!$C$15:$C$18,MATCH($S301,Config!$B$15:$B$18,0)))*24*60,0)),""))</f>
        <v/>
      </c>
      <c r="O301" t="str">
        <f t="shared" si="20"/>
        <v/>
      </c>
      <c r="P301" t="str">
        <f t="shared" si="21"/>
        <v/>
      </c>
      <c r="Q301" t="str">
        <f>IF(OR($P301="",$S301=""),"",IFERROR($P301-INDEX(Config!$E$15:$E$18,MATCH($S301,Config!$B$15:$B$18,0)),""))</f>
        <v/>
      </c>
      <c r="R301" t="str">
        <f t="shared" si="22"/>
        <v/>
      </c>
      <c r="S301" s="6" t="str">
        <f>IF(OR($A301="",$C301=""),"",IFERROR(INDEX(Turno!$C$3:$V$32,MATCH($C301,Turno!$B$3:$B$32,0),MATCH(DAY($A301),Turno!$C$1:$V$1,0)),""))</f>
        <v/>
      </c>
      <c r="T301" t="str">
        <f>IF(OR($E301="",$S301=""),"",IFERROR(MAX(0,ROUND((INDEX(Config!$D$15:$D$18,MATCH($S301,Config!$B$15:$B$18,0))-$E301)*1440,0)),""))</f>
        <v/>
      </c>
      <c r="U301" s="13" t="str">
        <f>IF(OR($N301="",$T301=""),"",IFERROR(MAX(0,1-($N301+$T301+MAX(0,N($Q301)))/ROUND((INDEX(Config!$D$15:$D$18,MATCH($S301,Config!$B$15:$B$18,0))-INDEX(Config!$C$15:$C$18,MATCH($S301,Config!$B$15:$B$18,0)))*1440,0)),""))</f>
        <v/>
      </c>
      <c r="V301" s="5"/>
    </row>
    <row r="302" spans="1:22" x14ac:dyDescent="0.25">
      <c r="A302" s="11"/>
      <c r="B302" s="39"/>
      <c r="C302" t="str">
        <f>IFERROR(INDEX([1]Ejecutivos!$B$2:$B$101,MATCH(B302,[1]Ejecutivos!$A$2:$A$101,0)),"")</f>
        <v/>
      </c>
      <c r="D302" s="44"/>
      <c r="E302" s="44"/>
      <c r="F302" s="44"/>
      <c r="G302" s="44"/>
      <c r="H302" s="45"/>
      <c r="I302" s="45"/>
      <c r="J302" s="45"/>
      <c r="K302" s="44"/>
      <c r="L302" s="18">
        <v>0</v>
      </c>
      <c r="M302" t="str">
        <f t="shared" si="19"/>
        <v/>
      </c>
      <c r="N302" t="str">
        <f>IF(OR($D302="",$S302=""),"",IFERROR(MAX(0,ROUND(($D302-INDEX(Config!$C$15:$C$18,MATCH($S302,Config!$B$15:$B$18,0)))*24*60,0)),""))</f>
        <v/>
      </c>
      <c r="O302" t="str">
        <f t="shared" si="20"/>
        <v/>
      </c>
      <c r="P302" t="str">
        <f t="shared" si="21"/>
        <v/>
      </c>
      <c r="Q302" t="str">
        <f>IF(OR($P302="",$S302=""),"",IFERROR($P302-INDEX(Config!$E$15:$E$18,MATCH($S302,Config!$B$15:$B$18,0)),""))</f>
        <v/>
      </c>
      <c r="R302" t="str">
        <f t="shared" si="22"/>
        <v/>
      </c>
      <c r="S302" s="6" t="str">
        <f>IF(OR($A302="",$C302=""),"",IFERROR(INDEX(Turno!$C$3:$V$32,MATCH($C302,Turno!$B$3:$B$32,0),MATCH(DAY($A302),Turno!$C$1:$V$1,0)),""))</f>
        <v/>
      </c>
      <c r="T302" t="str">
        <f>IF(OR($E302="",$S302=""),"",IFERROR(MAX(0,ROUND((INDEX(Config!$D$15:$D$18,MATCH($S302,Config!$B$15:$B$18,0))-$E302)*1440,0)),""))</f>
        <v/>
      </c>
      <c r="U302" s="13" t="str">
        <f>IF(OR($N302="",$T302=""),"",IFERROR(MAX(0,1-($N302+$T302+MAX(0,N($Q302)))/ROUND((INDEX(Config!$D$15:$D$18,MATCH($S302,Config!$B$15:$B$18,0))-INDEX(Config!$C$15:$C$18,MATCH($S302,Config!$B$15:$B$18,0)))*1440,0)),""))</f>
        <v/>
      </c>
      <c r="V302" s="5"/>
    </row>
    <row r="303" spans="1:22" x14ac:dyDescent="0.25">
      <c r="A303" s="11"/>
      <c r="B303" s="17"/>
      <c r="C303" t="str">
        <f>IFERROR(INDEX([1]Ejecutivos!$B$2:$B$101,MATCH(B303,[1]Ejecutivos!$A$2:$A$101,0)),"")</f>
        <v/>
      </c>
      <c r="D303" s="42"/>
      <c r="E303" s="42"/>
      <c r="F303" s="42"/>
      <c r="G303" s="42"/>
      <c r="H303" s="43"/>
      <c r="I303" s="43"/>
      <c r="J303" s="43"/>
      <c r="K303" s="42"/>
      <c r="L303" s="18">
        <v>0</v>
      </c>
      <c r="M303" t="str">
        <f t="shared" si="19"/>
        <v/>
      </c>
      <c r="N303" t="str">
        <f>IF(OR($D303="",$S303=""),"",IFERROR(MAX(0,ROUND(($D303-INDEX(Config!$C$15:$C$18,MATCH($S303,Config!$B$15:$B$18,0)))*24*60,0)),""))</f>
        <v/>
      </c>
      <c r="O303" t="str">
        <f t="shared" si="20"/>
        <v/>
      </c>
      <c r="P303" t="str">
        <f t="shared" si="21"/>
        <v/>
      </c>
      <c r="Q303" t="str">
        <f>IF(OR($P303="",$S303=""),"",IFERROR($P303-INDEX(Config!$E$15:$E$18,MATCH($S303,Config!$B$15:$B$18,0)),""))</f>
        <v/>
      </c>
      <c r="R303" t="str">
        <f t="shared" si="22"/>
        <v/>
      </c>
      <c r="S303" s="6" t="str">
        <f>IF(OR($A303="",$C303=""),"",IFERROR(INDEX(Turno!$C$3:$V$32,MATCH($C303,Turno!$B$3:$B$32,0),MATCH(DAY($A303),Turno!$C$1:$V$1,0)),""))</f>
        <v/>
      </c>
      <c r="T303" t="str">
        <f>IF(OR($E303="",$S303=""),"",IFERROR(MAX(0,ROUND((INDEX(Config!$D$15:$D$18,MATCH($S303,Config!$B$15:$B$18,0))-$E303)*1440,0)),""))</f>
        <v/>
      </c>
      <c r="U303" s="13" t="str">
        <f>IF(OR($N303="",$T303=""),"",IFERROR(MAX(0,1-($N303+$T303+MAX(0,N($Q303)))/ROUND((INDEX(Config!$D$15:$D$18,MATCH($S303,Config!$B$15:$B$18,0))-INDEX(Config!$C$15:$C$18,MATCH($S303,Config!$B$15:$B$18,0)))*1440,0)),""))</f>
        <v/>
      </c>
      <c r="V303" s="5"/>
    </row>
    <row r="304" spans="1:22" x14ac:dyDescent="0.25">
      <c r="A304" s="11"/>
      <c r="B304" s="17"/>
      <c r="C304" t="str">
        <f>IFERROR(INDEX([1]Ejecutivos!$B$2:$B$101,MATCH(B304,[1]Ejecutivos!$A$2:$A$101,0)),"")</f>
        <v/>
      </c>
      <c r="D304" s="44"/>
      <c r="E304" s="44"/>
      <c r="F304" s="44"/>
      <c r="G304" s="44"/>
      <c r="H304" s="45"/>
      <c r="I304" s="45"/>
      <c r="J304" s="45"/>
      <c r="K304" s="44"/>
      <c r="L304" s="18">
        <v>0</v>
      </c>
      <c r="M304" t="str">
        <f t="shared" si="19"/>
        <v/>
      </c>
      <c r="N304" t="str">
        <f>IF(OR($D304="",$S304=""),"",IFERROR(MAX(0,ROUND(($D304-INDEX(Config!$C$15:$C$18,MATCH($S304,Config!$B$15:$B$18,0)))*24*60,0)),""))</f>
        <v/>
      </c>
      <c r="O304" t="str">
        <f t="shared" si="20"/>
        <v/>
      </c>
      <c r="P304" t="str">
        <f t="shared" si="21"/>
        <v/>
      </c>
      <c r="Q304" t="str">
        <f>IF(OR($P304="",$S304=""),"",IFERROR($P304-INDEX(Config!$E$15:$E$18,MATCH($S304,Config!$B$15:$B$18,0)),""))</f>
        <v/>
      </c>
      <c r="R304" t="str">
        <f t="shared" si="22"/>
        <v/>
      </c>
      <c r="S304" s="6" t="str">
        <f>IF(OR($A304="",$C304=""),"",IFERROR(INDEX(Turno!$C$3:$V$32,MATCH($C304,Turno!$B$3:$B$32,0),MATCH(DAY($A304),Turno!$C$1:$V$1,0)),""))</f>
        <v/>
      </c>
      <c r="T304" t="str">
        <f>IF(OR($E304="",$S304=""),"",IFERROR(MAX(0,ROUND((INDEX(Config!$D$15:$D$18,MATCH($S304,Config!$B$15:$B$18,0))-$E304)*1440,0)),""))</f>
        <v/>
      </c>
      <c r="U304" s="13" t="str">
        <f>IF(OR($N304="",$T304=""),"",IFERROR(MAX(0,1-($N304+$T304+MAX(0,N($Q304)))/ROUND((INDEX(Config!$D$15:$D$18,MATCH($S304,Config!$B$15:$B$18,0))-INDEX(Config!$C$15:$C$18,MATCH($S304,Config!$B$15:$B$18,0)))*1440,0)),""))</f>
        <v/>
      </c>
      <c r="V304" s="5"/>
    </row>
    <row r="305" spans="1:22" x14ac:dyDescent="0.25">
      <c r="A305" s="11"/>
      <c r="B305" s="17"/>
      <c r="C305" t="str">
        <f>IFERROR(INDEX([1]Ejecutivos!$B$2:$B$101,MATCH(B305,[1]Ejecutivos!$A$2:$A$101,0)),"")</f>
        <v/>
      </c>
      <c r="D305" s="42"/>
      <c r="E305" s="42"/>
      <c r="F305" s="42"/>
      <c r="G305" s="42"/>
      <c r="H305" s="43"/>
      <c r="I305" s="43"/>
      <c r="J305" s="46"/>
      <c r="K305" s="42"/>
      <c r="L305" s="18">
        <v>0</v>
      </c>
      <c r="M305" t="str">
        <f t="shared" si="19"/>
        <v/>
      </c>
      <c r="N305" t="str">
        <f>IF(OR($D305="",$S305=""),"",IFERROR(MAX(0,ROUND(($D305-INDEX(Config!$C$15:$C$18,MATCH($S305,Config!$B$15:$B$18,0)))*24*60,0)),""))</f>
        <v/>
      </c>
      <c r="O305" t="str">
        <f t="shared" si="20"/>
        <v/>
      </c>
      <c r="P305" t="str">
        <f t="shared" si="21"/>
        <v/>
      </c>
      <c r="Q305" t="str">
        <f>IF(OR($P305="",$S305=""),"",IFERROR($P305-INDEX(Config!$E$15:$E$18,MATCH($S305,Config!$B$15:$B$18,0)),""))</f>
        <v/>
      </c>
      <c r="R305" t="str">
        <f t="shared" si="22"/>
        <v/>
      </c>
      <c r="S305" s="6" t="str">
        <f>IF(OR($A305="",$C305=""),"",IFERROR(INDEX(Turno!$C$3:$V$32,MATCH($C305,Turno!$B$3:$B$32,0),MATCH(DAY($A305),Turno!$C$1:$V$1,0)),""))</f>
        <v/>
      </c>
      <c r="T305" t="str">
        <f>IF(OR($E305="",$S305=""),"",IFERROR(MAX(0,ROUND((INDEX(Config!$D$15:$D$18,MATCH($S305,Config!$B$15:$B$18,0))-$E305)*1440,0)),""))</f>
        <v/>
      </c>
      <c r="U305" s="13" t="str">
        <f>IF(OR($N305="",$T305=""),"",IFERROR(MAX(0,1-($N305+$T305+MAX(0,N($Q305)))/ROUND((INDEX(Config!$D$15:$D$18,MATCH($S305,Config!$B$15:$B$18,0))-INDEX(Config!$C$15:$C$18,MATCH($S305,Config!$B$15:$B$18,0)))*1440,0)),""))</f>
        <v/>
      </c>
      <c r="V305" s="5"/>
    </row>
    <row r="306" spans="1:22" x14ac:dyDescent="0.25">
      <c r="A306" s="11"/>
      <c r="B306" s="17"/>
      <c r="C306" t="str">
        <f>IFERROR(INDEX([1]Ejecutivos!$B$2:$B$101,MATCH(B306,[1]Ejecutivos!$A$2:$A$101,0)),"")</f>
        <v/>
      </c>
      <c r="D306" s="44"/>
      <c r="E306" s="44"/>
      <c r="F306" s="44"/>
      <c r="G306" s="44"/>
      <c r="H306" s="45"/>
      <c r="I306" s="45"/>
      <c r="J306" s="47"/>
      <c r="K306" s="44"/>
      <c r="L306" s="18">
        <v>0</v>
      </c>
      <c r="M306" t="str">
        <f t="shared" si="19"/>
        <v/>
      </c>
      <c r="N306" t="str">
        <f>IF(OR($D306="",$S306=""),"",IFERROR(MAX(0,ROUND(($D306-INDEX(Config!$C$15:$C$18,MATCH($S306,Config!$B$15:$B$18,0)))*24*60,0)),""))</f>
        <v/>
      </c>
      <c r="O306" t="str">
        <f t="shared" si="20"/>
        <v/>
      </c>
      <c r="P306" t="str">
        <f t="shared" si="21"/>
        <v/>
      </c>
      <c r="Q306" t="str">
        <f>IF(OR($P306="",$S306=""),"",IFERROR($P306-INDEX(Config!$E$15:$E$18,MATCH($S306,Config!$B$15:$B$18,0)),""))</f>
        <v/>
      </c>
      <c r="R306" t="str">
        <f t="shared" si="22"/>
        <v/>
      </c>
      <c r="S306" s="6" t="str">
        <f>IF(OR($A306="",$C306=""),"",IFERROR(INDEX(Turno!$C$3:$V$32,MATCH($C306,Turno!$B$3:$B$32,0),MATCH(DAY($A306),Turno!$C$1:$V$1,0)),""))</f>
        <v/>
      </c>
      <c r="T306" t="str">
        <f>IF(OR($E306="",$S306=""),"",IFERROR(MAX(0,ROUND((INDEX(Config!$D$15:$D$18,MATCH($S306,Config!$B$15:$B$18,0))-$E306)*1440,0)),""))</f>
        <v/>
      </c>
      <c r="U306" s="13" t="str">
        <f>IF(OR($N306="",$T306=""),"",IFERROR(MAX(0,1-($N306+$T306+MAX(0,N($Q306)))/ROUND((INDEX(Config!$D$15:$D$18,MATCH($S306,Config!$B$15:$B$18,0))-INDEX(Config!$C$15:$C$18,MATCH($S306,Config!$B$15:$B$18,0)))*1440,0)),""))</f>
        <v/>
      </c>
      <c r="V306" s="5"/>
    </row>
    <row r="307" spans="1:22" x14ac:dyDescent="0.25">
      <c r="A307" s="11"/>
      <c r="B307" s="17"/>
      <c r="C307" t="str">
        <f>IFERROR(INDEX([1]Ejecutivos!$B$2:$B$101,MATCH(B307,[1]Ejecutivos!$A$2:$A$101,0)),"")</f>
        <v/>
      </c>
      <c r="D307" s="42"/>
      <c r="E307" s="42"/>
      <c r="F307" s="42"/>
      <c r="G307" s="42"/>
      <c r="H307" s="43"/>
      <c r="I307" s="43"/>
      <c r="J307" s="43"/>
      <c r="K307" s="42"/>
      <c r="L307" s="18">
        <v>0</v>
      </c>
      <c r="M307" t="str">
        <f t="shared" si="19"/>
        <v/>
      </c>
      <c r="N307" t="str">
        <f>IF(OR($D307="",$S307=""),"",IFERROR(MAX(0,ROUND(($D307-INDEX(Config!$C$15:$C$18,MATCH($S307,Config!$B$15:$B$18,0)))*24*60,0)),""))</f>
        <v/>
      </c>
      <c r="O307" t="str">
        <f t="shared" si="20"/>
        <v/>
      </c>
      <c r="P307" t="str">
        <f t="shared" si="21"/>
        <v/>
      </c>
      <c r="Q307" t="str">
        <f>IF(OR($P307="",$S307=""),"",IFERROR($P307-INDEX(Config!$E$15:$E$18,MATCH($S307,Config!$B$15:$B$18,0)),""))</f>
        <v/>
      </c>
      <c r="R307" t="str">
        <f t="shared" si="22"/>
        <v/>
      </c>
      <c r="S307" s="6" t="str">
        <f>IF(OR($A307="",$C307=""),"",IFERROR(INDEX(Turno!$C$3:$V$32,MATCH($C307,Turno!$B$3:$B$32,0),MATCH(DAY($A307),Turno!$C$1:$V$1,0)),""))</f>
        <v/>
      </c>
      <c r="T307" t="str">
        <f>IF(OR($E307="",$S307=""),"",IFERROR(MAX(0,ROUND((INDEX(Config!$D$15:$D$18,MATCH($S307,Config!$B$15:$B$18,0))-$E307)*1440,0)),""))</f>
        <v/>
      </c>
      <c r="U307" s="13" t="str">
        <f>IF(OR($N307="",$T307=""),"",IFERROR(MAX(0,1-($N307+$T307+MAX(0,N($Q307)))/ROUND((INDEX(Config!$D$15:$D$18,MATCH($S307,Config!$B$15:$B$18,0))-INDEX(Config!$C$15:$C$18,MATCH($S307,Config!$B$15:$B$18,0)))*1440,0)),""))</f>
        <v/>
      </c>
      <c r="V307" s="5"/>
    </row>
    <row r="308" spans="1:22" x14ac:dyDescent="0.25">
      <c r="A308" s="11"/>
      <c r="B308" s="17"/>
      <c r="C308" t="str">
        <f>IFERROR(INDEX([1]Ejecutivos!$B$2:$B$101,MATCH(B308,[1]Ejecutivos!$A$2:$A$101,0)),"")</f>
        <v/>
      </c>
      <c r="D308" s="44"/>
      <c r="E308" s="44"/>
      <c r="F308" s="44"/>
      <c r="G308" s="44"/>
      <c r="H308" s="45"/>
      <c r="I308" s="45"/>
      <c r="J308" s="45"/>
      <c r="K308" s="44"/>
      <c r="L308" s="18">
        <v>0</v>
      </c>
      <c r="M308" t="str">
        <f t="shared" si="19"/>
        <v/>
      </c>
      <c r="N308" t="str">
        <f>IF(OR($D308="",$S308=""),"",IFERROR(MAX(0,ROUND(($D308-INDEX(Config!$C$15:$C$18,MATCH($S308,Config!$B$15:$B$18,0)))*24*60,0)),""))</f>
        <v/>
      </c>
      <c r="O308" t="str">
        <f t="shared" si="20"/>
        <v/>
      </c>
      <c r="P308" t="str">
        <f t="shared" si="21"/>
        <v/>
      </c>
      <c r="Q308" t="str">
        <f>IF(OR($P308="",$S308=""),"",IFERROR($P308-INDEX(Config!$E$15:$E$18,MATCH($S308,Config!$B$15:$B$18,0)),""))</f>
        <v/>
      </c>
      <c r="R308" t="str">
        <f t="shared" si="22"/>
        <v/>
      </c>
      <c r="S308" s="6" t="str">
        <f>IF(OR($A308="",$C308=""),"",IFERROR(INDEX(Turno!$C$3:$V$32,MATCH($C308,Turno!$B$3:$B$32,0),MATCH(DAY($A308),Turno!$C$1:$V$1,0)),""))</f>
        <v/>
      </c>
      <c r="T308" t="str">
        <f>IF(OR($E308="",$S308=""),"",IFERROR(MAX(0,ROUND((INDEX(Config!$D$15:$D$18,MATCH($S308,Config!$B$15:$B$18,0))-$E308)*1440,0)),""))</f>
        <v/>
      </c>
      <c r="U308" s="13" t="str">
        <f>IF(OR($N308="",$T308=""),"",IFERROR(MAX(0,1-($N308+$T308+MAX(0,N($Q308)))/ROUND((INDEX(Config!$D$15:$D$18,MATCH($S308,Config!$B$15:$B$18,0))-INDEX(Config!$C$15:$C$18,MATCH($S308,Config!$B$15:$B$18,0)))*1440,0)),""))</f>
        <v/>
      </c>
      <c r="V308" s="5"/>
    </row>
    <row r="309" spans="1:22" x14ac:dyDescent="0.25">
      <c r="A309" s="11"/>
      <c r="B309" s="17"/>
      <c r="C309" t="str">
        <f>IFERROR(INDEX([1]Ejecutivos!$B$2:$B$101,MATCH(B309,[1]Ejecutivos!$A$2:$A$101,0)),"")</f>
        <v/>
      </c>
      <c r="D309" s="42"/>
      <c r="E309" s="42"/>
      <c r="F309" s="42"/>
      <c r="G309" s="42"/>
      <c r="H309" s="43"/>
      <c r="I309" s="43"/>
      <c r="J309" s="46"/>
      <c r="K309" s="42"/>
      <c r="L309" s="18">
        <v>0</v>
      </c>
      <c r="M309" t="str">
        <f t="shared" ref="M309:M372" si="23">IF(OR(D309="",E309=""),"",ROUND(((E309-D309)*24)-((G309-F309)*24)-((H309+I309)/60),2))</f>
        <v/>
      </c>
      <c r="N309" t="str">
        <f>IF(OR($D309="",$S309=""),"",IFERROR(MAX(0,ROUND(($D309-INDEX(Config!$C$15:$C$18,MATCH($S309,Config!$B$15:$B$18,0)))*24*60,0)),""))</f>
        <v/>
      </c>
      <c r="O309" t="str">
        <f t="shared" ref="O309:O372" si="24">IF(OR(F309="",G309=""),"",ROUND((G309-F309)*24*60,0))</f>
        <v/>
      </c>
      <c r="P309" t="str">
        <f t="shared" ref="P309:P372" si="25">IF(O309="","",O309+H309+I309)</f>
        <v/>
      </c>
      <c r="Q309" t="str">
        <f>IF(OR($P309="",$S309=""),"",IFERROR($P309-INDEX(Config!$E$15:$E$18,MATCH($S309,Config!$B$15:$B$18,0)),""))</f>
        <v/>
      </c>
      <c r="R309" t="str">
        <f t="shared" ref="R309:R372" si="26">IF($A309="","",IF($D309="","Ausente",IF($N309="","",IF($N309&gt;0,"Atrasado","Puntual"))))</f>
        <v/>
      </c>
      <c r="S309" s="6" t="str">
        <f>IF(OR($A309="",$C309=""),"",IFERROR(INDEX(Turno!$C$3:$V$32,MATCH($C309,Turno!$B$3:$B$32,0),MATCH(DAY($A309),Turno!$C$1:$V$1,0)),""))</f>
        <v/>
      </c>
      <c r="T309" t="str">
        <f>IF(OR($E309="",$S309=""),"",IFERROR(MAX(0,ROUND((INDEX(Config!$D$15:$D$18,MATCH($S309,Config!$B$15:$B$18,0))-$E309)*1440,0)),""))</f>
        <v/>
      </c>
      <c r="U309" s="13" t="str">
        <f>IF(OR($N309="",$T309=""),"",IFERROR(MAX(0,1-($N309+$T309+MAX(0,N($Q309)))/ROUND((INDEX(Config!$D$15:$D$18,MATCH($S309,Config!$B$15:$B$18,0))-INDEX(Config!$C$15:$C$18,MATCH($S309,Config!$B$15:$B$18,0)))*1440,0)),""))</f>
        <v/>
      </c>
      <c r="V309" s="5"/>
    </row>
    <row r="310" spans="1:22" x14ac:dyDescent="0.25">
      <c r="A310" s="11"/>
      <c r="B310" s="17"/>
      <c r="C310" t="str">
        <f>IFERROR(INDEX([1]Ejecutivos!$B$2:$B$101,MATCH(B310,[1]Ejecutivos!$A$2:$A$101,0)),"")</f>
        <v/>
      </c>
      <c r="D310" s="44"/>
      <c r="E310" s="44"/>
      <c r="F310" s="44"/>
      <c r="G310" s="44"/>
      <c r="H310" s="45"/>
      <c r="I310" s="45"/>
      <c r="J310" s="45"/>
      <c r="K310" s="44"/>
      <c r="L310" s="18">
        <v>0</v>
      </c>
      <c r="M310" t="str">
        <f t="shared" si="23"/>
        <v/>
      </c>
      <c r="N310" t="str">
        <f>IF(OR($D310="",$S310=""),"",IFERROR(MAX(0,ROUND(($D310-INDEX(Config!$C$15:$C$18,MATCH($S310,Config!$B$15:$B$18,0)))*24*60,0)),""))</f>
        <v/>
      </c>
      <c r="O310" t="str">
        <f t="shared" si="24"/>
        <v/>
      </c>
      <c r="P310" t="str">
        <f t="shared" si="25"/>
        <v/>
      </c>
      <c r="Q310" t="str">
        <f>IF(OR($P310="",$S310=""),"",IFERROR($P310-INDEX(Config!$E$15:$E$18,MATCH($S310,Config!$B$15:$B$18,0)),""))</f>
        <v/>
      </c>
      <c r="R310" t="str">
        <f t="shared" si="26"/>
        <v/>
      </c>
      <c r="S310" s="6" t="str">
        <f>IF(OR($A310="",$C310=""),"",IFERROR(INDEX(Turno!$C$3:$V$32,MATCH($C310,Turno!$B$3:$B$32,0),MATCH(DAY($A310),Turno!$C$1:$V$1,0)),""))</f>
        <v/>
      </c>
      <c r="T310" t="str">
        <f>IF(OR($E310="",$S310=""),"",IFERROR(MAX(0,ROUND((INDEX(Config!$D$15:$D$18,MATCH($S310,Config!$B$15:$B$18,0))-$E310)*1440,0)),""))</f>
        <v/>
      </c>
      <c r="U310" s="13" t="str">
        <f>IF(OR($N310="",$T310=""),"",IFERROR(MAX(0,1-($N310+$T310+MAX(0,N($Q310)))/ROUND((INDEX(Config!$D$15:$D$18,MATCH($S310,Config!$B$15:$B$18,0))-INDEX(Config!$C$15:$C$18,MATCH($S310,Config!$B$15:$B$18,0)))*1440,0)),""))</f>
        <v/>
      </c>
      <c r="V310" s="5"/>
    </row>
    <row r="311" spans="1:22" x14ac:dyDescent="0.25">
      <c r="A311" s="11"/>
      <c r="B311" s="17"/>
      <c r="C311" t="str">
        <f>IFERROR(INDEX([1]Ejecutivos!$B$2:$B$101,MATCH(B311,[1]Ejecutivos!$A$2:$A$101,0)),"")</f>
        <v/>
      </c>
      <c r="D311" s="42"/>
      <c r="E311" s="42"/>
      <c r="F311" s="42"/>
      <c r="G311" s="42"/>
      <c r="H311" s="43"/>
      <c r="I311" s="43"/>
      <c r="J311" s="43"/>
      <c r="K311" s="42"/>
      <c r="L311" s="18">
        <v>0</v>
      </c>
      <c r="M311" t="str">
        <f t="shared" si="23"/>
        <v/>
      </c>
      <c r="N311" t="str">
        <f>IF(OR($D311="",$S311=""),"",IFERROR(MAX(0,ROUND(($D311-INDEX(Config!$C$15:$C$18,MATCH($S311,Config!$B$15:$B$18,0)))*24*60,0)),""))</f>
        <v/>
      </c>
      <c r="O311" t="str">
        <f t="shared" si="24"/>
        <v/>
      </c>
      <c r="P311" t="str">
        <f t="shared" si="25"/>
        <v/>
      </c>
      <c r="Q311" t="str">
        <f>IF(OR($P311="",$S311=""),"",IFERROR($P311-INDEX(Config!$E$15:$E$18,MATCH($S311,Config!$B$15:$B$18,0)),""))</f>
        <v/>
      </c>
      <c r="R311" t="str">
        <f t="shared" si="26"/>
        <v/>
      </c>
      <c r="S311" s="6" t="str">
        <f>IF(OR($A311="",$C311=""),"",IFERROR(INDEX(Turno!$C$3:$V$32,MATCH($C311,Turno!$B$3:$B$32,0),MATCH(DAY($A311),Turno!$C$1:$V$1,0)),""))</f>
        <v/>
      </c>
      <c r="T311" t="str">
        <f>IF(OR($E311="",$S311=""),"",IFERROR(MAX(0,ROUND((INDEX(Config!$D$15:$D$18,MATCH($S311,Config!$B$15:$B$18,0))-$E311)*1440,0)),""))</f>
        <v/>
      </c>
      <c r="U311" s="13" t="str">
        <f>IF(OR($N311="",$T311=""),"",IFERROR(MAX(0,1-($N311+$T311+MAX(0,N($Q311)))/ROUND((INDEX(Config!$D$15:$D$18,MATCH($S311,Config!$B$15:$B$18,0))-INDEX(Config!$C$15:$C$18,MATCH($S311,Config!$B$15:$B$18,0)))*1440,0)),""))</f>
        <v/>
      </c>
      <c r="V311" s="5"/>
    </row>
    <row r="312" spans="1:22" x14ac:dyDescent="0.25">
      <c r="A312" s="11"/>
      <c r="B312" s="17"/>
      <c r="C312" t="str">
        <f>IFERROR(INDEX([1]Ejecutivos!$B$2:$B$101,MATCH(B312,[1]Ejecutivos!$A$2:$A$101,0)),"")</f>
        <v/>
      </c>
      <c r="D312" s="44"/>
      <c r="E312" s="44"/>
      <c r="F312" s="44"/>
      <c r="G312" s="44"/>
      <c r="H312" s="45"/>
      <c r="I312" s="45"/>
      <c r="J312" s="45"/>
      <c r="K312" s="44"/>
      <c r="L312" s="18">
        <v>0</v>
      </c>
      <c r="M312" t="str">
        <f t="shared" si="23"/>
        <v/>
      </c>
      <c r="N312" t="str">
        <f>IF(OR($D312="",$S312=""),"",IFERROR(MAX(0,ROUND(($D312-INDEX(Config!$C$15:$C$18,MATCH($S312,Config!$B$15:$B$18,0)))*24*60,0)),""))</f>
        <v/>
      </c>
      <c r="O312" t="str">
        <f t="shared" si="24"/>
        <v/>
      </c>
      <c r="P312" t="str">
        <f t="shared" si="25"/>
        <v/>
      </c>
      <c r="Q312" t="str">
        <f>IF(OR($P312="",$S312=""),"",IFERROR($P312-INDEX(Config!$E$15:$E$18,MATCH($S312,Config!$B$15:$B$18,0)),""))</f>
        <v/>
      </c>
      <c r="R312" t="str">
        <f t="shared" si="26"/>
        <v/>
      </c>
      <c r="S312" s="6" t="str">
        <f>IF(OR($A312="",$C312=""),"",IFERROR(INDEX(Turno!$C$3:$V$32,MATCH($C312,Turno!$B$3:$B$32,0),MATCH(DAY($A312),Turno!$C$1:$V$1,0)),""))</f>
        <v/>
      </c>
      <c r="T312" t="str">
        <f>IF(OR($E312="",$S312=""),"",IFERROR(MAX(0,ROUND((INDEX(Config!$D$15:$D$18,MATCH($S312,Config!$B$15:$B$18,0))-$E312)*1440,0)),""))</f>
        <v/>
      </c>
      <c r="U312" s="13" t="str">
        <f>IF(OR($N312="",$T312=""),"",IFERROR(MAX(0,1-($N312+$T312+MAX(0,N($Q312)))/ROUND((INDEX(Config!$D$15:$D$18,MATCH($S312,Config!$B$15:$B$18,0))-INDEX(Config!$C$15:$C$18,MATCH($S312,Config!$B$15:$B$18,0)))*1440,0)),""))</f>
        <v/>
      </c>
      <c r="V312" s="5"/>
    </row>
    <row r="313" spans="1:22" x14ac:dyDescent="0.25">
      <c r="A313" s="11"/>
      <c r="B313" s="17"/>
      <c r="C313" t="str">
        <f>IFERROR(INDEX([1]Ejecutivos!$B$2:$B$101,MATCH(B313,[1]Ejecutivos!$A$2:$A$101,0)),"")</f>
        <v/>
      </c>
      <c r="D313" s="42"/>
      <c r="E313" s="42"/>
      <c r="F313" s="42"/>
      <c r="G313" s="42"/>
      <c r="H313" s="43"/>
      <c r="I313" s="43"/>
      <c r="J313" s="43"/>
      <c r="K313" s="42"/>
      <c r="L313" s="18">
        <v>0</v>
      </c>
      <c r="M313" t="str">
        <f t="shared" si="23"/>
        <v/>
      </c>
      <c r="N313" t="str">
        <f>IF(OR($D313="",$S313=""),"",IFERROR(MAX(0,ROUND(($D313-INDEX(Config!$C$15:$C$18,MATCH($S313,Config!$B$15:$B$18,0)))*24*60,0)),""))</f>
        <v/>
      </c>
      <c r="O313" t="str">
        <f t="shared" si="24"/>
        <v/>
      </c>
      <c r="P313" t="str">
        <f t="shared" si="25"/>
        <v/>
      </c>
      <c r="Q313" t="str">
        <f>IF(OR($P313="",$S313=""),"",IFERROR($P313-INDEX(Config!$E$15:$E$18,MATCH($S313,Config!$B$15:$B$18,0)),""))</f>
        <v/>
      </c>
      <c r="R313" t="str">
        <f t="shared" si="26"/>
        <v/>
      </c>
      <c r="S313" s="6" t="str">
        <f>IF(OR($A313="",$C313=""),"",IFERROR(INDEX(Turno!$C$3:$V$32,MATCH($C313,Turno!$B$3:$B$32,0),MATCH(DAY($A313),Turno!$C$1:$V$1,0)),""))</f>
        <v/>
      </c>
      <c r="T313" t="str">
        <f>IF(OR($E313="",$S313=""),"",IFERROR(MAX(0,ROUND((INDEX(Config!$D$15:$D$18,MATCH($S313,Config!$B$15:$B$18,0))-$E313)*1440,0)),""))</f>
        <v/>
      </c>
      <c r="U313" s="13" t="str">
        <f>IF(OR($N313="",$T313=""),"",IFERROR(MAX(0,1-($N313+$T313+MAX(0,N($Q313)))/ROUND((INDEX(Config!$D$15:$D$18,MATCH($S313,Config!$B$15:$B$18,0))-INDEX(Config!$C$15:$C$18,MATCH($S313,Config!$B$15:$B$18,0)))*1440,0)),""))</f>
        <v/>
      </c>
      <c r="V313" s="5"/>
    </row>
    <row r="314" spans="1:22" x14ac:dyDescent="0.25">
      <c r="A314" s="11"/>
      <c r="B314" s="17"/>
      <c r="C314" t="str">
        <f>IFERROR(INDEX([1]Ejecutivos!$B$2:$B$101,MATCH(B314,[1]Ejecutivos!$A$2:$A$101,0)),"")</f>
        <v/>
      </c>
      <c r="D314" s="44"/>
      <c r="E314" s="44"/>
      <c r="F314" s="44"/>
      <c r="G314" s="44"/>
      <c r="H314" s="45"/>
      <c r="I314" s="45"/>
      <c r="J314" s="45"/>
      <c r="K314" s="44"/>
      <c r="L314" s="18">
        <v>0</v>
      </c>
      <c r="M314" t="str">
        <f t="shared" si="23"/>
        <v/>
      </c>
      <c r="N314" t="str">
        <f>IF(OR($D314="",$S314=""),"",IFERROR(MAX(0,ROUND(($D314-INDEX(Config!$C$15:$C$18,MATCH($S314,Config!$B$15:$B$18,0)))*24*60,0)),""))</f>
        <v/>
      </c>
      <c r="O314" t="str">
        <f t="shared" si="24"/>
        <v/>
      </c>
      <c r="P314" t="str">
        <f t="shared" si="25"/>
        <v/>
      </c>
      <c r="Q314" t="str">
        <f>IF(OR($P314="",$S314=""),"",IFERROR($P314-INDEX(Config!$E$15:$E$18,MATCH($S314,Config!$B$15:$B$18,0)),""))</f>
        <v/>
      </c>
      <c r="R314" t="str">
        <f t="shared" si="26"/>
        <v/>
      </c>
      <c r="S314" s="6" t="str">
        <f>IF(OR($A314="",$C314=""),"",IFERROR(INDEX(Turno!$C$3:$V$32,MATCH($C314,Turno!$B$3:$B$32,0),MATCH(DAY($A314),Turno!$C$1:$V$1,0)),""))</f>
        <v/>
      </c>
      <c r="T314" t="str">
        <f>IF(OR($E314="",$S314=""),"",IFERROR(MAX(0,ROUND((INDEX(Config!$D$15:$D$18,MATCH($S314,Config!$B$15:$B$18,0))-$E314)*1440,0)),""))</f>
        <v/>
      </c>
      <c r="U314" s="13" t="str">
        <f>IF(OR($N314="",$T314=""),"",IFERROR(MAX(0,1-($N314+$T314+MAX(0,N($Q314)))/ROUND((INDEX(Config!$D$15:$D$18,MATCH($S314,Config!$B$15:$B$18,0))-INDEX(Config!$C$15:$C$18,MATCH($S314,Config!$B$15:$B$18,0)))*1440,0)),""))</f>
        <v/>
      </c>
      <c r="V314" s="5"/>
    </row>
    <row r="315" spans="1:22" x14ac:dyDescent="0.25">
      <c r="A315" s="11"/>
      <c r="B315" s="17"/>
      <c r="C315" t="str">
        <f>IFERROR(INDEX([1]Ejecutivos!$B$2:$B$101,MATCH(B315,[1]Ejecutivos!$A$2:$A$101,0)),"")</f>
        <v/>
      </c>
      <c r="D315" s="42"/>
      <c r="E315" s="42"/>
      <c r="F315" s="42"/>
      <c r="G315" s="42"/>
      <c r="H315" s="43"/>
      <c r="I315" s="43"/>
      <c r="J315" s="43"/>
      <c r="K315" s="42"/>
      <c r="L315" s="18">
        <v>0</v>
      </c>
      <c r="M315" t="str">
        <f t="shared" si="23"/>
        <v/>
      </c>
      <c r="N315" t="str">
        <f>IF(OR($D315="",$S315=""),"",IFERROR(MAX(0,ROUND(($D315-INDEX(Config!$C$15:$C$18,MATCH($S315,Config!$B$15:$B$18,0)))*24*60,0)),""))</f>
        <v/>
      </c>
      <c r="O315" t="str">
        <f t="shared" si="24"/>
        <v/>
      </c>
      <c r="P315" t="str">
        <f t="shared" si="25"/>
        <v/>
      </c>
      <c r="Q315" t="str">
        <f>IF(OR($P315="",$S315=""),"",IFERROR($P315-INDEX(Config!$E$15:$E$18,MATCH($S315,Config!$B$15:$B$18,0)),""))</f>
        <v/>
      </c>
      <c r="R315" t="str">
        <f t="shared" si="26"/>
        <v/>
      </c>
      <c r="S315" s="6" t="str">
        <f>IF(OR($A315="",$C315=""),"",IFERROR(INDEX(Turno!$C$3:$V$32,MATCH($C315,Turno!$B$3:$B$32,0),MATCH(DAY($A315),Turno!$C$1:$V$1,0)),""))</f>
        <v/>
      </c>
      <c r="T315" t="str">
        <f>IF(OR($E315="",$S315=""),"",IFERROR(MAX(0,ROUND((INDEX(Config!$D$15:$D$18,MATCH($S315,Config!$B$15:$B$18,0))-$E315)*1440,0)),""))</f>
        <v/>
      </c>
      <c r="U315" s="13" t="str">
        <f>IF(OR($N315="",$T315=""),"",IFERROR(MAX(0,1-($N315+$T315+MAX(0,N($Q315)))/ROUND((INDEX(Config!$D$15:$D$18,MATCH($S315,Config!$B$15:$B$18,0))-INDEX(Config!$C$15:$C$18,MATCH($S315,Config!$B$15:$B$18,0)))*1440,0)),""))</f>
        <v/>
      </c>
      <c r="V315" s="5"/>
    </row>
    <row r="316" spans="1:22" x14ac:dyDescent="0.25">
      <c r="A316" s="11"/>
      <c r="B316" s="17"/>
      <c r="C316" t="str">
        <f>IFERROR(INDEX([1]Ejecutivos!$B$2:$B$101,MATCH(B316,[1]Ejecutivos!$A$2:$A$101,0)),"")</f>
        <v/>
      </c>
      <c r="D316" s="44"/>
      <c r="E316" s="44"/>
      <c r="F316" s="44"/>
      <c r="G316" s="44"/>
      <c r="H316" s="45"/>
      <c r="I316" s="45"/>
      <c r="J316" s="45"/>
      <c r="K316" s="44"/>
      <c r="L316" s="18">
        <v>0</v>
      </c>
      <c r="M316" t="str">
        <f t="shared" si="23"/>
        <v/>
      </c>
      <c r="N316" t="str">
        <f>IF(OR($D316="",$S316=""),"",IFERROR(MAX(0,ROUND(($D316-INDEX(Config!$C$15:$C$18,MATCH($S316,Config!$B$15:$B$18,0)))*24*60,0)),""))</f>
        <v/>
      </c>
      <c r="O316" t="str">
        <f t="shared" si="24"/>
        <v/>
      </c>
      <c r="P316" t="str">
        <f t="shared" si="25"/>
        <v/>
      </c>
      <c r="Q316" t="str">
        <f>IF(OR($P316="",$S316=""),"",IFERROR($P316-INDEX(Config!$E$15:$E$18,MATCH($S316,Config!$B$15:$B$18,0)),""))</f>
        <v/>
      </c>
      <c r="R316" t="str">
        <f t="shared" si="26"/>
        <v/>
      </c>
      <c r="S316" s="6" t="str">
        <f>IF(OR($A316="",$C316=""),"",IFERROR(INDEX(Turno!$C$3:$V$32,MATCH($C316,Turno!$B$3:$B$32,0),MATCH(DAY($A316),Turno!$C$1:$V$1,0)),""))</f>
        <v/>
      </c>
      <c r="T316" t="str">
        <f>IF(OR($E316="",$S316=""),"",IFERROR(MAX(0,ROUND((INDEX(Config!$D$15:$D$18,MATCH($S316,Config!$B$15:$B$18,0))-$E316)*1440,0)),""))</f>
        <v/>
      </c>
      <c r="U316" s="13" t="str">
        <f>IF(OR($N316="",$T316=""),"",IFERROR(MAX(0,1-($N316+$T316+MAX(0,N($Q316)))/ROUND((INDEX(Config!$D$15:$D$18,MATCH($S316,Config!$B$15:$B$18,0))-INDEX(Config!$C$15:$C$18,MATCH($S316,Config!$B$15:$B$18,0)))*1440,0)),""))</f>
        <v/>
      </c>
      <c r="V316" s="5"/>
    </row>
    <row r="317" spans="1:22" x14ac:dyDescent="0.25">
      <c r="A317" s="11"/>
      <c r="B317" s="17"/>
      <c r="C317" t="str">
        <f>IFERROR(INDEX([1]Ejecutivos!$B$2:$B$101,MATCH(B317,[1]Ejecutivos!$A$2:$A$101,0)),"")</f>
        <v/>
      </c>
      <c r="D317" s="42"/>
      <c r="E317" s="42"/>
      <c r="F317" s="42"/>
      <c r="G317" s="42"/>
      <c r="H317" s="43"/>
      <c r="I317" s="43"/>
      <c r="J317" s="43"/>
      <c r="K317" s="42"/>
      <c r="L317" s="18">
        <v>0</v>
      </c>
      <c r="M317" t="str">
        <f t="shared" si="23"/>
        <v/>
      </c>
      <c r="N317" t="str">
        <f>IF(OR($D317="",$S317=""),"",IFERROR(MAX(0,ROUND(($D317-INDEX(Config!$C$15:$C$18,MATCH($S317,Config!$B$15:$B$18,0)))*24*60,0)),""))</f>
        <v/>
      </c>
      <c r="O317" t="str">
        <f t="shared" si="24"/>
        <v/>
      </c>
      <c r="P317" t="str">
        <f t="shared" si="25"/>
        <v/>
      </c>
      <c r="Q317" t="str">
        <f>IF(OR($P317="",$S317=""),"",IFERROR($P317-INDEX(Config!$E$15:$E$18,MATCH($S317,Config!$B$15:$B$18,0)),""))</f>
        <v/>
      </c>
      <c r="R317" t="str">
        <f t="shared" si="26"/>
        <v/>
      </c>
      <c r="S317" s="6" t="str">
        <f>IF(OR($A317="",$C317=""),"",IFERROR(INDEX(Turno!$C$3:$V$32,MATCH($C317,Turno!$B$3:$B$32,0),MATCH(DAY($A317),Turno!$C$1:$V$1,0)),""))</f>
        <v/>
      </c>
      <c r="T317" t="str">
        <f>IF(OR($E317="",$S317=""),"",IFERROR(MAX(0,ROUND((INDEX(Config!$D$15:$D$18,MATCH($S317,Config!$B$15:$B$18,0))-$E317)*1440,0)),""))</f>
        <v/>
      </c>
      <c r="U317" s="13" t="str">
        <f>IF(OR($N317="",$T317=""),"",IFERROR(MAX(0,1-($N317+$T317+MAX(0,N($Q317)))/ROUND((INDEX(Config!$D$15:$D$18,MATCH($S317,Config!$B$15:$B$18,0))-INDEX(Config!$C$15:$C$18,MATCH($S317,Config!$B$15:$B$18,0)))*1440,0)),""))</f>
        <v/>
      </c>
      <c r="V317" s="5"/>
    </row>
    <row r="318" spans="1:22" x14ac:dyDescent="0.25">
      <c r="A318" s="11"/>
      <c r="B318" s="16"/>
      <c r="C318" t="str">
        <f>IFERROR(INDEX([1]Ejecutivos!$B$2:$B$101,MATCH(B318,[1]Ejecutivos!$A$2:$A$101,0)),"")</f>
        <v/>
      </c>
      <c r="D318" s="42"/>
      <c r="E318" s="42"/>
      <c r="F318" s="42"/>
      <c r="G318" s="42"/>
      <c r="H318" s="43"/>
      <c r="I318" s="43"/>
      <c r="J318" s="43"/>
      <c r="K318" s="42"/>
      <c r="L318" s="18">
        <v>0</v>
      </c>
      <c r="M318" t="str">
        <f t="shared" si="23"/>
        <v/>
      </c>
      <c r="N318" t="str">
        <f>IF(OR($D318="",$S318=""),"",IFERROR(MAX(0,ROUND(($D318-INDEX(Config!$C$15:$C$18,MATCH($S318,Config!$B$15:$B$18,0)))*24*60,0)),""))</f>
        <v/>
      </c>
      <c r="O318" t="str">
        <f t="shared" si="24"/>
        <v/>
      </c>
      <c r="P318" t="str">
        <f t="shared" si="25"/>
        <v/>
      </c>
      <c r="Q318" t="str">
        <f>IF(OR($P318="",$S318=""),"",IFERROR($P318-INDEX(Config!$E$15:$E$18,MATCH($S318,Config!$B$15:$B$18,0)),""))</f>
        <v/>
      </c>
      <c r="R318" t="str">
        <f t="shared" si="26"/>
        <v/>
      </c>
      <c r="S318" s="6" t="str">
        <f>IF(OR($A318="",$C318=""),"",IFERROR(INDEX(Turno!$C$3:$V$32,MATCH($C318,Turno!$B$3:$B$32,0),MATCH(DAY($A318),Turno!$C$1:$V$1,0)),""))</f>
        <v/>
      </c>
      <c r="T318" t="str">
        <f>IF(OR($E318="",$S318=""),"",IFERROR(MAX(0,ROUND((INDEX(Config!$D$15:$D$18,MATCH($S318,Config!$B$15:$B$18,0))-$E318)*1440,0)),""))</f>
        <v/>
      </c>
      <c r="U318" s="13" t="str">
        <f>IF(OR($N318="",$T318=""),"",IFERROR(MAX(0,1-($N318+$T318+MAX(0,N($Q318)))/ROUND((INDEX(Config!$D$15:$D$18,MATCH($S318,Config!$B$15:$B$18,0))-INDEX(Config!$C$15:$C$18,MATCH($S318,Config!$B$15:$B$18,0)))*1440,0)),""))</f>
        <v/>
      </c>
      <c r="V318" s="5"/>
    </row>
    <row r="319" spans="1:22" x14ac:dyDescent="0.25">
      <c r="A319" s="11"/>
      <c r="B319" s="16"/>
      <c r="C319" t="str">
        <f>IFERROR(INDEX([1]Ejecutivos!$B$2:$B$101,MATCH(B319,[1]Ejecutivos!$A$2:$A$101,0)),"")</f>
        <v/>
      </c>
      <c r="D319" s="44"/>
      <c r="E319" s="44"/>
      <c r="F319" s="44"/>
      <c r="G319" s="44"/>
      <c r="H319" s="45"/>
      <c r="I319" s="45"/>
      <c r="J319" s="45"/>
      <c r="K319" s="44"/>
      <c r="L319" s="18">
        <v>0</v>
      </c>
      <c r="M319" t="str">
        <f t="shared" si="23"/>
        <v/>
      </c>
      <c r="N319" t="str">
        <f>IF(OR($D319="",$S319=""),"",IFERROR(MAX(0,ROUND(($D319-INDEX(Config!$C$15:$C$18,MATCH($S319,Config!$B$15:$B$18,0)))*24*60,0)),""))</f>
        <v/>
      </c>
      <c r="O319" t="str">
        <f t="shared" si="24"/>
        <v/>
      </c>
      <c r="P319" t="str">
        <f t="shared" si="25"/>
        <v/>
      </c>
      <c r="Q319" t="str">
        <f>IF(OR($P319="",$S319=""),"",IFERROR($P319-INDEX(Config!$E$15:$E$18,MATCH($S319,Config!$B$15:$B$18,0)),""))</f>
        <v/>
      </c>
      <c r="R319" t="str">
        <f t="shared" si="26"/>
        <v/>
      </c>
      <c r="S319" s="6" t="str">
        <f>IF(OR($A319="",$C319=""),"",IFERROR(INDEX(Turno!$C$3:$V$32,MATCH($C319,Turno!$B$3:$B$32,0),MATCH(DAY($A319),Turno!$C$1:$V$1,0)),""))</f>
        <v/>
      </c>
      <c r="T319" t="str">
        <f>IF(OR($E319="",$S319=""),"",IFERROR(MAX(0,ROUND((INDEX(Config!$D$15:$D$18,MATCH($S319,Config!$B$15:$B$18,0))-$E319)*1440,0)),""))</f>
        <v/>
      </c>
      <c r="U319" s="13" t="str">
        <f>IF(OR($N319="",$T319=""),"",IFERROR(MAX(0,1-($N319+$T319+MAX(0,N($Q319)))/ROUND((INDEX(Config!$D$15:$D$18,MATCH($S319,Config!$B$15:$B$18,0))-INDEX(Config!$C$15:$C$18,MATCH($S319,Config!$B$15:$B$18,0)))*1440,0)),""))</f>
        <v/>
      </c>
      <c r="V319" s="5"/>
    </row>
    <row r="320" spans="1:22" x14ac:dyDescent="0.25">
      <c r="A320" s="11"/>
      <c r="B320" s="16"/>
      <c r="C320" t="str">
        <f>IFERROR(INDEX([1]Ejecutivos!$B$2:$B$101,MATCH(B320,[1]Ejecutivos!$A$2:$A$101,0)),"")</f>
        <v/>
      </c>
      <c r="D320" s="42"/>
      <c r="E320" s="42"/>
      <c r="F320" s="42"/>
      <c r="G320" s="42"/>
      <c r="H320" s="43"/>
      <c r="I320" s="43"/>
      <c r="J320" s="43"/>
      <c r="K320" s="42"/>
      <c r="L320" s="18">
        <v>0</v>
      </c>
      <c r="M320" t="str">
        <f t="shared" si="23"/>
        <v/>
      </c>
      <c r="N320" t="str">
        <f>IF(OR($D320="",$S320=""),"",IFERROR(MAX(0,ROUND(($D320-INDEX(Config!$C$15:$C$18,MATCH($S320,Config!$B$15:$B$18,0)))*24*60,0)),""))</f>
        <v/>
      </c>
      <c r="O320" t="str">
        <f t="shared" si="24"/>
        <v/>
      </c>
      <c r="P320" t="str">
        <f t="shared" si="25"/>
        <v/>
      </c>
      <c r="Q320" t="str">
        <f>IF(OR($P320="",$S320=""),"",IFERROR($P320-INDEX(Config!$E$15:$E$18,MATCH($S320,Config!$B$15:$B$18,0)),""))</f>
        <v/>
      </c>
      <c r="R320" t="str">
        <f t="shared" si="26"/>
        <v/>
      </c>
      <c r="S320" s="6" t="str">
        <f>IF(OR($A320="",$C320=""),"",IFERROR(INDEX(Turno!$C$3:$V$32,MATCH($C320,Turno!$B$3:$B$32,0),MATCH(DAY($A320),Turno!$C$1:$V$1,0)),""))</f>
        <v/>
      </c>
      <c r="T320" t="str">
        <f>IF(OR($E320="",$S320=""),"",IFERROR(MAX(0,ROUND((INDEX(Config!$D$15:$D$18,MATCH($S320,Config!$B$15:$B$18,0))-$E320)*1440,0)),""))</f>
        <v/>
      </c>
      <c r="U320" s="13" t="str">
        <f>IF(OR($N320="",$T320=""),"",IFERROR(MAX(0,1-($N320+$T320+MAX(0,N($Q320)))/ROUND((INDEX(Config!$D$15:$D$18,MATCH($S320,Config!$B$15:$B$18,0))-INDEX(Config!$C$15:$C$18,MATCH($S320,Config!$B$15:$B$18,0)))*1440,0)),""))</f>
        <v/>
      </c>
      <c r="V320" s="5"/>
    </row>
    <row r="321" spans="1:22" x14ac:dyDescent="0.25">
      <c r="A321" s="11"/>
      <c r="B321" s="16"/>
      <c r="C321" t="str">
        <f>IFERROR(INDEX([1]Ejecutivos!$B$2:$B$101,MATCH(B321,[1]Ejecutivos!$A$2:$A$101,0)),"")</f>
        <v/>
      </c>
      <c r="D321" s="44"/>
      <c r="E321" s="44"/>
      <c r="F321" s="44"/>
      <c r="G321" s="44"/>
      <c r="H321" s="45"/>
      <c r="I321" s="45"/>
      <c r="J321" s="45"/>
      <c r="K321" s="44"/>
      <c r="L321" s="18">
        <v>0</v>
      </c>
      <c r="M321" t="str">
        <f t="shared" si="23"/>
        <v/>
      </c>
      <c r="N321" t="str">
        <f>IF(OR($D321="",$S321=""),"",IFERROR(MAX(0,ROUND(($D321-INDEX(Config!$C$15:$C$18,MATCH($S321,Config!$B$15:$B$18,0)))*24*60,0)),""))</f>
        <v/>
      </c>
      <c r="O321" t="str">
        <f t="shared" si="24"/>
        <v/>
      </c>
      <c r="P321" t="str">
        <f t="shared" si="25"/>
        <v/>
      </c>
      <c r="Q321" t="str">
        <f>IF(OR($P321="",$S321=""),"",IFERROR($P321-INDEX(Config!$E$15:$E$18,MATCH($S321,Config!$B$15:$B$18,0)),""))</f>
        <v/>
      </c>
      <c r="R321" t="str">
        <f t="shared" si="26"/>
        <v/>
      </c>
      <c r="S321" s="6" t="str">
        <f>IF(OR($A321="",$C321=""),"",IFERROR(INDEX(Turno!$C$3:$V$32,MATCH($C321,Turno!$B$3:$B$32,0),MATCH(DAY($A321),Turno!$C$1:$V$1,0)),""))</f>
        <v/>
      </c>
      <c r="T321" t="str">
        <f>IF(OR($E321="",$S321=""),"",IFERROR(MAX(0,ROUND((INDEX(Config!$D$15:$D$18,MATCH($S321,Config!$B$15:$B$18,0))-$E321)*1440,0)),""))</f>
        <v/>
      </c>
      <c r="U321" s="13" t="str">
        <f>IF(OR($N321="",$T321=""),"",IFERROR(MAX(0,1-($N321+$T321+MAX(0,N($Q321)))/ROUND((INDEX(Config!$D$15:$D$18,MATCH($S321,Config!$B$15:$B$18,0))-INDEX(Config!$C$15:$C$18,MATCH($S321,Config!$B$15:$B$18,0)))*1440,0)),""))</f>
        <v/>
      </c>
      <c r="V321" s="5"/>
    </row>
    <row r="322" spans="1:22" x14ac:dyDescent="0.25">
      <c r="A322" s="11"/>
      <c r="B322" s="16"/>
      <c r="C322" t="str">
        <f>IFERROR(INDEX([1]Ejecutivos!$B$2:$B$101,MATCH(B322,[1]Ejecutivos!$A$2:$A$101,0)),"")</f>
        <v/>
      </c>
      <c r="D322" s="42"/>
      <c r="E322" s="42"/>
      <c r="F322" s="42"/>
      <c r="G322" s="42"/>
      <c r="H322" s="43"/>
      <c r="I322" s="43"/>
      <c r="J322" s="43"/>
      <c r="K322" s="42"/>
      <c r="L322" s="18">
        <v>0</v>
      </c>
      <c r="M322" t="str">
        <f t="shared" si="23"/>
        <v/>
      </c>
      <c r="N322" t="str">
        <f>IF(OR($D322="",$S322=""),"",IFERROR(MAX(0,ROUND(($D322-INDEX(Config!$C$15:$C$18,MATCH($S322,Config!$B$15:$B$18,0)))*24*60,0)),""))</f>
        <v/>
      </c>
      <c r="O322" t="str">
        <f t="shared" si="24"/>
        <v/>
      </c>
      <c r="P322" t="str">
        <f t="shared" si="25"/>
        <v/>
      </c>
      <c r="Q322" t="str">
        <f>IF(OR($P322="",$S322=""),"",IFERROR($P322-INDEX(Config!$E$15:$E$18,MATCH($S322,Config!$B$15:$B$18,0)),""))</f>
        <v/>
      </c>
      <c r="R322" t="str">
        <f t="shared" si="26"/>
        <v/>
      </c>
      <c r="S322" s="6" t="str">
        <f>IF(OR($A322="",$C322=""),"",IFERROR(INDEX(Turno!$C$3:$V$32,MATCH($C322,Turno!$B$3:$B$32,0),MATCH(DAY($A322),Turno!$C$1:$V$1,0)),""))</f>
        <v/>
      </c>
      <c r="T322" t="str">
        <f>IF(OR($E322="",$S322=""),"",IFERROR(MAX(0,ROUND((INDEX(Config!$D$15:$D$18,MATCH($S322,Config!$B$15:$B$18,0))-$E322)*1440,0)),""))</f>
        <v/>
      </c>
      <c r="U322" s="13" t="str">
        <f>IF(OR($N322="",$T322=""),"",IFERROR(MAX(0,1-($N322+$T322+MAX(0,N($Q322)))/ROUND((INDEX(Config!$D$15:$D$18,MATCH($S322,Config!$B$15:$B$18,0))-INDEX(Config!$C$15:$C$18,MATCH($S322,Config!$B$15:$B$18,0)))*1440,0)),""))</f>
        <v/>
      </c>
      <c r="V322" s="5"/>
    </row>
    <row r="323" spans="1:22" x14ac:dyDescent="0.25">
      <c r="A323" s="11"/>
      <c r="B323" s="5"/>
      <c r="C323" s="6" t="str">
        <f>IFERROR(INDEX(Ejecutivos!$B$2:$B$100,MATCH(B323,Ejecutivos!$A$2:$A$100,0)),"")</f>
        <v/>
      </c>
      <c r="D323" s="12"/>
      <c r="E323" s="12"/>
      <c r="F323" s="12"/>
      <c r="G323" s="12"/>
      <c r="H323" s="5"/>
      <c r="I323" s="5"/>
      <c r="J323" s="5"/>
      <c r="K323" s="5"/>
      <c r="L323" s="18">
        <v>0</v>
      </c>
      <c r="M323" t="str">
        <f t="shared" si="23"/>
        <v/>
      </c>
      <c r="N323" t="str">
        <f>IF(OR($D323="",$S323=""),"",IFERROR(MAX(0,ROUND(($D323-INDEX(Config!$C$15:$C$18,MATCH($S323,Config!$B$15:$B$18,0)))*24*60,0)),""))</f>
        <v/>
      </c>
      <c r="O323" t="str">
        <f t="shared" si="24"/>
        <v/>
      </c>
      <c r="P323" t="str">
        <f t="shared" si="25"/>
        <v/>
      </c>
      <c r="Q323" t="str">
        <f>IF(OR($P323="",$S323=""),"",IFERROR($P323-INDEX(Config!$E$15:$E$18,MATCH($S323,Config!$B$15:$B$18,0)),""))</f>
        <v/>
      </c>
      <c r="R323" t="str">
        <f t="shared" si="26"/>
        <v/>
      </c>
      <c r="S323" s="6" t="str">
        <f>IF(OR($A323="",$C323=""),"",IFERROR(INDEX(Turno!$C$3:$V$32,MATCH($C323,Turno!$B$3:$B$32,0),MATCH(DAY($A323),Turno!$C$1:$V$1,0)),""))</f>
        <v/>
      </c>
      <c r="T323" t="str">
        <f>IF(OR($E323="",$S323=""),"",IFERROR(MAX(0,ROUND((INDEX(Config!$D$15:$D$18,MATCH($S323,Config!$B$15:$B$18,0))-$E323)*1440,0)),""))</f>
        <v/>
      </c>
      <c r="U323" s="13" t="str">
        <f>IF(OR($N323="",$T323=""),"",IFERROR(MAX(0,1-($N323+$T323+MAX(0,N($Q323)))/ROUND((INDEX(Config!$D$15:$D$18,MATCH($S323,Config!$B$15:$B$18,0))-INDEX(Config!$C$15:$C$18,MATCH($S323,Config!$B$15:$B$18,0)))*1440,0)),""))</f>
        <v/>
      </c>
      <c r="V323" s="5"/>
    </row>
    <row r="324" spans="1:22" x14ac:dyDescent="0.25">
      <c r="A324" s="11"/>
      <c r="B324" s="5"/>
      <c r="C324" s="6" t="str">
        <f>IFERROR(INDEX(Ejecutivos!$B$2:$B$100,MATCH(B324,Ejecutivos!$A$2:$A$100,0)),"")</f>
        <v/>
      </c>
      <c r="D324" s="12"/>
      <c r="E324" s="12"/>
      <c r="F324" s="12"/>
      <c r="G324" s="12"/>
      <c r="H324" s="5"/>
      <c r="I324" s="5"/>
      <c r="J324" s="5"/>
      <c r="K324" s="5"/>
      <c r="L324" s="18">
        <v>0</v>
      </c>
      <c r="M324" t="str">
        <f t="shared" si="23"/>
        <v/>
      </c>
      <c r="N324" t="str">
        <f>IF(OR($D324="",$S324=""),"",IFERROR(MAX(0,ROUND(($D324-INDEX(Config!$C$15:$C$18,MATCH($S324,Config!$B$15:$B$18,0)))*24*60,0)),""))</f>
        <v/>
      </c>
      <c r="O324" t="str">
        <f t="shared" si="24"/>
        <v/>
      </c>
      <c r="P324" t="str">
        <f t="shared" si="25"/>
        <v/>
      </c>
      <c r="Q324" t="str">
        <f>IF(OR($P324="",$S324=""),"",IFERROR($P324-INDEX(Config!$E$15:$E$18,MATCH($S324,Config!$B$15:$B$18,0)),""))</f>
        <v/>
      </c>
      <c r="R324" t="str">
        <f t="shared" si="26"/>
        <v/>
      </c>
      <c r="S324" s="6" t="str">
        <f>IF(OR($A324="",$C324=""),"",IFERROR(INDEX(Turno!$C$3:$V$32,MATCH($C324,Turno!$B$3:$B$32,0),MATCH(DAY($A324),Turno!$C$1:$V$1,0)),""))</f>
        <v/>
      </c>
      <c r="T324" t="str">
        <f>IF(OR($E324="",$S324=""),"",IFERROR(MAX(0,ROUND((INDEX(Config!$D$15:$D$18,MATCH($S324,Config!$B$15:$B$18,0))-$E324)*1440,0)),""))</f>
        <v/>
      </c>
      <c r="U324" s="13" t="str">
        <f>IF(OR($N324="",$T324=""),"",IFERROR(MAX(0,1-($N324+$T324+MAX(0,N($Q324)))/ROUND((INDEX(Config!$D$15:$D$18,MATCH($S324,Config!$B$15:$B$18,0))-INDEX(Config!$C$15:$C$18,MATCH($S324,Config!$B$15:$B$18,0)))*1440,0)),""))</f>
        <v/>
      </c>
      <c r="V324" s="5"/>
    </row>
    <row r="325" spans="1:22" x14ac:dyDescent="0.25">
      <c r="A325" s="11"/>
      <c r="B325" s="5"/>
      <c r="C325" s="6" t="str">
        <f>IFERROR(INDEX(Ejecutivos!$B$2:$B$100,MATCH(B325,Ejecutivos!$A$2:$A$100,0)),"")</f>
        <v/>
      </c>
      <c r="D325" s="12"/>
      <c r="E325" s="12"/>
      <c r="F325" s="12"/>
      <c r="G325" s="12"/>
      <c r="H325" s="5"/>
      <c r="I325" s="5"/>
      <c r="J325" s="5"/>
      <c r="K325" s="5"/>
      <c r="L325" s="18">
        <v>0</v>
      </c>
      <c r="M325" t="str">
        <f t="shared" si="23"/>
        <v/>
      </c>
      <c r="N325" t="str">
        <f>IF(OR($D325="",$S325=""),"",IFERROR(MAX(0,ROUND(($D325-INDEX(Config!$C$15:$C$18,MATCH($S325,Config!$B$15:$B$18,0)))*24*60,0)),""))</f>
        <v/>
      </c>
      <c r="O325" t="str">
        <f t="shared" si="24"/>
        <v/>
      </c>
      <c r="P325" t="str">
        <f t="shared" si="25"/>
        <v/>
      </c>
      <c r="Q325" t="str">
        <f>IF(OR($P325="",$S325=""),"",IFERROR($P325-INDEX(Config!$E$15:$E$18,MATCH($S325,Config!$B$15:$B$18,0)),""))</f>
        <v/>
      </c>
      <c r="R325" t="str">
        <f t="shared" si="26"/>
        <v/>
      </c>
      <c r="S325" s="6" t="str">
        <f>IF(OR($A325="",$C325=""),"",IFERROR(INDEX(Turno!$C$3:$V$32,MATCH($C325,Turno!$B$3:$B$32,0),MATCH(DAY($A325),Turno!$C$1:$V$1,0)),""))</f>
        <v/>
      </c>
      <c r="T325" t="str">
        <f>IF(OR($E325="",$S325=""),"",IFERROR(MAX(0,ROUND((INDEX(Config!$D$15:$D$18,MATCH($S325,Config!$B$15:$B$18,0))-$E325)*1440,0)),""))</f>
        <v/>
      </c>
      <c r="U325" s="13" t="str">
        <f>IF(OR($N325="",$T325=""),"",IFERROR(MAX(0,1-($N325+$T325+MAX(0,N($Q325)))/ROUND((INDEX(Config!$D$15:$D$18,MATCH($S325,Config!$B$15:$B$18,0))-INDEX(Config!$C$15:$C$18,MATCH($S325,Config!$B$15:$B$18,0)))*1440,0)),""))</f>
        <v/>
      </c>
      <c r="V325" s="5"/>
    </row>
    <row r="326" spans="1:22" x14ac:dyDescent="0.25">
      <c r="A326" s="11"/>
      <c r="B326" s="5"/>
      <c r="C326" s="6" t="str">
        <f>IFERROR(INDEX(Ejecutivos!$B$2:$B$100,MATCH(B326,Ejecutivos!$A$2:$A$100,0)),"")</f>
        <v/>
      </c>
      <c r="D326" s="12"/>
      <c r="E326" s="12"/>
      <c r="F326" s="12"/>
      <c r="G326" s="12"/>
      <c r="H326" s="5"/>
      <c r="I326" s="5"/>
      <c r="J326" s="5"/>
      <c r="K326" s="5"/>
      <c r="L326" s="18">
        <v>0</v>
      </c>
      <c r="M326" t="str">
        <f t="shared" si="23"/>
        <v/>
      </c>
      <c r="N326" t="str">
        <f>IF(OR($D326="",$S326=""),"",IFERROR(MAX(0,ROUND(($D326-INDEX(Config!$C$15:$C$18,MATCH($S326,Config!$B$15:$B$18,0)))*24*60,0)),""))</f>
        <v/>
      </c>
      <c r="O326" t="str">
        <f t="shared" si="24"/>
        <v/>
      </c>
      <c r="P326" t="str">
        <f t="shared" si="25"/>
        <v/>
      </c>
      <c r="Q326" t="str">
        <f>IF(OR($P326="",$S326=""),"",IFERROR($P326-INDEX(Config!$E$15:$E$18,MATCH($S326,Config!$B$15:$B$18,0)),""))</f>
        <v/>
      </c>
      <c r="R326" t="str">
        <f t="shared" si="26"/>
        <v/>
      </c>
      <c r="S326" s="6" t="str">
        <f>IF(OR($A326="",$C326=""),"",IFERROR(INDEX(Turno!$C$3:$V$32,MATCH($C326,Turno!$B$3:$B$32,0),MATCH(DAY($A326),Turno!$C$1:$V$1,0)),""))</f>
        <v/>
      </c>
      <c r="T326" t="str">
        <f>IF(OR($E326="",$S326=""),"",IFERROR(MAX(0,ROUND((INDEX(Config!$D$15:$D$18,MATCH($S326,Config!$B$15:$B$18,0))-$E326)*1440,0)),""))</f>
        <v/>
      </c>
      <c r="U326" s="13" t="str">
        <f>IF(OR($N326="",$T326=""),"",IFERROR(MAX(0,1-($N326+$T326+MAX(0,N($Q326)))/ROUND((INDEX(Config!$D$15:$D$18,MATCH($S326,Config!$B$15:$B$18,0))-INDEX(Config!$C$15:$C$18,MATCH($S326,Config!$B$15:$B$18,0)))*1440,0)),""))</f>
        <v/>
      </c>
      <c r="V326" s="5"/>
    </row>
    <row r="327" spans="1:22" x14ac:dyDescent="0.25">
      <c r="A327" s="11"/>
      <c r="B327" s="5"/>
      <c r="C327" s="6" t="str">
        <f>IFERROR(INDEX(Ejecutivos!$B$2:$B$100,MATCH(B327,Ejecutivos!$A$2:$A$100,0)),"")</f>
        <v/>
      </c>
      <c r="D327" s="12"/>
      <c r="E327" s="12"/>
      <c r="F327" s="12"/>
      <c r="G327" s="12"/>
      <c r="H327" s="5"/>
      <c r="I327" s="5"/>
      <c r="J327" s="5"/>
      <c r="K327" s="5"/>
      <c r="L327" s="18">
        <v>0</v>
      </c>
      <c r="M327" t="str">
        <f t="shared" si="23"/>
        <v/>
      </c>
      <c r="N327" t="str">
        <f>IF(OR($D327="",$S327=""),"",IFERROR(MAX(0,ROUND(($D327-INDEX(Config!$C$15:$C$18,MATCH($S327,Config!$B$15:$B$18,0)))*24*60,0)),""))</f>
        <v/>
      </c>
      <c r="O327" t="str">
        <f t="shared" si="24"/>
        <v/>
      </c>
      <c r="P327" t="str">
        <f t="shared" si="25"/>
        <v/>
      </c>
      <c r="Q327" t="str">
        <f>IF(OR($P327="",$S327=""),"",IFERROR($P327-INDEX(Config!$E$15:$E$18,MATCH($S327,Config!$B$15:$B$18,0)),""))</f>
        <v/>
      </c>
      <c r="R327" t="str">
        <f t="shared" si="26"/>
        <v/>
      </c>
      <c r="S327" s="6" t="str">
        <f>IF(OR($A327="",$C327=""),"",IFERROR(INDEX(Turno!$C$3:$V$32,MATCH($C327,Turno!$B$3:$B$32,0),MATCH(DAY($A327),Turno!$C$1:$V$1,0)),""))</f>
        <v/>
      </c>
      <c r="T327" t="str">
        <f>IF(OR($E327="",$S327=""),"",IFERROR(MAX(0,ROUND((INDEX(Config!$D$15:$D$18,MATCH($S327,Config!$B$15:$B$18,0))-$E327)*1440,0)),""))</f>
        <v/>
      </c>
      <c r="U327" s="13" t="str">
        <f>IF(OR($N327="",$T327=""),"",IFERROR(MAX(0,1-($N327+$T327+MAX(0,N($Q327)))/ROUND((INDEX(Config!$D$15:$D$18,MATCH($S327,Config!$B$15:$B$18,0))-INDEX(Config!$C$15:$C$18,MATCH($S327,Config!$B$15:$B$18,0)))*1440,0)),""))</f>
        <v/>
      </c>
      <c r="V327" s="5"/>
    </row>
    <row r="328" spans="1:22" x14ac:dyDescent="0.25">
      <c r="A328" s="11"/>
      <c r="B328" s="5"/>
      <c r="C328" s="6" t="str">
        <f>IFERROR(INDEX(Ejecutivos!$B$2:$B$100,MATCH(B328,Ejecutivos!$A$2:$A$100,0)),"")</f>
        <v/>
      </c>
      <c r="D328" s="12"/>
      <c r="E328" s="12"/>
      <c r="F328" s="12"/>
      <c r="G328" s="12"/>
      <c r="H328" s="5"/>
      <c r="I328" s="5"/>
      <c r="J328" s="5"/>
      <c r="K328" s="5"/>
      <c r="L328" s="18">
        <v>0</v>
      </c>
      <c r="M328" t="str">
        <f t="shared" si="23"/>
        <v/>
      </c>
      <c r="N328" t="str">
        <f>IF(OR($D328="",$S328=""),"",IFERROR(MAX(0,ROUND(($D328-INDEX(Config!$C$15:$C$18,MATCH($S328,Config!$B$15:$B$18,0)))*24*60,0)),""))</f>
        <v/>
      </c>
      <c r="O328" t="str">
        <f t="shared" si="24"/>
        <v/>
      </c>
      <c r="P328" t="str">
        <f t="shared" si="25"/>
        <v/>
      </c>
      <c r="Q328" t="str">
        <f>IF(OR($P328="",$S328=""),"",IFERROR($P328-INDEX(Config!$E$15:$E$18,MATCH($S328,Config!$B$15:$B$18,0)),""))</f>
        <v/>
      </c>
      <c r="R328" t="str">
        <f t="shared" si="26"/>
        <v/>
      </c>
      <c r="S328" s="6" t="str">
        <f>IF(OR($A328="",$C328=""),"",IFERROR(INDEX(Turno!$C$3:$V$32,MATCH($C328,Turno!$B$3:$B$32,0),MATCH(DAY($A328),Turno!$C$1:$V$1,0)),""))</f>
        <v/>
      </c>
      <c r="T328" t="str">
        <f>IF(OR($E328="",$S328=""),"",IFERROR(MAX(0,ROUND((INDEX(Config!$D$15:$D$18,MATCH($S328,Config!$B$15:$B$18,0))-$E328)*1440,0)),""))</f>
        <v/>
      </c>
      <c r="U328" s="13" t="str">
        <f>IF(OR($N328="",$T328=""),"",IFERROR(MAX(0,1-($N328+$T328+MAX(0,N($Q328)))/ROUND((INDEX(Config!$D$15:$D$18,MATCH($S328,Config!$B$15:$B$18,0))-INDEX(Config!$C$15:$C$18,MATCH($S328,Config!$B$15:$B$18,0)))*1440,0)),""))</f>
        <v/>
      </c>
      <c r="V328" s="5"/>
    </row>
    <row r="329" spans="1:22" x14ac:dyDescent="0.25">
      <c r="A329" s="11"/>
      <c r="B329" s="5"/>
      <c r="C329" s="6" t="str">
        <f>IFERROR(INDEX(Ejecutivos!$B$2:$B$100,MATCH(B329,Ejecutivos!$A$2:$A$100,0)),"")</f>
        <v/>
      </c>
      <c r="D329" s="12"/>
      <c r="E329" s="12"/>
      <c r="F329" s="12"/>
      <c r="G329" s="12"/>
      <c r="H329" s="5"/>
      <c r="I329" s="5"/>
      <c r="J329" s="5"/>
      <c r="K329" s="5"/>
      <c r="L329" s="18">
        <v>0</v>
      </c>
      <c r="M329" t="str">
        <f t="shared" si="23"/>
        <v/>
      </c>
      <c r="N329" t="str">
        <f>IF(OR($D329="",$S329=""),"",IFERROR(MAX(0,ROUND(($D329-INDEX(Config!$C$15:$C$18,MATCH($S329,Config!$B$15:$B$18,0)))*24*60,0)),""))</f>
        <v/>
      </c>
      <c r="O329" t="str">
        <f t="shared" si="24"/>
        <v/>
      </c>
      <c r="P329" t="str">
        <f t="shared" si="25"/>
        <v/>
      </c>
      <c r="Q329" t="str">
        <f>IF(OR($P329="",$S329=""),"",IFERROR($P329-INDEX(Config!$E$15:$E$18,MATCH($S329,Config!$B$15:$B$18,0)),""))</f>
        <v/>
      </c>
      <c r="R329" t="str">
        <f t="shared" si="26"/>
        <v/>
      </c>
      <c r="S329" s="6" t="str">
        <f>IF(OR($A329="",$C329=""),"",IFERROR(INDEX(Turno!$C$3:$V$32,MATCH($C329,Turno!$B$3:$B$32,0),MATCH(DAY($A329),Turno!$C$1:$V$1,0)),""))</f>
        <v/>
      </c>
      <c r="T329" t="str">
        <f>IF(OR($E329="",$S329=""),"",IFERROR(MAX(0,ROUND((INDEX(Config!$D$15:$D$18,MATCH($S329,Config!$B$15:$B$18,0))-$E329)*1440,0)),""))</f>
        <v/>
      </c>
      <c r="U329" s="13" t="str">
        <f>IF(OR($N329="",$T329=""),"",IFERROR(MAX(0,1-($N329+$T329+MAX(0,N($Q329)))/ROUND((INDEX(Config!$D$15:$D$18,MATCH($S329,Config!$B$15:$B$18,0))-INDEX(Config!$C$15:$C$18,MATCH($S329,Config!$B$15:$B$18,0)))*1440,0)),""))</f>
        <v/>
      </c>
      <c r="V329" s="5"/>
    </row>
    <row r="330" spans="1:22" x14ac:dyDescent="0.25">
      <c r="A330" s="11"/>
      <c r="B330" s="5"/>
      <c r="C330" s="6" t="str">
        <f>IFERROR(INDEX(Ejecutivos!$B$2:$B$100,MATCH(B330,Ejecutivos!$A$2:$A$100,0)),"")</f>
        <v/>
      </c>
      <c r="D330" s="12"/>
      <c r="E330" s="12"/>
      <c r="F330" s="12"/>
      <c r="G330" s="12"/>
      <c r="H330" s="5"/>
      <c r="I330" s="5"/>
      <c r="J330" s="5"/>
      <c r="K330" s="5"/>
      <c r="L330" s="18">
        <v>0</v>
      </c>
      <c r="M330" t="str">
        <f t="shared" si="23"/>
        <v/>
      </c>
      <c r="N330" t="str">
        <f>IF(OR($D330="",$S330=""),"",IFERROR(MAX(0,ROUND(($D330-INDEX(Config!$C$15:$C$18,MATCH($S330,Config!$B$15:$B$18,0)))*24*60,0)),""))</f>
        <v/>
      </c>
      <c r="O330" t="str">
        <f t="shared" si="24"/>
        <v/>
      </c>
      <c r="P330" t="str">
        <f t="shared" si="25"/>
        <v/>
      </c>
      <c r="Q330" t="str">
        <f>IF(OR($P330="",$S330=""),"",IFERROR($P330-INDEX(Config!$E$15:$E$18,MATCH($S330,Config!$B$15:$B$18,0)),""))</f>
        <v/>
      </c>
      <c r="R330" t="str">
        <f t="shared" si="26"/>
        <v/>
      </c>
      <c r="S330" s="6" t="str">
        <f>IF(OR($A330="",$C330=""),"",IFERROR(INDEX(Turno!$C$3:$V$32,MATCH($C330,Turno!$B$3:$B$32,0),MATCH(DAY($A330),Turno!$C$1:$V$1,0)),""))</f>
        <v/>
      </c>
      <c r="T330" t="str">
        <f>IF(OR($E330="",$S330=""),"",IFERROR(MAX(0,ROUND((INDEX(Config!$D$15:$D$18,MATCH($S330,Config!$B$15:$B$18,0))-$E330)*1440,0)),""))</f>
        <v/>
      </c>
      <c r="U330" s="13" t="str">
        <f>IF(OR($N330="",$T330=""),"",IFERROR(MAX(0,1-($N330+$T330+MAX(0,N($Q330)))/ROUND((INDEX(Config!$D$15:$D$18,MATCH($S330,Config!$B$15:$B$18,0))-INDEX(Config!$C$15:$C$18,MATCH($S330,Config!$B$15:$B$18,0)))*1440,0)),""))</f>
        <v/>
      </c>
      <c r="V330" s="5"/>
    </row>
    <row r="331" spans="1:22" x14ac:dyDescent="0.25">
      <c r="A331" s="11"/>
      <c r="B331" s="5"/>
      <c r="C331" s="6" t="str">
        <f>IFERROR(INDEX(Ejecutivos!$B$2:$B$100,MATCH(B331,Ejecutivos!$A$2:$A$100,0)),"")</f>
        <v/>
      </c>
      <c r="D331" s="12"/>
      <c r="E331" s="12"/>
      <c r="F331" s="12"/>
      <c r="G331" s="12"/>
      <c r="H331" s="5"/>
      <c r="I331" s="5"/>
      <c r="J331" s="5"/>
      <c r="K331" s="5"/>
      <c r="L331" s="18">
        <v>0</v>
      </c>
      <c r="M331" t="str">
        <f t="shared" si="23"/>
        <v/>
      </c>
      <c r="N331" t="str">
        <f>IF(OR($D331="",$S331=""),"",IFERROR(MAX(0,ROUND(($D331-INDEX(Config!$C$15:$C$18,MATCH($S331,Config!$B$15:$B$18,0)))*24*60,0)),""))</f>
        <v/>
      </c>
      <c r="O331" t="str">
        <f t="shared" si="24"/>
        <v/>
      </c>
      <c r="P331" t="str">
        <f t="shared" si="25"/>
        <v/>
      </c>
      <c r="Q331" t="str">
        <f>IF(OR($P331="",$S331=""),"",IFERROR($P331-INDEX(Config!$E$15:$E$18,MATCH($S331,Config!$B$15:$B$18,0)),""))</f>
        <v/>
      </c>
      <c r="R331" t="str">
        <f t="shared" si="26"/>
        <v/>
      </c>
      <c r="S331" s="6" t="str">
        <f>IF(OR($A331="",$C331=""),"",IFERROR(INDEX(Turno!$C$3:$V$32,MATCH($C331,Turno!$B$3:$B$32,0),MATCH(DAY($A331),Turno!$C$1:$V$1,0)),""))</f>
        <v/>
      </c>
      <c r="T331" t="str">
        <f>IF(OR($E331="",$S331=""),"",IFERROR(MAX(0,ROUND((INDEX(Config!$D$15:$D$18,MATCH($S331,Config!$B$15:$B$18,0))-$E331)*1440,0)),""))</f>
        <v/>
      </c>
      <c r="U331" s="13" t="str">
        <f>IF(OR($N331="",$T331=""),"",IFERROR(MAX(0,1-($N331+$T331+MAX(0,N($Q331)))/ROUND((INDEX(Config!$D$15:$D$18,MATCH($S331,Config!$B$15:$B$18,0))-INDEX(Config!$C$15:$C$18,MATCH($S331,Config!$B$15:$B$18,0)))*1440,0)),""))</f>
        <v/>
      </c>
      <c r="V331" s="5"/>
    </row>
    <row r="332" spans="1:22" x14ac:dyDescent="0.25">
      <c r="A332" s="11"/>
      <c r="B332" s="5"/>
      <c r="C332" s="6" t="str">
        <f>IFERROR(INDEX(Ejecutivos!$B$2:$B$100,MATCH(B332,Ejecutivos!$A$2:$A$100,0)),"")</f>
        <v/>
      </c>
      <c r="D332" s="12"/>
      <c r="E332" s="12"/>
      <c r="F332" s="12"/>
      <c r="G332" s="12"/>
      <c r="H332" s="5"/>
      <c r="I332" s="5"/>
      <c r="J332" s="5"/>
      <c r="K332" s="5"/>
      <c r="L332" s="18">
        <v>0</v>
      </c>
      <c r="M332" t="str">
        <f t="shared" si="23"/>
        <v/>
      </c>
      <c r="N332" t="str">
        <f>IF(OR($D332="",$S332=""),"",IFERROR(MAX(0,ROUND(($D332-INDEX(Config!$C$15:$C$18,MATCH($S332,Config!$B$15:$B$18,0)))*24*60,0)),""))</f>
        <v/>
      </c>
      <c r="O332" t="str">
        <f t="shared" si="24"/>
        <v/>
      </c>
      <c r="P332" t="str">
        <f t="shared" si="25"/>
        <v/>
      </c>
      <c r="Q332" t="str">
        <f>IF(OR($P332="",$S332=""),"",IFERROR($P332-INDEX(Config!$E$15:$E$18,MATCH($S332,Config!$B$15:$B$18,0)),""))</f>
        <v/>
      </c>
      <c r="R332" t="str">
        <f t="shared" si="26"/>
        <v/>
      </c>
      <c r="S332" s="6" t="str">
        <f>IF(OR($A332="",$C332=""),"",IFERROR(INDEX(Turno!$C$3:$V$32,MATCH($C332,Turno!$B$3:$B$32,0),MATCH(DAY($A332),Turno!$C$1:$V$1,0)),""))</f>
        <v/>
      </c>
      <c r="T332" t="str">
        <f>IF(OR($E332="",$S332=""),"",IFERROR(MAX(0,ROUND((INDEX(Config!$D$15:$D$18,MATCH($S332,Config!$B$15:$B$18,0))-$E332)*1440,0)),""))</f>
        <v/>
      </c>
      <c r="U332" s="13" t="str">
        <f>IF(OR($N332="",$T332=""),"",IFERROR(MAX(0,1-($N332+$T332+MAX(0,N($Q332)))/ROUND((INDEX(Config!$D$15:$D$18,MATCH($S332,Config!$B$15:$B$18,0))-INDEX(Config!$C$15:$C$18,MATCH($S332,Config!$B$15:$B$18,0)))*1440,0)),""))</f>
        <v/>
      </c>
      <c r="V332" s="5"/>
    </row>
    <row r="333" spans="1:22" x14ac:dyDescent="0.25">
      <c r="A333" s="11"/>
      <c r="B333" s="5"/>
      <c r="C333" s="6" t="str">
        <f>IFERROR(INDEX(Ejecutivos!$B$2:$B$100,MATCH(B333,Ejecutivos!$A$2:$A$100,0)),"")</f>
        <v/>
      </c>
      <c r="D333" s="12"/>
      <c r="E333" s="12"/>
      <c r="F333" s="12"/>
      <c r="G333" s="12"/>
      <c r="H333" s="5"/>
      <c r="I333" s="5"/>
      <c r="J333" s="5"/>
      <c r="K333" s="5"/>
      <c r="L333" s="18">
        <v>0</v>
      </c>
      <c r="M333" t="str">
        <f t="shared" si="23"/>
        <v/>
      </c>
      <c r="N333" t="str">
        <f>IF(OR($D333="",$S333=""),"",IFERROR(MAX(0,ROUND(($D333-INDEX(Config!$C$15:$C$18,MATCH($S333,Config!$B$15:$B$18,0)))*24*60,0)),""))</f>
        <v/>
      </c>
      <c r="O333" t="str">
        <f t="shared" si="24"/>
        <v/>
      </c>
      <c r="P333" t="str">
        <f t="shared" si="25"/>
        <v/>
      </c>
      <c r="Q333" t="str">
        <f>IF(OR($P333="",$S333=""),"",IFERROR($P333-INDEX(Config!$E$15:$E$18,MATCH($S333,Config!$B$15:$B$18,0)),""))</f>
        <v/>
      </c>
      <c r="R333" t="str">
        <f t="shared" si="26"/>
        <v/>
      </c>
      <c r="S333" s="6" t="str">
        <f>IF(OR($A333="",$C333=""),"",IFERROR(INDEX(Turno!$C$3:$V$32,MATCH($C333,Turno!$B$3:$B$32,0),MATCH(DAY($A333),Turno!$C$1:$V$1,0)),""))</f>
        <v/>
      </c>
      <c r="T333" t="str">
        <f>IF(OR($E333="",$S333=""),"",IFERROR(MAX(0,ROUND((INDEX(Config!$D$15:$D$18,MATCH($S333,Config!$B$15:$B$18,0))-$E333)*1440,0)),""))</f>
        <v/>
      </c>
      <c r="U333" s="13" t="str">
        <f>IF(OR($N333="",$T333=""),"",IFERROR(MAX(0,1-($N333+$T333+MAX(0,N($Q333)))/ROUND((INDEX(Config!$D$15:$D$18,MATCH($S333,Config!$B$15:$B$18,0))-INDEX(Config!$C$15:$C$18,MATCH($S333,Config!$B$15:$B$18,0)))*1440,0)),""))</f>
        <v/>
      </c>
      <c r="V333" s="5"/>
    </row>
    <row r="334" spans="1:22" x14ac:dyDescent="0.25">
      <c r="A334" s="11"/>
      <c r="B334" s="5"/>
      <c r="C334" s="6" t="str">
        <f>IFERROR(INDEX(Ejecutivos!$B$2:$B$100,MATCH(B334,Ejecutivos!$A$2:$A$100,0)),"")</f>
        <v/>
      </c>
      <c r="D334" s="12"/>
      <c r="E334" s="12"/>
      <c r="F334" s="12"/>
      <c r="G334" s="12"/>
      <c r="H334" s="5"/>
      <c r="I334" s="5"/>
      <c r="J334" s="5"/>
      <c r="K334" s="5"/>
      <c r="L334" s="18">
        <v>0</v>
      </c>
      <c r="M334" t="str">
        <f t="shared" si="23"/>
        <v/>
      </c>
      <c r="N334" t="str">
        <f>IF(OR($D334="",$S334=""),"",IFERROR(MAX(0,ROUND(($D334-INDEX(Config!$C$15:$C$18,MATCH($S334,Config!$B$15:$B$18,0)))*24*60,0)),""))</f>
        <v/>
      </c>
      <c r="O334" t="str">
        <f t="shared" si="24"/>
        <v/>
      </c>
      <c r="P334" t="str">
        <f t="shared" si="25"/>
        <v/>
      </c>
      <c r="Q334" t="str">
        <f>IF(OR($P334="",$S334=""),"",IFERROR($P334-INDEX(Config!$E$15:$E$18,MATCH($S334,Config!$B$15:$B$18,0)),""))</f>
        <v/>
      </c>
      <c r="R334" t="str">
        <f t="shared" si="26"/>
        <v/>
      </c>
      <c r="S334" s="6" t="str">
        <f>IF(OR($A334="",$C334=""),"",IFERROR(INDEX(Turno!$C$3:$V$32,MATCH($C334,Turno!$B$3:$B$32,0),MATCH(DAY($A334),Turno!$C$1:$V$1,0)),""))</f>
        <v/>
      </c>
      <c r="T334" t="str">
        <f>IF(OR($E334="",$S334=""),"",IFERROR(MAX(0,ROUND((INDEX(Config!$D$15:$D$18,MATCH($S334,Config!$B$15:$B$18,0))-$E334)*1440,0)),""))</f>
        <v/>
      </c>
      <c r="U334" s="13" t="str">
        <f>IF(OR($N334="",$T334=""),"",IFERROR(MAX(0,1-($N334+$T334+MAX(0,N($Q334)))/ROUND((INDEX(Config!$D$15:$D$18,MATCH($S334,Config!$B$15:$B$18,0))-INDEX(Config!$C$15:$C$18,MATCH($S334,Config!$B$15:$B$18,0)))*1440,0)),""))</f>
        <v/>
      </c>
      <c r="V334" s="5"/>
    </row>
    <row r="335" spans="1:22" x14ac:dyDescent="0.25">
      <c r="A335" s="11"/>
      <c r="B335" s="5"/>
      <c r="C335" s="6" t="str">
        <f>IFERROR(INDEX(Ejecutivos!$B$2:$B$100,MATCH(B335,Ejecutivos!$A$2:$A$100,0)),"")</f>
        <v/>
      </c>
      <c r="D335" s="12"/>
      <c r="E335" s="12"/>
      <c r="F335" s="12"/>
      <c r="G335" s="12"/>
      <c r="H335" s="5"/>
      <c r="I335" s="5"/>
      <c r="J335" s="5"/>
      <c r="K335" s="5"/>
      <c r="L335" s="18">
        <v>0</v>
      </c>
      <c r="M335" t="str">
        <f t="shared" si="23"/>
        <v/>
      </c>
      <c r="N335" t="str">
        <f>IF(OR($D335="",$S335=""),"",IFERROR(MAX(0,ROUND(($D335-INDEX(Config!$C$15:$C$18,MATCH($S335,Config!$B$15:$B$18,0)))*24*60,0)),""))</f>
        <v/>
      </c>
      <c r="O335" t="str">
        <f t="shared" si="24"/>
        <v/>
      </c>
      <c r="P335" t="str">
        <f t="shared" si="25"/>
        <v/>
      </c>
      <c r="Q335" t="str">
        <f>IF(OR($P335="",$S335=""),"",IFERROR($P335-INDEX(Config!$E$15:$E$18,MATCH($S335,Config!$B$15:$B$18,0)),""))</f>
        <v/>
      </c>
      <c r="R335" t="str">
        <f t="shared" si="26"/>
        <v/>
      </c>
      <c r="S335" s="6" t="str">
        <f>IF(OR($A335="",$C335=""),"",IFERROR(INDEX(Turno!$C$3:$V$32,MATCH($C335,Turno!$B$3:$B$32,0),MATCH(DAY($A335),Turno!$C$1:$V$1,0)),""))</f>
        <v/>
      </c>
      <c r="T335" t="str">
        <f>IF(OR($E335="",$S335=""),"",IFERROR(MAX(0,ROUND((INDEX(Config!$D$15:$D$18,MATCH($S335,Config!$B$15:$B$18,0))-$E335)*1440,0)),""))</f>
        <v/>
      </c>
      <c r="U335" s="13" t="str">
        <f>IF(OR($N335="",$T335=""),"",IFERROR(MAX(0,1-($N335+$T335+MAX(0,N($Q335)))/ROUND((INDEX(Config!$D$15:$D$18,MATCH($S335,Config!$B$15:$B$18,0))-INDEX(Config!$C$15:$C$18,MATCH($S335,Config!$B$15:$B$18,0)))*1440,0)),""))</f>
        <v/>
      </c>
      <c r="V335" s="5"/>
    </row>
    <row r="336" spans="1:22" x14ac:dyDescent="0.25">
      <c r="A336" s="11"/>
      <c r="B336" s="5"/>
      <c r="C336" s="6" t="str">
        <f>IFERROR(INDEX(Ejecutivos!$B$2:$B$100,MATCH(B336,Ejecutivos!$A$2:$A$100,0)),"")</f>
        <v/>
      </c>
      <c r="D336" s="12"/>
      <c r="E336" s="12"/>
      <c r="F336" s="12"/>
      <c r="G336" s="12"/>
      <c r="H336" s="5"/>
      <c r="I336" s="5"/>
      <c r="J336" s="5"/>
      <c r="K336" s="5"/>
      <c r="L336" s="18">
        <v>0</v>
      </c>
      <c r="M336" t="str">
        <f t="shared" si="23"/>
        <v/>
      </c>
      <c r="N336" t="str">
        <f>IF(OR($D336="",$S336=""),"",IFERROR(MAX(0,ROUND(($D336-INDEX(Config!$C$15:$C$18,MATCH($S336,Config!$B$15:$B$18,0)))*24*60,0)),""))</f>
        <v/>
      </c>
      <c r="O336" t="str">
        <f t="shared" si="24"/>
        <v/>
      </c>
      <c r="P336" t="str">
        <f t="shared" si="25"/>
        <v/>
      </c>
      <c r="Q336" t="str">
        <f>IF(OR($P336="",$S336=""),"",IFERROR($P336-INDEX(Config!$E$15:$E$18,MATCH($S336,Config!$B$15:$B$18,0)),""))</f>
        <v/>
      </c>
      <c r="R336" t="str">
        <f t="shared" si="26"/>
        <v/>
      </c>
      <c r="S336" s="6" t="str">
        <f>IF(OR($A336="",$C336=""),"",IFERROR(INDEX(Turno!$C$3:$V$32,MATCH($C336,Turno!$B$3:$B$32,0),MATCH(DAY($A336),Turno!$C$1:$V$1,0)),""))</f>
        <v/>
      </c>
      <c r="T336" t="str">
        <f>IF(OR($E336="",$S336=""),"",IFERROR(MAX(0,ROUND((INDEX(Config!$D$15:$D$18,MATCH($S336,Config!$B$15:$B$18,0))-$E336)*1440,0)),""))</f>
        <v/>
      </c>
      <c r="U336" s="13" t="str">
        <f>IF(OR($N336="",$T336=""),"",IFERROR(MAX(0,1-($N336+$T336+MAX(0,N($Q336)))/ROUND((INDEX(Config!$D$15:$D$18,MATCH($S336,Config!$B$15:$B$18,0))-INDEX(Config!$C$15:$C$18,MATCH($S336,Config!$B$15:$B$18,0)))*1440,0)),""))</f>
        <v/>
      </c>
      <c r="V336" s="5"/>
    </row>
    <row r="337" spans="1:22" x14ac:dyDescent="0.25">
      <c r="A337" s="11"/>
      <c r="B337" s="5"/>
      <c r="C337" s="6" t="str">
        <f>IFERROR(INDEX(Ejecutivos!$B$2:$B$100,MATCH(B337,Ejecutivos!$A$2:$A$100,0)),"")</f>
        <v/>
      </c>
      <c r="D337" s="12"/>
      <c r="E337" s="12"/>
      <c r="F337" s="12"/>
      <c r="G337" s="12"/>
      <c r="H337" s="5"/>
      <c r="I337" s="5"/>
      <c r="J337" s="5"/>
      <c r="K337" s="5"/>
      <c r="L337" s="18">
        <v>0</v>
      </c>
      <c r="M337" t="str">
        <f t="shared" si="23"/>
        <v/>
      </c>
      <c r="N337" t="str">
        <f>IF(OR($D337="",$S337=""),"",IFERROR(MAX(0,ROUND(($D337-INDEX(Config!$C$15:$C$18,MATCH($S337,Config!$B$15:$B$18,0)))*24*60,0)),""))</f>
        <v/>
      </c>
      <c r="O337" t="str">
        <f t="shared" si="24"/>
        <v/>
      </c>
      <c r="P337" t="str">
        <f t="shared" si="25"/>
        <v/>
      </c>
      <c r="Q337" t="str">
        <f>IF(OR($P337="",$S337=""),"",IFERROR($P337-INDEX(Config!$E$15:$E$18,MATCH($S337,Config!$B$15:$B$18,0)),""))</f>
        <v/>
      </c>
      <c r="R337" t="str">
        <f t="shared" si="26"/>
        <v/>
      </c>
      <c r="S337" s="6" t="str">
        <f>IF(OR($A337="",$C337=""),"",IFERROR(INDEX(Turno!$C$3:$V$32,MATCH($C337,Turno!$B$3:$B$32,0),MATCH(DAY($A337),Turno!$C$1:$V$1,0)),""))</f>
        <v/>
      </c>
      <c r="T337" t="str">
        <f>IF(OR($E337="",$S337=""),"",IFERROR(MAX(0,ROUND((INDEX(Config!$D$15:$D$18,MATCH($S337,Config!$B$15:$B$18,0))-$E337)*1440,0)),""))</f>
        <v/>
      </c>
      <c r="U337" s="13" t="str">
        <f>IF(OR($N337="",$T337=""),"",IFERROR(MAX(0,1-($N337+$T337+MAX(0,N($Q337)))/ROUND((INDEX(Config!$D$15:$D$18,MATCH($S337,Config!$B$15:$B$18,0))-INDEX(Config!$C$15:$C$18,MATCH($S337,Config!$B$15:$B$18,0)))*1440,0)),""))</f>
        <v/>
      </c>
      <c r="V337" s="5"/>
    </row>
    <row r="338" spans="1:22" x14ac:dyDescent="0.25">
      <c r="A338" s="11"/>
      <c r="B338" s="5"/>
      <c r="C338" s="6" t="str">
        <f>IFERROR(INDEX(Ejecutivos!$B$2:$B$100,MATCH(B338,Ejecutivos!$A$2:$A$100,0)),"")</f>
        <v/>
      </c>
      <c r="D338" s="12"/>
      <c r="E338" s="12"/>
      <c r="F338" s="12"/>
      <c r="G338" s="12"/>
      <c r="H338" s="5"/>
      <c r="I338" s="5"/>
      <c r="J338" s="5"/>
      <c r="K338" s="5"/>
      <c r="L338" s="18">
        <v>0</v>
      </c>
      <c r="M338" t="str">
        <f t="shared" si="23"/>
        <v/>
      </c>
      <c r="N338" t="str">
        <f>IF(OR($D338="",$S338=""),"",IFERROR(MAX(0,ROUND(($D338-INDEX(Config!$C$15:$C$18,MATCH($S338,Config!$B$15:$B$18,0)))*24*60,0)),""))</f>
        <v/>
      </c>
      <c r="O338" t="str">
        <f t="shared" si="24"/>
        <v/>
      </c>
      <c r="P338" t="str">
        <f t="shared" si="25"/>
        <v/>
      </c>
      <c r="Q338" t="str">
        <f>IF(OR($P338="",$S338=""),"",IFERROR($P338-INDEX(Config!$E$15:$E$18,MATCH($S338,Config!$B$15:$B$18,0)),""))</f>
        <v/>
      </c>
      <c r="R338" t="str">
        <f t="shared" si="26"/>
        <v/>
      </c>
      <c r="S338" s="6" t="str">
        <f>IF(OR($A338="",$C338=""),"",IFERROR(INDEX(Turno!$C$3:$V$32,MATCH($C338,Turno!$B$3:$B$32,0),MATCH(DAY($A338),Turno!$C$1:$V$1,0)),""))</f>
        <v/>
      </c>
      <c r="T338" t="str">
        <f>IF(OR($E338="",$S338=""),"",IFERROR(MAX(0,ROUND((INDEX(Config!$D$15:$D$18,MATCH($S338,Config!$B$15:$B$18,0))-$E338)*1440,0)),""))</f>
        <v/>
      </c>
      <c r="U338" s="13" t="str">
        <f>IF(OR($N338="",$T338=""),"",IFERROR(MAX(0,1-($N338+$T338+MAX(0,N($Q338)))/ROUND((INDEX(Config!$D$15:$D$18,MATCH($S338,Config!$B$15:$B$18,0))-INDEX(Config!$C$15:$C$18,MATCH($S338,Config!$B$15:$B$18,0)))*1440,0)),""))</f>
        <v/>
      </c>
      <c r="V338" s="5"/>
    </row>
    <row r="339" spans="1:22" x14ac:dyDescent="0.25">
      <c r="A339" s="11"/>
      <c r="B339" s="5"/>
      <c r="C339" s="6" t="str">
        <f>IFERROR(INDEX(Ejecutivos!$B$2:$B$100,MATCH(B339,Ejecutivos!$A$2:$A$100,0)),"")</f>
        <v/>
      </c>
      <c r="D339" s="12"/>
      <c r="E339" s="12"/>
      <c r="F339" s="12"/>
      <c r="G339" s="12"/>
      <c r="H339" s="5"/>
      <c r="I339" s="5"/>
      <c r="J339" s="5"/>
      <c r="K339" s="5"/>
      <c r="L339" s="18">
        <v>0</v>
      </c>
      <c r="M339" t="str">
        <f t="shared" si="23"/>
        <v/>
      </c>
      <c r="N339" t="str">
        <f>IF(OR($D339="",$S339=""),"",IFERROR(MAX(0,ROUND(($D339-INDEX(Config!$C$15:$C$18,MATCH($S339,Config!$B$15:$B$18,0)))*24*60,0)),""))</f>
        <v/>
      </c>
      <c r="O339" t="str">
        <f t="shared" si="24"/>
        <v/>
      </c>
      <c r="P339" t="str">
        <f t="shared" si="25"/>
        <v/>
      </c>
      <c r="Q339" t="str">
        <f>IF(OR($P339="",$S339=""),"",IFERROR($P339-INDEX(Config!$E$15:$E$18,MATCH($S339,Config!$B$15:$B$18,0)),""))</f>
        <v/>
      </c>
      <c r="R339" t="str">
        <f t="shared" si="26"/>
        <v/>
      </c>
      <c r="S339" s="6" t="str">
        <f>IF(OR($A339="",$C339=""),"",IFERROR(INDEX(Turno!$C$3:$V$32,MATCH($C339,Turno!$B$3:$B$32,0),MATCH(DAY($A339),Turno!$C$1:$V$1,0)),""))</f>
        <v/>
      </c>
      <c r="T339" t="str">
        <f>IF(OR($E339="",$S339=""),"",IFERROR(MAX(0,ROUND((INDEX(Config!$D$15:$D$18,MATCH($S339,Config!$B$15:$B$18,0))-$E339)*1440,0)),""))</f>
        <v/>
      </c>
      <c r="U339" s="13" t="str">
        <f>IF(OR($N339="",$T339=""),"",IFERROR(MAX(0,1-($N339+$T339+MAX(0,N($Q339)))/ROUND((INDEX(Config!$D$15:$D$18,MATCH($S339,Config!$B$15:$B$18,0))-INDEX(Config!$C$15:$C$18,MATCH($S339,Config!$B$15:$B$18,0)))*1440,0)),""))</f>
        <v/>
      </c>
      <c r="V339" s="5"/>
    </row>
    <row r="340" spans="1:22" x14ac:dyDescent="0.25">
      <c r="A340" s="11"/>
      <c r="B340" s="5"/>
      <c r="C340" s="6" t="str">
        <f>IFERROR(INDEX(Ejecutivos!$B$2:$B$100,MATCH(B340,Ejecutivos!$A$2:$A$100,0)),"")</f>
        <v/>
      </c>
      <c r="D340" s="12"/>
      <c r="E340" s="12"/>
      <c r="F340" s="12"/>
      <c r="G340" s="12"/>
      <c r="H340" s="5"/>
      <c r="I340" s="5"/>
      <c r="J340" s="5"/>
      <c r="K340" s="5"/>
      <c r="L340" s="18">
        <v>0</v>
      </c>
      <c r="M340" t="str">
        <f t="shared" si="23"/>
        <v/>
      </c>
      <c r="N340" t="str">
        <f>IF(OR($D340="",$S340=""),"",IFERROR(MAX(0,ROUND(($D340-INDEX(Config!$C$15:$C$18,MATCH($S340,Config!$B$15:$B$18,0)))*24*60,0)),""))</f>
        <v/>
      </c>
      <c r="O340" t="str">
        <f t="shared" si="24"/>
        <v/>
      </c>
      <c r="P340" t="str">
        <f t="shared" si="25"/>
        <v/>
      </c>
      <c r="Q340" t="str">
        <f>IF(OR($P340="",$S340=""),"",IFERROR($P340-INDEX(Config!$E$15:$E$18,MATCH($S340,Config!$B$15:$B$18,0)),""))</f>
        <v/>
      </c>
      <c r="R340" t="str">
        <f t="shared" si="26"/>
        <v/>
      </c>
      <c r="S340" s="6" t="str">
        <f>IF(OR($A340="",$C340=""),"",IFERROR(INDEX(Turno!$C$3:$V$32,MATCH($C340,Turno!$B$3:$B$32,0),MATCH(DAY($A340),Turno!$C$1:$V$1,0)),""))</f>
        <v/>
      </c>
      <c r="T340" t="str">
        <f>IF(OR($E340="",$S340=""),"",IFERROR(MAX(0,ROUND((INDEX(Config!$D$15:$D$18,MATCH($S340,Config!$B$15:$B$18,0))-$E340)*1440,0)),""))</f>
        <v/>
      </c>
      <c r="U340" s="13" t="str">
        <f>IF(OR($N340="",$T340=""),"",IFERROR(MAX(0,1-($N340+$T340+MAX(0,N($Q340)))/ROUND((INDEX(Config!$D$15:$D$18,MATCH($S340,Config!$B$15:$B$18,0))-INDEX(Config!$C$15:$C$18,MATCH($S340,Config!$B$15:$B$18,0)))*1440,0)),""))</f>
        <v/>
      </c>
      <c r="V340" s="5"/>
    </row>
    <row r="341" spans="1:22" x14ac:dyDescent="0.25">
      <c r="A341" s="11"/>
      <c r="B341" s="5"/>
      <c r="C341" s="6" t="str">
        <f>IFERROR(INDEX(Ejecutivos!$B$2:$B$100,MATCH(B341,Ejecutivos!$A$2:$A$100,0)),"")</f>
        <v/>
      </c>
      <c r="D341" s="12"/>
      <c r="E341" s="12"/>
      <c r="F341" s="12"/>
      <c r="G341" s="12"/>
      <c r="H341" s="5"/>
      <c r="I341" s="5"/>
      <c r="J341" s="5"/>
      <c r="K341" s="5"/>
      <c r="L341" s="18">
        <v>0</v>
      </c>
      <c r="M341" t="str">
        <f t="shared" si="23"/>
        <v/>
      </c>
      <c r="N341" t="str">
        <f>IF(OR($D341="",$S341=""),"",IFERROR(MAX(0,ROUND(($D341-INDEX(Config!$C$15:$C$18,MATCH($S341,Config!$B$15:$B$18,0)))*24*60,0)),""))</f>
        <v/>
      </c>
      <c r="O341" t="str">
        <f t="shared" si="24"/>
        <v/>
      </c>
      <c r="P341" t="str">
        <f t="shared" si="25"/>
        <v/>
      </c>
      <c r="Q341" t="str">
        <f>IF(OR($P341="",$S341=""),"",IFERROR($P341-INDEX(Config!$E$15:$E$18,MATCH($S341,Config!$B$15:$B$18,0)),""))</f>
        <v/>
      </c>
      <c r="R341" t="str">
        <f t="shared" si="26"/>
        <v/>
      </c>
      <c r="S341" s="6" t="str">
        <f>IF(OR($A341="",$C341=""),"",IFERROR(INDEX(Turno!$C$3:$V$32,MATCH($C341,Turno!$B$3:$B$32,0),MATCH(DAY($A341),Turno!$C$1:$V$1,0)),""))</f>
        <v/>
      </c>
      <c r="T341" t="str">
        <f>IF(OR($E341="",$S341=""),"",IFERROR(MAX(0,ROUND((INDEX(Config!$D$15:$D$18,MATCH($S341,Config!$B$15:$B$18,0))-$E341)*1440,0)),""))</f>
        <v/>
      </c>
      <c r="U341" s="13" t="str">
        <f>IF(OR($N341="",$T341=""),"",IFERROR(MAX(0,1-($N341+$T341+MAX(0,N($Q341)))/ROUND((INDEX(Config!$D$15:$D$18,MATCH($S341,Config!$B$15:$B$18,0))-INDEX(Config!$C$15:$C$18,MATCH($S341,Config!$B$15:$B$18,0)))*1440,0)),""))</f>
        <v/>
      </c>
      <c r="V341" s="5"/>
    </row>
    <row r="342" spans="1:22" x14ac:dyDescent="0.25">
      <c r="A342" s="11"/>
      <c r="B342" s="5"/>
      <c r="C342" s="6" t="str">
        <f>IFERROR(INDEX(Ejecutivos!$B$2:$B$100,MATCH(B342,Ejecutivos!$A$2:$A$100,0)),"")</f>
        <v/>
      </c>
      <c r="D342" s="12"/>
      <c r="E342" s="12"/>
      <c r="F342" s="12"/>
      <c r="G342" s="12"/>
      <c r="H342" s="5"/>
      <c r="I342" s="5"/>
      <c r="J342" s="5"/>
      <c r="K342" s="5"/>
      <c r="L342" s="18">
        <v>0</v>
      </c>
      <c r="M342" t="str">
        <f t="shared" si="23"/>
        <v/>
      </c>
      <c r="N342" t="str">
        <f>IF(OR($D342="",$S342=""),"",IFERROR(MAX(0,ROUND(($D342-INDEX(Config!$C$15:$C$18,MATCH($S342,Config!$B$15:$B$18,0)))*24*60,0)),""))</f>
        <v/>
      </c>
      <c r="O342" t="str">
        <f t="shared" si="24"/>
        <v/>
      </c>
      <c r="P342" t="str">
        <f t="shared" si="25"/>
        <v/>
      </c>
      <c r="Q342" t="str">
        <f>IF(OR($P342="",$S342=""),"",IFERROR($P342-INDEX(Config!$E$15:$E$18,MATCH($S342,Config!$B$15:$B$18,0)),""))</f>
        <v/>
      </c>
      <c r="R342" t="str">
        <f t="shared" si="26"/>
        <v/>
      </c>
      <c r="S342" s="6" t="str">
        <f>IF(OR($A342="",$C342=""),"",IFERROR(INDEX(Turno!$C$3:$V$32,MATCH($C342,Turno!$B$3:$B$32,0),MATCH(DAY($A342),Turno!$C$1:$V$1,0)),""))</f>
        <v/>
      </c>
      <c r="T342" t="str">
        <f>IF(OR($E342="",$S342=""),"",IFERROR(MAX(0,ROUND((INDEX(Config!$D$15:$D$18,MATCH($S342,Config!$B$15:$B$18,0))-$E342)*1440,0)),""))</f>
        <v/>
      </c>
      <c r="U342" s="13" t="str">
        <f>IF(OR($N342="",$T342=""),"",IFERROR(MAX(0,1-($N342+$T342+MAX(0,N($Q342)))/ROUND((INDEX(Config!$D$15:$D$18,MATCH($S342,Config!$B$15:$B$18,0))-INDEX(Config!$C$15:$C$18,MATCH($S342,Config!$B$15:$B$18,0)))*1440,0)),""))</f>
        <v/>
      </c>
      <c r="V342" s="5"/>
    </row>
    <row r="343" spans="1:22" x14ac:dyDescent="0.25">
      <c r="A343" s="11"/>
      <c r="B343" s="5"/>
      <c r="C343" s="6" t="str">
        <f>IFERROR(INDEX(Ejecutivos!$B$2:$B$100,MATCH(B343,Ejecutivos!$A$2:$A$100,0)),"")</f>
        <v/>
      </c>
      <c r="D343" s="12"/>
      <c r="E343" s="12"/>
      <c r="F343" s="12"/>
      <c r="G343" s="12"/>
      <c r="H343" s="5"/>
      <c r="I343" s="5"/>
      <c r="J343" s="5"/>
      <c r="K343" s="5"/>
      <c r="L343" s="18">
        <v>0</v>
      </c>
      <c r="M343" t="str">
        <f t="shared" si="23"/>
        <v/>
      </c>
      <c r="N343" t="str">
        <f>IF(OR($D343="",$S343=""),"",IFERROR(MAX(0,ROUND(($D343-INDEX(Config!$C$15:$C$18,MATCH($S343,Config!$B$15:$B$18,0)))*24*60,0)),""))</f>
        <v/>
      </c>
      <c r="O343" t="str">
        <f t="shared" si="24"/>
        <v/>
      </c>
      <c r="P343" t="str">
        <f t="shared" si="25"/>
        <v/>
      </c>
      <c r="Q343" t="str">
        <f>IF(OR($P343="",$S343=""),"",IFERROR($P343-INDEX(Config!$E$15:$E$18,MATCH($S343,Config!$B$15:$B$18,0)),""))</f>
        <v/>
      </c>
      <c r="R343" t="str">
        <f t="shared" si="26"/>
        <v/>
      </c>
      <c r="S343" s="6" t="str">
        <f>IF(OR($A343="",$C343=""),"",IFERROR(INDEX(Turno!$C$3:$V$32,MATCH($C343,Turno!$B$3:$B$32,0),MATCH(DAY($A343),Turno!$C$1:$V$1,0)),""))</f>
        <v/>
      </c>
      <c r="T343" t="str">
        <f>IF(OR($E343="",$S343=""),"",IFERROR(MAX(0,ROUND((INDEX(Config!$D$15:$D$18,MATCH($S343,Config!$B$15:$B$18,0))-$E343)*1440,0)),""))</f>
        <v/>
      </c>
      <c r="U343" s="13" t="str">
        <f>IF(OR($N343="",$T343=""),"",IFERROR(MAX(0,1-($N343+$T343+MAX(0,N($Q343)))/ROUND((INDEX(Config!$D$15:$D$18,MATCH($S343,Config!$B$15:$B$18,0))-INDEX(Config!$C$15:$C$18,MATCH($S343,Config!$B$15:$B$18,0)))*1440,0)),""))</f>
        <v/>
      </c>
      <c r="V343" s="5"/>
    </row>
    <row r="344" spans="1:22" x14ac:dyDescent="0.25">
      <c r="A344" s="11"/>
      <c r="B344" s="5"/>
      <c r="C344" s="6" t="str">
        <f>IFERROR(INDEX(Ejecutivos!$B$2:$B$100,MATCH(B344,Ejecutivos!$A$2:$A$100,0)),"")</f>
        <v/>
      </c>
      <c r="D344" s="12"/>
      <c r="E344" s="12"/>
      <c r="F344" s="12"/>
      <c r="G344" s="12"/>
      <c r="H344" s="5"/>
      <c r="I344" s="5"/>
      <c r="J344" s="5"/>
      <c r="K344" s="5"/>
      <c r="L344" s="18">
        <v>0</v>
      </c>
      <c r="M344" t="str">
        <f t="shared" si="23"/>
        <v/>
      </c>
      <c r="N344" t="str">
        <f>IF(OR($D344="",$S344=""),"",IFERROR(MAX(0,ROUND(($D344-INDEX(Config!$C$15:$C$18,MATCH($S344,Config!$B$15:$B$18,0)))*24*60,0)),""))</f>
        <v/>
      </c>
      <c r="O344" t="str">
        <f t="shared" si="24"/>
        <v/>
      </c>
      <c r="P344" t="str">
        <f t="shared" si="25"/>
        <v/>
      </c>
      <c r="Q344" t="str">
        <f>IF(OR($P344="",$S344=""),"",IFERROR($P344-INDEX(Config!$E$15:$E$18,MATCH($S344,Config!$B$15:$B$18,0)),""))</f>
        <v/>
      </c>
      <c r="R344" t="str">
        <f t="shared" si="26"/>
        <v/>
      </c>
      <c r="S344" s="6" t="str">
        <f>IF(OR($A344="",$C344=""),"",IFERROR(INDEX(Turno!$C$3:$V$32,MATCH($C344,Turno!$B$3:$B$32,0),MATCH(DAY($A344),Turno!$C$1:$V$1,0)),""))</f>
        <v/>
      </c>
      <c r="T344" t="str">
        <f>IF(OR($E344="",$S344=""),"",IFERROR(MAX(0,ROUND((INDEX(Config!$D$15:$D$18,MATCH($S344,Config!$B$15:$B$18,0))-$E344)*1440,0)),""))</f>
        <v/>
      </c>
      <c r="U344" s="13" t="str">
        <f>IF(OR($N344="",$T344=""),"",IFERROR(MAX(0,1-($N344+$T344+MAX(0,N($Q344)))/ROUND((INDEX(Config!$D$15:$D$18,MATCH($S344,Config!$B$15:$B$18,0))-INDEX(Config!$C$15:$C$18,MATCH($S344,Config!$B$15:$B$18,0)))*1440,0)),""))</f>
        <v/>
      </c>
      <c r="V344" s="5"/>
    </row>
    <row r="345" spans="1:22" x14ac:dyDescent="0.25">
      <c r="A345" s="11"/>
      <c r="B345" s="5"/>
      <c r="C345" s="6" t="str">
        <f>IFERROR(INDEX(Ejecutivos!$B$2:$B$100,MATCH(B345,Ejecutivos!$A$2:$A$100,0)),"")</f>
        <v/>
      </c>
      <c r="D345" s="12"/>
      <c r="E345" s="12"/>
      <c r="F345" s="12"/>
      <c r="G345" s="12"/>
      <c r="H345" s="5"/>
      <c r="I345" s="5"/>
      <c r="J345" s="5"/>
      <c r="K345" s="5"/>
      <c r="L345" s="18">
        <v>0</v>
      </c>
      <c r="M345" t="str">
        <f t="shared" si="23"/>
        <v/>
      </c>
      <c r="N345" t="str">
        <f>IF(OR($D345="",$S345=""),"",IFERROR(MAX(0,ROUND(($D345-INDEX(Config!$C$15:$C$18,MATCH($S345,Config!$B$15:$B$18,0)))*24*60,0)),""))</f>
        <v/>
      </c>
      <c r="O345" t="str">
        <f t="shared" si="24"/>
        <v/>
      </c>
      <c r="P345" t="str">
        <f t="shared" si="25"/>
        <v/>
      </c>
      <c r="Q345" t="str">
        <f>IF(OR($P345="",$S345=""),"",IFERROR($P345-INDEX(Config!$E$15:$E$18,MATCH($S345,Config!$B$15:$B$18,0)),""))</f>
        <v/>
      </c>
      <c r="R345" t="str">
        <f t="shared" si="26"/>
        <v/>
      </c>
      <c r="S345" s="6" t="str">
        <f>IF(OR($A345="",$C345=""),"",IFERROR(INDEX(Turno!$C$3:$V$32,MATCH($C345,Turno!$B$3:$B$32,0),MATCH(DAY($A345),Turno!$C$1:$V$1,0)),""))</f>
        <v/>
      </c>
      <c r="T345" t="str">
        <f>IF(OR($E345="",$S345=""),"",IFERROR(MAX(0,ROUND((INDEX(Config!$D$15:$D$18,MATCH($S345,Config!$B$15:$B$18,0))-$E345)*1440,0)),""))</f>
        <v/>
      </c>
      <c r="U345" s="13" t="str">
        <f>IF(OR($N345="",$T345=""),"",IFERROR(MAX(0,1-($N345+$T345+MAX(0,N($Q345)))/ROUND((INDEX(Config!$D$15:$D$18,MATCH($S345,Config!$B$15:$B$18,0))-INDEX(Config!$C$15:$C$18,MATCH($S345,Config!$B$15:$B$18,0)))*1440,0)),""))</f>
        <v/>
      </c>
      <c r="V345" s="5"/>
    </row>
    <row r="346" spans="1:22" x14ac:dyDescent="0.25">
      <c r="A346" s="11"/>
      <c r="B346" s="5"/>
      <c r="C346" s="6" t="str">
        <f>IFERROR(INDEX(Ejecutivos!$B$2:$B$100,MATCH(B346,Ejecutivos!$A$2:$A$100,0)),"")</f>
        <v/>
      </c>
      <c r="D346" s="12"/>
      <c r="E346" s="12"/>
      <c r="F346" s="12"/>
      <c r="G346" s="12"/>
      <c r="H346" s="5"/>
      <c r="I346" s="5"/>
      <c r="J346" s="5"/>
      <c r="K346" s="5"/>
      <c r="L346" s="18">
        <v>0</v>
      </c>
      <c r="M346" t="str">
        <f t="shared" si="23"/>
        <v/>
      </c>
      <c r="N346" t="str">
        <f>IF(OR($D346="",$S346=""),"",IFERROR(MAX(0,ROUND(($D346-INDEX(Config!$C$15:$C$18,MATCH($S346,Config!$B$15:$B$18,0)))*24*60,0)),""))</f>
        <v/>
      </c>
      <c r="O346" t="str">
        <f t="shared" si="24"/>
        <v/>
      </c>
      <c r="P346" t="str">
        <f t="shared" si="25"/>
        <v/>
      </c>
      <c r="Q346" t="str">
        <f>IF(OR($P346="",$S346=""),"",IFERROR($P346-INDEX(Config!$E$15:$E$18,MATCH($S346,Config!$B$15:$B$18,0)),""))</f>
        <v/>
      </c>
      <c r="R346" t="str">
        <f t="shared" si="26"/>
        <v/>
      </c>
      <c r="S346" s="6" t="str">
        <f>IF(OR($A346="",$C346=""),"",IFERROR(INDEX(Turno!$C$3:$V$32,MATCH($C346,Turno!$B$3:$B$32,0),MATCH(DAY($A346),Turno!$C$1:$V$1,0)),""))</f>
        <v/>
      </c>
      <c r="T346" t="str">
        <f>IF(OR($E346="",$S346=""),"",IFERROR(MAX(0,ROUND((INDEX(Config!$D$15:$D$18,MATCH($S346,Config!$B$15:$B$18,0))-$E346)*1440,0)),""))</f>
        <v/>
      </c>
      <c r="U346" s="13" t="str">
        <f>IF(OR($N346="",$T346=""),"",IFERROR(MAX(0,1-($N346+$T346+MAX(0,N($Q346)))/ROUND((INDEX(Config!$D$15:$D$18,MATCH($S346,Config!$B$15:$B$18,0))-INDEX(Config!$C$15:$C$18,MATCH($S346,Config!$B$15:$B$18,0)))*1440,0)),""))</f>
        <v/>
      </c>
      <c r="V346" s="5"/>
    </row>
    <row r="347" spans="1:22" x14ac:dyDescent="0.25">
      <c r="A347" s="11"/>
      <c r="B347" s="5"/>
      <c r="C347" s="6" t="str">
        <f>IFERROR(INDEX(Ejecutivos!$B$2:$B$100,MATCH(B347,Ejecutivos!$A$2:$A$100,0)),"")</f>
        <v/>
      </c>
      <c r="D347" s="12"/>
      <c r="E347" s="12"/>
      <c r="F347" s="12"/>
      <c r="G347" s="12"/>
      <c r="H347" s="5"/>
      <c r="I347" s="5"/>
      <c r="J347" s="5"/>
      <c r="K347" s="5"/>
      <c r="L347" s="18">
        <v>0</v>
      </c>
      <c r="M347" t="str">
        <f t="shared" si="23"/>
        <v/>
      </c>
      <c r="N347" t="str">
        <f>IF(OR($D347="",$S347=""),"",IFERROR(MAX(0,ROUND(($D347-INDEX(Config!$C$15:$C$18,MATCH($S347,Config!$B$15:$B$18,0)))*24*60,0)),""))</f>
        <v/>
      </c>
      <c r="O347" t="str">
        <f t="shared" si="24"/>
        <v/>
      </c>
      <c r="P347" t="str">
        <f t="shared" si="25"/>
        <v/>
      </c>
      <c r="Q347" t="str">
        <f>IF(OR($P347="",$S347=""),"",IFERROR($P347-INDEX(Config!$E$15:$E$18,MATCH($S347,Config!$B$15:$B$18,0)),""))</f>
        <v/>
      </c>
      <c r="R347" t="str">
        <f t="shared" si="26"/>
        <v/>
      </c>
      <c r="S347" s="6" t="str">
        <f>IF(OR($A347="",$C347=""),"",IFERROR(INDEX(Turno!$C$3:$V$32,MATCH($C347,Turno!$B$3:$B$32,0),MATCH(DAY($A347),Turno!$C$1:$V$1,0)),""))</f>
        <v/>
      </c>
      <c r="T347" t="str">
        <f>IF(OR($E347="",$S347=""),"",IFERROR(MAX(0,ROUND((INDEX(Config!$D$15:$D$18,MATCH($S347,Config!$B$15:$B$18,0))-$E347)*1440,0)),""))</f>
        <v/>
      </c>
      <c r="U347" s="13" t="str">
        <f>IF(OR($N347="",$T347=""),"",IFERROR(MAX(0,1-($N347+$T347+MAX(0,N($Q347)))/ROUND((INDEX(Config!$D$15:$D$18,MATCH($S347,Config!$B$15:$B$18,0))-INDEX(Config!$C$15:$C$18,MATCH($S347,Config!$B$15:$B$18,0)))*1440,0)),""))</f>
        <v/>
      </c>
      <c r="V347" s="5"/>
    </row>
    <row r="348" spans="1:22" x14ac:dyDescent="0.25">
      <c r="A348" s="11"/>
      <c r="B348" s="5"/>
      <c r="C348" s="6" t="str">
        <f>IFERROR(INDEX(Ejecutivos!$B$2:$B$100,MATCH(B348,Ejecutivos!$A$2:$A$100,0)),"")</f>
        <v/>
      </c>
      <c r="D348" s="12"/>
      <c r="E348" s="12"/>
      <c r="F348" s="12"/>
      <c r="G348" s="12"/>
      <c r="H348" s="5"/>
      <c r="I348" s="5"/>
      <c r="J348" s="5"/>
      <c r="K348" s="5"/>
      <c r="L348" s="18">
        <v>0</v>
      </c>
      <c r="M348" t="str">
        <f t="shared" si="23"/>
        <v/>
      </c>
      <c r="N348" t="str">
        <f>IF(OR($D348="",$S348=""),"",IFERROR(MAX(0,ROUND(($D348-INDEX(Config!$C$15:$C$18,MATCH($S348,Config!$B$15:$B$18,0)))*24*60,0)),""))</f>
        <v/>
      </c>
      <c r="O348" t="str">
        <f t="shared" si="24"/>
        <v/>
      </c>
      <c r="P348" t="str">
        <f t="shared" si="25"/>
        <v/>
      </c>
      <c r="Q348" t="str">
        <f>IF(OR($P348="",$S348=""),"",IFERROR($P348-INDEX(Config!$E$15:$E$18,MATCH($S348,Config!$B$15:$B$18,0)),""))</f>
        <v/>
      </c>
      <c r="R348" t="str">
        <f t="shared" si="26"/>
        <v/>
      </c>
      <c r="S348" s="6" t="str">
        <f>IF(OR($A348="",$C348=""),"",IFERROR(INDEX(Turno!$C$3:$V$32,MATCH($C348,Turno!$B$3:$B$32,0),MATCH(DAY($A348),Turno!$C$1:$V$1,0)),""))</f>
        <v/>
      </c>
      <c r="T348" t="str">
        <f>IF(OR($E348="",$S348=""),"",IFERROR(MAX(0,ROUND((INDEX(Config!$D$15:$D$18,MATCH($S348,Config!$B$15:$B$18,0))-$E348)*1440,0)),""))</f>
        <v/>
      </c>
      <c r="U348" s="13" t="str">
        <f>IF(OR($N348="",$T348=""),"",IFERROR(MAX(0,1-($N348+$T348+MAX(0,N($Q348)))/ROUND((INDEX(Config!$D$15:$D$18,MATCH($S348,Config!$B$15:$B$18,0))-INDEX(Config!$C$15:$C$18,MATCH($S348,Config!$B$15:$B$18,0)))*1440,0)),""))</f>
        <v/>
      </c>
      <c r="V348" s="5"/>
    </row>
    <row r="349" spans="1:22" x14ac:dyDescent="0.25">
      <c r="A349" s="11"/>
      <c r="B349" s="5"/>
      <c r="C349" s="6" t="str">
        <f>IFERROR(INDEX(Ejecutivos!$B$2:$B$100,MATCH(B349,Ejecutivos!$A$2:$A$100,0)),"")</f>
        <v/>
      </c>
      <c r="D349" s="12"/>
      <c r="E349" s="12"/>
      <c r="F349" s="12"/>
      <c r="G349" s="12"/>
      <c r="H349" s="5"/>
      <c r="I349" s="5"/>
      <c r="J349" s="5"/>
      <c r="K349" s="5"/>
      <c r="L349" s="18">
        <v>0</v>
      </c>
      <c r="M349" t="str">
        <f t="shared" si="23"/>
        <v/>
      </c>
      <c r="N349" t="str">
        <f>IF(OR($D349="",$S349=""),"",IFERROR(MAX(0,ROUND(($D349-INDEX(Config!$C$15:$C$18,MATCH($S349,Config!$B$15:$B$18,0)))*24*60,0)),""))</f>
        <v/>
      </c>
      <c r="O349" t="str">
        <f t="shared" si="24"/>
        <v/>
      </c>
      <c r="P349" t="str">
        <f t="shared" si="25"/>
        <v/>
      </c>
      <c r="Q349" t="str">
        <f>IF(OR($P349="",$S349=""),"",IFERROR($P349-INDEX(Config!$E$15:$E$18,MATCH($S349,Config!$B$15:$B$18,0)),""))</f>
        <v/>
      </c>
      <c r="R349" t="str">
        <f t="shared" si="26"/>
        <v/>
      </c>
      <c r="S349" s="6" t="str">
        <f>IF(OR($A349="",$C349=""),"",IFERROR(INDEX(Turno!$C$3:$V$32,MATCH($C349,Turno!$B$3:$B$32,0),MATCH(DAY($A349),Turno!$C$1:$V$1,0)),""))</f>
        <v/>
      </c>
      <c r="T349" t="str">
        <f>IF(OR($E349="",$S349=""),"",IFERROR(MAX(0,ROUND((INDEX(Config!$D$15:$D$18,MATCH($S349,Config!$B$15:$B$18,0))-$E349)*1440,0)),""))</f>
        <v/>
      </c>
      <c r="U349" s="13" t="str">
        <f>IF(OR($N349="",$T349=""),"",IFERROR(MAX(0,1-($N349+$T349+MAX(0,N($Q349)))/ROUND((INDEX(Config!$D$15:$D$18,MATCH($S349,Config!$B$15:$B$18,0))-INDEX(Config!$C$15:$C$18,MATCH($S349,Config!$B$15:$B$18,0)))*1440,0)),""))</f>
        <v/>
      </c>
      <c r="V349" s="5"/>
    </row>
    <row r="350" spans="1:22" x14ac:dyDescent="0.25">
      <c r="A350" s="11"/>
      <c r="B350" s="5"/>
      <c r="C350" s="6" t="str">
        <f>IFERROR(INDEX(Ejecutivos!$B$2:$B$100,MATCH(B350,Ejecutivos!$A$2:$A$100,0)),"")</f>
        <v/>
      </c>
      <c r="D350" s="12"/>
      <c r="E350" s="12"/>
      <c r="F350" s="12"/>
      <c r="G350" s="12"/>
      <c r="H350" s="5"/>
      <c r="I350" s="5"/>
      <c r="J350" s="5"/>
      <c r="K350" s="5"/>
      <c r="L350" s="18">
        <v>0</v>
      </c>
      <c r="M350" t="str">
        <f t="shared" si="23"/>
        <v/>
      </c>
      <c r="N350" t="str">
        <f>IF(OR($D350="",$S350=""),"",IFERROR(MAX(0,ROUND(($D350-INDEX(Config!$C$15:$C$18,MATCH($S350,Config!$B$15:$B$18,0)))*24*60,0)),""))</f>
        <v/>
      </c>
      <c r="O350" t="str">
        <f t="shared" si="24"/>
        <v/>
      </c>
      <c r="P350" t="str">
        <f t="shared" si="25"/>
        <v/>
      </c>
      <c r="Q350" t="str">
        <f>IF(OR($P350="",$S350=""),"",IFERROR($P350-INDEX(Config!$E$15:$E$18,MATCH($S350,Config!$B$15:$B$18,0)),""))</f>
        <v/>
      </c>
      <c r="R350" t="str">
        <f t="shared" si="26"/>
        <v/>
      </c>
      <c r="S350" s="6" t="str">
        <f>IF(OR($A350="",$C350=""),"",IFERROR(INDEX(Turno!$C$3:$V$32,MATCH($C350,Turno!$B$3:$B$32,0),MATCH(DAY($A350),Turno!$C$1:$V$1,0)),""))</f>
        <v/>
      </c>
      <c r="T350" t="str">
        <f>IF(OR($E350="",$S350=""),"",IFERROR(MAX(0,ROUND((INDEX(Config!$D$15:$D$18,MATCH($S350,Config!$B$15:$B$18,0))-$E350)*1440,0)),""))</f>
        <v/>
      </c>
      <c r="U350" s="13" t="str">
        <f>IF(OR($N350="",$T350=""),"",IFERROR(MAX(0,1-($N350+$T350+MAX(0,N($Q350)))/ROUND((INDEX(Config!$D$15:$D$18,MATCH($S350,Config!$B$15:$B$18,0))-INDEX(Config!$C$15:$C$18,MATCH($S350,Config!$B$15:$B$18,0)))*1440,0)),""))</f>
        <v/>
      </c>
      <c r="V350" s="5"/>
    </row>
    <row r="351" spans="1:22" x14ac:dyDescent="0.25">
      <c r="A351" s="11"/>
      <c r="B351" s="5"/>
      <c r="C351" s="6" t="str">
        <f>IFERROR(INDEX(Ejecutivos!$B$2:$B$100,MATCH(B351,Ejecutivos!$A$2:$A$100,0)),"")</f>
        <v/>
      </c>
      <c r="D351" s="12"/>
      <c r="E351" s="12"/>
      <c r="F351" s="12"/>
      <c r="G351" s="12"/>
      <c r="H351" s="5"/>
      <c r="I351" s="5"/>
      <c r="J351" s="5"/>
      <c r="K351" s="5"/>
      <c r="L351" s="18">
        <v>0</v>
      </c>
      <c r="M351" t="str">
        <f t="shared" si="23"/>
        <v/>
      </c>
      <c r="N351" t="str">
        <f>IF(OR($D351="",$S351=""),"",IFERROR(MAX(0,ROUND(($D351-INDEX(Config!$C$15:$C$18,MATCH($S351,Config!$B$15:$B$18,0)))*24*60,0)),""))</f>
        <v/>
      </c>
      <c r="O351" t="str">
        <f t="shared" si="24"/>
        <v/>
      </c>
      <c r="P351" t="str">
        <f t="shared" si="25"/>
        <v/>
      </c>
      <c r="Q351" t="str">
        <f>IF(OR($P351="",$S351=""),"",IFERROR($P351-INDEX(Config!$E$15:$E$18,MATCH($S351,Config!$B$15:$B$18,0)),""))</f>
        <v/>
      </c>
      <c r="R351" t="str">
        <f t="shared" si="26"/>
        <v/>
      </c>
      <c r="S351" s="6" t="str">
        <f>IF(OR($A351="",$C351=""),"",IFERROR(INDEX(Turno!$C$3:$V$32,MATCH($C351,Turno!$B$3:$B$32,0),MATCH(DAY($A351),Turno!$C$1:$V$1,0)),""))</f>
        <v/>
      </c>
      <c r="T351" t="str">
        <f>IF(OR($E351="",$S351=""),"",IFERROR(MAX(0,ROUND((INDEX(Config!$D$15:$D$18,MATCH($S351,Config!$B$15:$B$18,0))-$E351)*1440,0)),""))</f>
        <v/>
      </c>
      <c r="U351" s="13" t="str">
        <f>IF(OR($N351="",$T351=""),"",IFERROR(MAX(0,1-($N351+$T351+MAX(0,N($Q351)))/ROUND((INDEX(Config!$D$15:$D$18,MATCH($S351,Config!$B$15:$B$18,0))-INDEX(Config!$C$15:$C$18,MATCH($S351,Config!$B$15:$B$18,0)))*1440,0)),""))</f>
        <v/>
      </c>
      <c r="V351" s="5"/>
    </row>
    <row r="352" spans="1:22" x14ac:dyDescent="0.25">
      <c r="A352" s="11"/>
      <c r="B352" s="5"/>
      <c r="C352" s="6" t="str">
        <f>IFERROR(INDEX(Ejecutivos!$B$2:$B$100,MATCH(B352,Ejecutivos!$A$2:$A$100,0)),"")</f>
        <v/>
      </c>
      <c r="D352" s="12"/>
      <c r="E352" s="12"/>
      <c r="F352" s="12"/>
      <c r="G352" s="12"/>
      <c r="H352" s="5"/>
      <c r="I352" s="5"/>
      <c r="J352" s="5"/>
      <c r="K352" s="5"/>
      <c r="L352" s="18">
        <v>0</v>
      </c>
      <c r="M352" t="str">
        <f t="shared" si="23"/>
        <v/>
      </c>
      <c r="N352" t="str">
        <f>IF(OR($D352="",$S352=""),"",IFERROR(MAX(0,ROUND(($D352-INDEX(Config!$C$15:$C$18,MATCH($S352,Config!$B$15:$B$18,0)))*24*60,0)),""))</f>
        <v/>
      </c>
      <c r="O352" t="str">
        <f t="shared" si="24"/>
        <v/>
      </c>
      <c r="P352" t="str">
        <f t="shared" si="25"/>
        <v/>
      </c>
      <c r="Q352" t="str">
        <f>IF(OR($P352="",$S352=""),"",IFERROR($P352-INDEX(Config!$E$15:$E$18,MATCH($S352,Config!$B$15:$B$18,0)),""))</f>
        <v/>
      </c>
      <c r="R352" t="str">
        <f t="shared" si="26"/>
        <v/>
      </c>
      <c r="S352" s="6" t="str">
        <f>IF(OR($A352="",$C352=""),"",IFERROR(INDEX(Turno!$C$3:$V$32,MATCH($C352,Turno!$B$3:$B$32,0),MATCH(DAY($A352),Turno!$C$1:$V$1,0)),""))</f>
        <v/>
      </c>
      <c r="T352" t="str">
        <f>IF(OR($E352="",$S352=""),"",IFERROR(MAX(0,ROUND((INDEX(Config!$D$15:$D$18,MATCH($S352,Config!$B$15:$B$18,0))-$E352)*1440,0)),""))</f>
        <v/>
      </c>
      <c r="U352" s="13" t="str">
        <f>IF(OR($N352="",$T352=""),"",IFERROR(MAX(0,1-($N352+$T352+MAX(0,N($Q352)))/ROUND((INDEX(Config!$D$15:$D$18,MATCH($S352,Config!$B$15:$B$18,0))-INDEX(Config!$C$15:$C$18,MATCH($S352,Config!$B$15:$B$18,0)))*1440,0)),""))</f>
        <v/>
      </c>
      <c r="V352" s="5"/>
    </row>
    <row r="353" spans="1:22" x14ac:dyDescent="0.25">
      <c r="A353" s="11"/>
      <c r="B353" s="5"/>
      <c r="C353" s="6" t="str">
        <f>IFERROR(INDEX(Ejecutivos!$B$2:$B$100,MATCH(B353,Ejecutivos!$A$2:$A$100,0)),"")</f>
        <v/>
      </c>
      <c r="D353" s="12"/>
      <c r="E353" s="12"/>
      <c r="F353" s="12"/>
      <c r="G353" s="12"/>
      <c r="H353" s="5"/>
      <c r="I353" s="5"/>
      <c r="J353" s="5"/>
      <c r="K353" s="5"/>
      <c r="L353" s="18">
        <v>0</v>
      </c>
      <c r="M353" t="str">
        <f t="shared" si="23"/>
        <v/>
      </c>
      <c r="N353" t="str">
        <f>IF(OR($D353="",$S353=""),"",IFERROR(MAX(0,ROUND(($D353-INDEX(Config!$C$15:$C$18,MATCH($S353,Config!$B$15:$B$18,0)))*24*60,0)),""))</f>
        <v/>
      </c>
      <c r="O353" t="str">
        <f t="shared" si="24"/>
        <v/>
      </c>
      <c r="P353" t="str">
        <f t="shared" si="25"/>
        <v/>
      </c>
      <c r="Q353" t="str">
        <f>IF(OR($P353="",$S353=""),"",IFERROR($P353-INDEX(Config!$E$15:$E$18,MATCH($S353,Config!$B$15:$B$18,0)),""))</f>
        <v/>
      </c>
      <c r="R353" t="str">
        <f t="shared" si="26"/>
        <v/>
      </c>
      <c r="S353" s="6" t="str">
        <f>IF(OR($A353="",$C353=""),"",IFERROR(INDEX(Turno!$C$3:$V$32,MATCH($C353,Turno!$B$3:$B$32,0),MATCH(DAY($A353),Turno!$C$1:$V$1,0)),""))</f>
        <v/>
      </c>
      <c r="T353" t="str">
        <f>IF(OR($E353="",$S353=""),"",IFERROR(MAX(0,ROUND((INDEX(Config!$D$15:$D$18,MATCH($S353,Config!$B$15:$B$18,0))-$E353)*1440,0)),""))</f>
        <v/>
      </c>
      <c r="U353" s="13" t="str">
        <f>IF(OR($N353="",$T353=""),"",IFERROR(MAX(0,1-($N353+$T353+MAX(0,N($Q353)))/ROUND((INDEX(Config!$D$15:$D$18,MATCH($S353,Config!$B$15:$B$18,0))-INDEX(Config!$C$15:$C$18,MATCH($S353,Config!$B$15:$B$18,0)))*1440,0)),""))</f>
        <v/>
      </c>
      <c r="V353" s="5"/>
    </row>
    <row r="354" spans="1:22" x14ac:dyDescent="0.25">
      <c r="A354" s="11"/>
      <c r="B354" s="5"/>
      <c r="C354" s="6" t="str">
        <f>IFERROR(INDEX(Ejecutivos!$B$2:$B$100,MATCH(B354,Ejecutivos!$A$2:$A$100,0)),"")</f>
        <v/>
      </c>
      <c r="D354" s="12"/>
      <c r="E354" s="12"/>
      <c r="F354" s="12"/>
      <c r="G354" s="12"/>
      <c r="H354" s="5"/>
      <c r="I354" s="5"/>
      <c r="J354" s="5"/>
      <c r="K354" s="5"/>
      <c r="L354" s="18">
        <v>0</v>
      </c>
      <c r="M354" t="str">
        <f t="shared" si="23"/>
        <v/>
      </c>
      <c r="N354" t="str">
        <f>IF(OR($D354="",$S354=""),"",IFERROR(MAX(0,ROUND(($D354-INDEX(Config!$C$15:$C$18,MATCH($S354,Config!$B$15:$B$18,0)))*24*60,0)),""))</f>
        <v/>
      </c>
      <c r="O354" t="str">
        <f t="shared" si="24"/>
        <v/>
      </c>
      <c r="P354" t="str">
        <f t="shared" si="25"/>
        <v/>
      </c>
      <c r="Q354" t="str">
        <f>IF(OR($P354="",$S354=""),"",IFERROR($P354-INDEX(Config!$E$15:$E$18,MATCH($S354,Config!$B$15:$B$18,0)),""))</f>
        <v/>
      </c>
      <c r="R354" t="str">
        <f t="shared" si="26"/>
        <v/>
      </c>
      <c r="S354" s="6" t="str">
        <f>IF(OR($A354="",$C354=""),"",IFERROR(INDEX(Turno!$C$3:$V$32,MATCH($C354,Turno!$B$3:$B$32,0),MATCH(DAY($A354),Turno!$C$1:$V$1,0)),""))</f>
        <v/>
      </c>
      <c r="T354" t="str">
        <f>IF(OR($E354="",$S354=""),"",IFERROR(MAX(0,ROUND((INDEX(Config!$D$15:$D$18,MATCH($S354,Config!$B$15:$B$18,0))-$E354)*1440,0)),""))</f>
        <v/>
      </c>
      <c r="U354" s="13" t="str">
        <f>IF(OR($N354="",$T354=""),"",IFERROR(MAX(0,1-($N354+$T354+MAX(0,N($Q354)))/ROUND((INDEX(Config!$D$15:$D$18,MATCH($S354,Config!$B$15:$B$18,0))-INDEX(Config!$C$15:$C$18,MATCH($S354,Config!$B$15:$B$18,0)))*1440,0)),""))</f>
        <v/>
      </c>
      <c r="V354" s="5"/>
    </row>
    <row r="355" spans="1:22" x14ac:dyDescent="0.25">
      <c r="A355" s="11"/>
      <c r="B355" s="5"/>
      <c r="C355" s="6" t="str">
        <f>IFERROR(INDEX(Ejecutivos!$B$2:$B$100,MATCH(B355,Ejecutivos!$A$2:$A$100,0)),"")</f>
        <v/>
      </c>
      <c r="D355" s="12"/>
      <c r="E355" s="12"/>
      <c r="F355" s="12"/>
      <c r="G355" s="12"/>
      <c r="H355" s="5"/>
      <c r="I355" s="5"/>
      <c r="J355" s="5"/>
      <c r="K355" s="5"/>
      <c r="L355" s="18">
        <v>0</v>
      </c>
      <c r="M355" t="str">
        <f t="shared" si="23"/>
        <v/>
      </c>
      <c r="N355" t="str">
        <f>IF(OR($D355="",$S355=""),"",IFERROR(MAX(0,ROUND(($D355-INDEX(Config!$C$15:$C$18,MATCH($S355,Config!$B$15:$B$18,0)))*24*60,0)),""))</f>
        <v/>
      </c>
      <c r="O355" t="str">
        <f t="shared" si="24"/>
        <v/>
      </c>
      <c r="P355" t="str">
        <f t="shared" si="25"/>
        <v/>
      </c>
      <c r="Q355" t="str">
        <f>IF(OR($P355="",$S355=""),"",IFERROR($P355-INDEX(Config!$E$15:$E$18,MATCH($S355,Config!$B$15:$B$18,0)),""))</f>
        <v/>
      </c>
      <c r="R355" t="str">
        <f t="shared" si="26"/>
        <v/>
      </c>
      <c r="S355" s="6" t="str">
        <f>IF(OR($A355="",$C355=""),"",IFERROR(INDEX(Turno!$C$3:$V$32,MATCH($C355,Turno!$B$3:$B$32,0),MATCH(DAY($A355),Turno!$C$1:$V$1,0)),""))</f>
        <v/>
      </c>
      <c r="T355" t="str">
        <f>IF(OR($E355="",$S355=""),"",IFERROR(MAX(0,ROUND((INDEX(Config!$D$15:$D$18,MATCH($S355,Config!$B$15:$B$18,0))-$E355)*1440,0)),""))</f>
        <v/>
      </c>
      <c r="U355" s="13" t="str">
        <f>IF(OR($N355="",$T355=""),"",IFERROR(MAX(0,1-($N355+$T355+MAX(0,N($Q355)))/ROUND((INDEX(Config!$D$15:$D$18,MATCH($S355,Config!$B$15:$B$18,0))-INDEX(Config!$C$15:$C$18,MATCH($S355,Config!$B$15:$B$18,0)))*1440,0)),""))</f>
        <v/>
      </c>
      <c r="V355" s="5"/>
    </row>
    <row r="356" spans="1:22" x14ac:dyDescent="0.25">
      <c r="A356" s="11"/>
      <c r="B356" s="5"/>
      <c r="C356" s="6" t="str">
        <f>IFERROR(INDEX(Ejecutivos!$B$2:$B$100,MATCH(B356,Ejecutivos!$A$2:$A$100,0)),"")</f>
        <v/>
      </c>
      <c r="D356" s="12"/>
      <c r="E356" s="12"/>
      <c r="F356" s="12"/>
      <c r="G356" s="12"/>
      <c r="H356" s="5"/>
      <c r="I356" s="5"/>
      <c r="J356" s="5"/>
      <c r="K356" s="5"/>
      <c r="L356" s="18">
        <v>0</v>
      </c>
      <c r="M356" t="str">
        <f t="shared" si="23"/>
        <v/>
      </c>
      <c r="N356" t="str">
        <f>IF(OR($D356="",$S356=""),"",IFERROR(MAX(0,ROUND(($D356-INDEX(Config!$C$15:$C$18,MATCH($S356,Config!$B$15:$B$18,0)))*24*60,0)),""))</f>
        <v/>
      </c>
      <c r="O356" t="str">
        <f t="shared" si="24"/>
        <v/>
      </c>
      <c r="P356" t="str">
        <f t="shared" si="25"/>
        <v/>
      </c>
      <c r="Q356" t="str">
        <f>IF(OR($P356="",$S356=""),"",IFERROR($P356-INDEX(Config!$E$15:$E$18,MATCH($S356,Config!$B$15:$B$18,0)),""))</f>
        <v/>
      </c>
      <c r="R356" t="str">
        <f t="shared" si="26"/>
        <v/>
      </c>
      <c r="S356" s="6" t="str">
        <f>IF(OR($A356="",$C356=""),"",IFERROR(INDEX(Turno!$C$3:$V$32,MATCH($C356,Turno!$B$3:$B$32,0),MATCH(DAY($A356),Turno!$C$1:$V$1,0)),""))</f>
        <v/>
      </c>
      <c r="T356" t="str">
        <f>IF(OR($E356="",$S356=""),"",IFERROR(MAX(0,ROUND((INDEX(Config!$D$15:$D$18,MATCH($S356,Config!$B$15:$B$18,0))-$E356)*1440,0)),""))</f>
        <v/>
      </c>
      <c r="U356" s="13" t="str">
        <f>IF(OR($N356="",$T356=""),"",IFERROR(MAX(0,1-($N356+$T356+MAX(0,N($Q356)))/ROUND((INDEX(Config!$D$15:$D$18,MATCH($S356,Config!$B$15:$B$18,0))-INDEX(Config!$C$15:$C$18,MATCH($S356,Config!$B$15:$B$18,0)))*1440,0)),""))</f>
        <v/>
      </c>
      <c r="V356" s="5"/>
    </row>
    <row r="357" spans="1:22" x14ac:dyDescent="0.25">
      <c r="A357" s="11"/>
      <c r="B357" s="5"/>
      <c r="C357" s="6" t="str">
        <f>IFERROR(INDEX(Ejecutivos!$B$2:$B$100,MATCH(B357,Ejecutivos!$A$2:$A$100,0)),"")</f>
        <v/>
      </c>
      <c r="D357" s="12"/>
      <c r="E357" s="12"/>
      <c r="F357" s="12"/>
      <c r="G357" s="12"/>
      <c r="H357" s="5"/>
      <c r="I357" s="5"/>
      <c r="J357" s="5"/>
      <c r="K357" s="5"/>
      <c r="L357" s="18">
        <v>0</v>
      </c>
      <c r="M357" t="str">
        <f t="shared" si="23"/>
        <v/>
      </c>
      <c r="N357" t="str">
        <f>IF(OR($D357="",$S357=""),"",IFERROR(MAX(0,ROUND(($D357-INDEX(Config!$C$15:$C$18,MATCH($S357,Config!$B$15:$B$18,0)))*24*60,0)),""))</f>
        <v/>
      </c>
      <c r="O357" t="str">
        <f t="shared" si="24"/>
        <v/>
      </c>
      <c r="P357" t="str">
        <f t="shared" si="25"/>
        <v/>
      </c>
      <c r="Q357" t="str">
        <f>IF(OR($P357="",$S357=""),"",IFERROR($P357-INDEX(Config!$E$15:$E$18,MATCH($S357,Config!$B$15:$B$18,0)),""))</f>
        <v/>
      </c>
      <c r="R357" t="str">
        <f t="shared" si="26"/>
        <v/>
      </c>
      <c r="S357" s="6" t="str">
        <f>IF(OR($A357="",$C357=""),"",IFERROR(INDEX(Turno!$C$3:$V$32,MATCH($C357,Turno!$B$3:$B$32,0),MATCH(DAY($A357),Turno!$C$1:$V$1,0)),""))</f>
        <v/>
      </c>
      <c r="T357" t="str">
        <f>IF(OR($E357="",$S357=""),"",IFERROR(MAX(0,ROUND((INDEX(Config!$D$15:$D$18,MATCH($S357,Config!$B$15:$B$18,0))-$E357)*1440,0)),""))</f>
        <v/>
      </c>
      <c r="U357" s="13" t="str">
        <f>IF(OR($N357="",$T357=""),"",IFERROR(MAX(0,1-($N357+$T357+MAX(0,N($Q357)))/ROUND((INDEX(Config!$D$15:$D$18,MATCH($S357,Config!$B$15:$B$18,0))-INDEX(Config!$C$15:$C$18,MATCH($S357,Config!$B$15:$B$18,0)))*1440,0)),""))</f>
        <v/>
      </c>
      <c r="V357" s="5"/>
    </row>
    <row r="358" spans="1:22" x14ac:dyDescent="0.25">
      <c r="A358" s="11"/>
      <c r="B358" s="5"/>
      <c r="C358" s="6" t="str">
        <f>IFERROR(INDEX(Ejecutivos!$B$2:$B$100,MATCH(B358,Ejecutivos!$A$2:$A$100,0)),"")</f>
        <v/>
      </c>
      <c r="D358" s="12"/>
      <c r="E358" s="12"/>
      <c r="F358" s="12"/>
      <c r="G358" s="12"/>
      <c r="H358" s="5"/>
      <c r="I358" s="5"/>
      <c r="J358" s="5"/>
      <c r="K358" s="5"/>
      <c r="L358" s="18">
        <v>0</v>
      </c>
      <c r="M358" t="str">
        <f t="shared" si="23"/>
        <v/>
      </c>
      <c r="N358" t="str">
        <f>IF(OR($D358="",$S358=""),"",IFERROR(MAX(0,ROUND(($D358-INDEX(Config!$C$15:$C$18,MATCH($S358,Config!$B$15:$B$18,0)))*24*60,0)),""))</f>
        <v/>
      </c>
      <c r="O358" t="str">
        <f t="shared" si="24"/>
        <v/>
      </c>
      <c r="P358" t="str">
        <f t="shared" si="25"/>
        <v/>
      </c>
      <c r="Q358" t="str">
        <f>IF(OR($P358="",$S358=""),"",IFERROR($P358-INDEX(Config!$E$15:$E$18,MATCH($S358,Config!$B$15:$B$18,0)),""))</f>
        <v/>
      </c>
      <c r="R358" t="str">
        <f t="shared" si="26"/>
        <v/>
      </c>
      <c r="S358" s="6" t="str">
        <f>IF(OR($A358="",$C358=""),"",IFERROR(INDEX(Turno!$C$3:$V$32,MATCH($C358,Turno!$B$3:$B$32,0),MATCH(DAY($A358),Turno!$C$1:$V$1,0)),""))</f>
        <v/>
      </c>
      <c r="T358" t="str">
        <f>IF(OR($E358="",$S358=""),"",IFERROR(MAX(0,ROUND((INDEX(Config!$D$15:$D$18,MATCH($S358,Config!$B$15:$B$18,0))-$E358)*1440,0)),""))</f>
        <v/>
      </c>
      <c r="U358" s="13" t="str">
        <f>IF(OR($N358="",$T358=""),"",IFERROR(MAX(0,1-($N358+$T358+MAX(0,N($Q358)))/ROUND((INDEX(Config!$D$15:$D$18,MATCH($S358,Config!$B$15:$B$18,0))-INDEX(Config!$C$15:$C$18,MATCH($S358,Config!$B$15:$B$18,0)))*1440,0)),""))</f>
        <v/>
      </c>
      <c r="V358" s="5"/>
    </row>
    <row r="359" spans="1:22" x14ac:dyDescent="0.25">
      <c r="A359" s="11"/>
      <c r="B359" s="5"/>
      <c r="C359" s="6" t="str">
        <f>IFERROR(INDEX(Ejecutivos!$B$2:$B$100,MATCH(B359,Ejecutivos!$A$2:$A$100,0)),"")</f>
        <v/>
      </c>
      <c r="D359" s="12"/>
      <c r="E359" s="12"/>
      <c r="F359" s="12"/>
      <c r="G359" s="12"/>
      <c r="H359" s="5"/>
      <c r="I359" s="5"/>
      <c r="J359" s="5"/>
      <c r="K359" s="5"/>
      <c r="L359" s="18">
        <v>0</v>
      </c>
      <c r="M359" t="str">
        <f t="shared" si="23"/>
        <v/>
      </c>
      <c r="N359" t="str">
        <f>IF(OR($D359="",$S359=""),"",IFERROR(MAX(0,ROUND(($D359-INDEX(Config!$C$15:$C$18,MATCH($S359,Config!$B$15:$B$18,0)))*24*60,0)),""))</f>
        <v/>
      </c>
      <c r="O359" t="str">
        <f t="shared" si="24"/>
        <v/>
      </c>
      <c r="P359" t="str">
        <f t="shared" si="25"/>
        <v/>
      </c>
      <c r="Q359" t="str">
        <f>IF(OR($P359="",$S359=""),"",IFERROR($P359-INDEX(Config!$E$15:$E$18,MATCH($S359,Config!$B$15:$B$18,0)),""))</f>
        <v/>
      </c>
      <c r="R359" t="str">
        <f t="shared" si="26"/>
        <v/>
      </c>
      <c r="S359" s="6" t="str">
        <f>IF(OR($A359="",$C359=""),"",IFERROR(INDEX(Turno!$C$3:$V$32,MATCH($C359,Turno!$B$3:$B$32,0),MATCH(DAY($A359),Turno!$C$1:$V$1,0)),""))</f>
        <v/>
      </c>
      <c r="T359" t="str">
        <f>IF(OR($E359="",$S359=""),"",IFERROR(MAX(0,ROUND((INDEX(Config!$D$15:$D$18,MATCH($S359,Config!$B$15:$B$18,0))-$E359)*1440,0)),""))</f>
        <v/>
      </c>
      <c r="U359" s="13" t="str">
        <f>IF(OR($N359="",$T359=""),"",IFERROR(MAX(0,1-($N359+$T359+MAX(0,N($Q359)))/ROUND((INDEX(Config!$D$15:$D$18,MATCH($S359,Config!$B$15:$B$18,0))-INDEX(Config!$C$15:$C$18,MATCH($S359,Config!$B$15:$B$18,0)))*1440,0)),""))</f>
        <v/>
      </c>
      <c r="V359" s="5"/>
    </row>
    <row r="360" spans="1:22" x14ac:dyDescent="0.25">
      <c r="A360" s="11"/>
      <c r="B360" s="5"/>
      <c r="C360" s="6" t="str">
        <f>IFERROR(INDEX(Ejecutivos!$B$2:$B$100,MATCH(B360,Ejecutivos!$A$2:$A$100,0)),"")</f>
        <v/>
      </c>
      <c r="D360" s="12"/>
      <c r="E360" s="12"/>
      <c r="F360" s="12"/>
      <c r="G360" s="12"/>
      <c r="H360" s="5"/>
      <c r="I360" s="5"/>
      <c r="J360" s="5"/>
      <c r="K360" s="5"/>
      <c r="L360" s="18">
        <v>0</v>
      </c>
      <c r="M360" t="str">
        <f t="shared" si="23"/>
        <v/>
      </c>
      <c r="N360" t="str">
        <f>IF(OR($D360="",$S360=""),"",IFERROR(MAX(0,ROUND(($D360-INDEX(Config!$C$15:$C$18,MATCH($S360,Config!$B$15:$B$18,0)))*24*60,0)),""))</f>
        <v/>
      </c>
      <c r="O360" t="str">
        <f t="shared" si="24"/>
        <v/>
      </c>
      <c r="P360" t="str">
        <f t="shared" si="25"/>
        <v/>
      </c>
      <c r="Q360" t="str">
        <f>IF(OR($P360="",$S360=""),"",IFERROR($P360-INDEX(Config!$E$15:$E$18,MATCH($S360,Config!$B$15:$B$18,0)),""))</f>
        <v/>
      </c>
      <c r="R360" t="str">
        <f t="shared" si="26"/>
        <v/>
      </c>
      <c r="S360" s="6" t="str">
        <f>IF(OR($A360="",$C360=""),"",IFERROR(INDEX(Turno!$C$3:$V$32,MATCH($C360,Turno!$B$3:$B$32,0),MATCH(DAY($A360),Turno!$C$1:$V$1,0)),""))</f>
        <v/>
      </c>
      <c r="T360" t="str">
        <f>IF(OR($E360="",$S360=""),"",IFERROR(MAX(0,ROUND((INDEX(Config!$D$15:$D$18,MATCH($S360,Config!$B$15:$B$18,0))-$E360)*1440,0)),""))</f>
        <v/>
      </c>
      <c r="U360" s="13" t="str">
        <f>IF(OR($N360="",$T360=""),"",IFERROR(MAX(0,1-($N360+$T360+MAX(0,N($Q360)))/ROUND((INDEX(Config!$D$15:$D$18,MATCH($S360,Config!$B$15:$B$18,0))-INDEX(Config!$C$15:$C$18,MATCH($S360,Config!$B$15:$B$18,0)))*1440,0)),""))</f>
        <v/>
      </c>
      <c r="V360" s="5"/>
    </row>
    <row r="361" spans="1:22" x14ac:dyDescent="0.25">
      <c r="A361" s="11"/>
      <c r="B361" s="5"/>
      <c r="C361" s="6" t="str">
        <f>IFERROR(INDEX(Ejecutivos!$B$2:$B$100,MATCH(B361,Ejecutivos!$A$2:$A$100,0)),"")</f>
        <v/>
      </c>
      <c r="D361" s="12"/>
      <c r="E361" s="12"/>
      <c r="F361" s="12"/>
      <c r="G361" s="12"/>
      <c r="H361" s="5"/>
      <c r="I361" s="5"/>
      <c r="J361" s="5"/>
      <c r="K361" s="5"/>
      <c r="L361" s="18">
        <v>0</v>
      </c>
      <c r="M361" t="str">
        <f t="shared" si="23"/>
        <v/>
      </c>
      <c r="N361" t="str">
        <f>IF(OR($D361="",$S361=""),"",IFERROR(MAX(0,ROUND(($D361-INDEX(Config!$C$15:$C$18,MATCH($S361,Config!$B$15:$B$18,0)))*24*60,0)),""))</f>
        <v/>
      </c>
      <c r="O361" t="str">
        <f t="shared" si="24"/>
        <v/>
      </c>
      <c r="P361" t="str">
        <f t="shared" si="25"/>
        <v/>
      </c>
      <c r="Q361" t="str">
        <f>IF(OR($P361="",$S361=""),"",IFERROR($P361-INDEX(Config!$E$15:$E$18,MATCH($S361,Config!$B$15:$B$18,0)),""))</f>
        <v/>
      </c>
      <c r="R361" t="str">
        <f t="shared" si="26"/>
        <v/>
      </c>
      <c r="S361" s="6" t="str">
        <f>IF(OR($A361="",$C361=""),"",IFERROR(INDEX(Turno!$C$3:$V$32,MATCH($C361,Turno!$B$3:$B$32,0),MATCH(DAY($A361),Turno!$C$1:$V$1,0)),""))</f>
        <v/>
      </c>
      <c r="T361" t="str">
        <f>IF(OR($E361="",$S361=""),"",IFERROR(MAX(0,ROUND((INDEX(Config!$D$15:$D$18,MATCH($S361,Config!$B$15:$B$18,0))-$E361)*1440,0)),""))</f>
        <v/>
      </c>
      <c r="U361" s="13" t="str">
        <f>IF(OR($N361="",$T361=""),"",IFERROR(MAX(0,1-($N361+$T361+MAX(0,N($Q361)))/ROUND((INDEX(Config!$D$15:$D$18,MATCH($S361,Config!$B$15:$B$18,0))-INDEX(Config!$C$15:$C$18,MATCH($S361,Config!$B$15:$B$18,0)))*1440,0)),""))</f>
        <v/>
      </c>
      <c r="V361" s="5"/>
    </row>
    <row r="362" spans="1:22" x14ac:dyDescent="0.25">
      <c r="A362" s="11"/>
      <c r="B362" s="5"/>
      <c r="C362" s="6" t="str">
        <f>IFERROR(INDEX(Ejecutivos!$B$2:$B$100,MATCH(B362,Ejecutivos!$A$2:$A$100,0)),"")</f>
        <v/>
      </c>
      <c r="D362" s="12"/>
      <c r="E362" s="12"/>
      <c r="F362" s="12"/>
      <c r="G362" s="12"/>
      <c r="H362" s="5"/>
      <c r="I362" s="5"/>
      <c r="J362" s="5"/>
      <c r="K362" s="5"/>
      <c r="L362" s="18">
        <v>0</v>
      </c>
      <c r="M362" t="str">
        <f t="shared" si="23"/>
        <v/>
      </c>
      <c r="N362" t="str">
        <f>IF(OR($D362="",$S362=""),"",IFERROR(MAX(0,ROUND(($D362-INDEX(Config!$C$15:$C$18,MATCH($S362,Config!$B$15:$B$18,0)))*24*60,0)),""))</f>
        <v/>
      </c>
      <c r="O362" t="str">
        <f t="shared" si="24"/>
        <v/>
      </c>
      <c r="P362" t="str">
        <f t="shared" si="25"/>
        <v/>
      </c>
      <c r="Q362" t="str">
        <f>IF(OR($P362="",$S362=""),"",IFERROR($P362-INDEX(Config!$E$15:$E$18,MATCH($S362,Config!$B$15:$B$18,0)),""))</f>
        <v/>
      </c>
      <c r="R362" t="str">
        <f t="shared" si="26"/>
        <v/>
      </c>
      <c r="S362" s="6" t="str">
        <f>IF(OR($A362="",$C362=""),"",IFERROR(INDEX(Turno!$C$3:$V$32,MATCH($C362,Turno!$B$3:$B$32,0),MATCH(DAY($A362),Turno!$C$1:$V$1,0)),""))</f>
        <v/>
      </c>
      <c r="T362" t="str">
        <f>IF(OR($E362="",$S362=""),"",IFERROR(MAX(0,ROUND((INDEX(Config!$D$15:$D$18,MATCH($S362,Config!$B$15:$B$18,0))-$E362)*1440,0)),""))</f>
        <v/>
      </c>
      <c r="U362" s="13" t="str">
        <f>IF(OR($N362="",$T362=""),"",IFERROR(MAX(0,1-($N362+$T362+MAX(0,N($Q362)))/ROUND((INDEX(Config!$D$15:$D$18,MATCH($S362,Config!$B$15:$B$18,0))-INDEX(Config!$C$15:$C$18,MATCH($S362,Config!$B$15:$B$18,0)))*1440,0)),""))</f>
        <v/>
      </c>
      <c r="V362" s="5"/>
    </row>
    <row r="363" spans="1:22" x14ac:dyDescent="0.25">
      <c r="A363" s="11"/>
      <c r="B363" s="5"/>
      <c r="C363" s="6" t="str">
        <f>IFERROR(INDEX(Ejecutivos!$B$2:$B$100,MATCH(B363,Ejecutivos!$A$2:$A$100,0)),"")</f>
        <v/>
      </c>
      <c r="D363" s="12"/>
      <c r="E363" s="12"/>
      <c r="F363" s="12"/>
      <c r="G363" s="12"/>
      <c r="H363" s="5"/>
      <c r="I363" s="5"/>
      <c r="J363" s="5"/>
      <c r="K363" s="5"/>
      <c r="L363" s="18">
        <v>0</v>
      </c>
      <c r="M363" t="str">
        <f t="shared" si="23"/>
        <v/>
      </c>
      <c r="N363" t="str">
        <f>IF(OR($D363="",$S363=""),"",IFERROR(MAX(0,ROUND(($D363-INDEX(Config!$C$15:$C$18,MATCH($S363,Config!$B$15:$B$18,0)))*24*60,0)),""))</f>
        <v/>
      </c>
      <c r="O363" t="str">
        <f t="shared" si="24"/>
        <v/>
      </c>
      <c r="P363" t="str">
        <f t="shared" si="25"/>
        <v/>
      </c>
      <c r="Q363" t="str">
        <f>IF(OR($P363="",$S363=""),"",IFERROR($P363-INDEX(Config!$E$15:$E$18,MATCH($S363,Config!$B$15:$B$18,0)),""))</f>
        <v/>
      </c>
      <c r="R363" t="str">
        <f t="shared" si="26"/>
        <v/>
      </c>
      <c r="S363" s="6" t="str">
        <f>IF(OR($A363="",$C363=""),"",IFERROR(INDEX(Turno!$C$3:$V$32,MATCH($C363,Turno!$B$3:$B$32,0),MATCH(DAY($A363),Turno!$C$1:$V$1,0)),""))</f>
        <v/>
      </c>
      <c r="T363" t="str">
        <f>IF(OR($E363="",$S363=""),"",IFERROR(MAX(0,ROUND((INDEX(Config!$D$15:$D$18,MATCH($S363,Config!$B$15:$B$18,0))-$E363)*1440,0)),""))</f>
        <v/>
      </c>
      <c r="U363" s="13" t="str">
        <f>IF(OR($N363="",$T363=""),"",IFERROR(MAX(0,1-($N363+$T363+MAX(0,N($Q363)))/ROUND((INDEX(Config!$D$15:$D$18,MATCH($S363,Config!$B$15:$B$18,0))-INDEX(Config!$C$15:$C$18,MATCH($S363,Config!$B$15:$B$18,0)))*1440,0)),""))</f>
        <v/>
      </c>
      <c r="V363" s="5"/>
    </row>
    <row r="364" spans="1:22" x14ac:dyDescent="0.25">
      <c r="A364" s="11"/>
      <c r="B364" s="5"/>
      <c r="C364" s="6" t="str">
        <f>IFERROR(INDEX(Ejecutivos!$B$2:$B$100,MATCH(B364,Ejecutivos!$A$2:$A$100,0)),"")</f>
        <v/>
      </c>
      <c r="D364" s="12"/>
      <c r="E364" s="12"/>
      <c r="F364" s="12"/>
      <c r="G364" s="12"/>
      <c r="H364" s="5"/>
      <c r="I364" s="5"/>
      <c r="J364" s="5"/>
      <c r="K364" s="5"/>
      <c r="L364" s="18">
        <v>0</v>
      </c>
      <c r="M364" t="str">
        <f t="shared" si="23"/>
        <v/>
      </c>
      <c r="N364" t="str">
        <f>IF(OR($D364="",$S364=""),"",IFERROR(MAX(0,ROUND(($D364-INDEX(Config!$C$15:$C$18,MATCH($S364,Config!$B$15:$B$18,0)))*24*60,0)),""))</f>
        <v/>
      </c>
      <c r="O364" t="str">
        <f t="shared" si="24"/>
        <v/>
      </c>
      <c r="P364" t="str">
        <f t="shared" si="25"/>
        <v/>
      </c>
      <c r="Q364" t="str">
        <f>IF(OR($P364="",$S364=""),"",IFERROR($P364-INDEX(Config!$E$15:$E$18,MATCH($S364,Config!$B$15:$B$18,0)),""))</f>
        <v/>
      </c>
      <c r="R364" t="str">
        <f t="shared" si="26"/>
        <v/>
      </c>
      <c r="S364" s="6" t="str">
        <f>IF(OR($A364="",$C364=""),"",IFERROR(INDEX(Turno!$C$3:$V$32,MATCH($C364,Turno!$B$3:$B$32,0),MATCH(DAY($A364),Turno!$C$1:$V$1,0)),""))</f>
        <v/>
      </c>
      <c r="T364" t="str">
        <f>IF(OR($E364="",$S364=""),"",IFERROR(MAX(0,ROUND((INDEX(Config!$D$15:$D$18,MATCH($S364,Config!$B$15:$B$18,0))-$E364)*1440,0)),""))</f>
        <v/>
      </c>
      <c r="U364" s="13" t="str">
        <f>IF(OR($N364="",$T364=""),"",IFERROR(MAX(0,1-($N364+$T364+MAX(0,N($Q364)))/ROUND((INDEX(Config!$D$15:$D$18,MATCH($S364,Config!$B$15:$B$18,0))-INDEX(Config!$C$15:$C$18,MATCH($S364,Config!$B$15:$B$18,0)))*1440,0)),""))</f>
        <v/>
      </c>
      <c r="V364" s="5"/>
    </row>
    <row r="365" spans="1:22" x14ac:dyDescent="0.25">
      <c r="A365" s="11"/>
      <c r="B365" s="5"/>
      <c r="C365" s="6" t="str">
        <f>IFERROR(INDEX(Ejecutivos!$B$2:$B$100,MATCH(B365,Ejecutivos!$A$2:$A$100,0)),"")</f>
        <v/>
      </c>
      <c r="D365" s="12"/>
      <c r="E365" s="12"/>
      <c r="F365" s="12"/>
      <c r="G365" s="12"/>
      <c r="H365" s="5"/>
      <c r="I365" s="5"/>
      <c r="J365" s="5"/>
      <c r="K365" s="5"/>
      <c r="L365" s="18">
        <v>0</v>
      </c>
      <c r="M365" t="str">
        <f t="shared" si="23"/>
        <v/>
      </c>
      <c r="N365" t="str">
        <f>IF(OR($D365="",$S365=""),"",IFERROR(MAX(0,ROUND(($D365-INDEX(Config!$C$15:$C$18,MATCH($S365,Config!$B$15:$B$18,0)))*24*60,0)),""))</f>
        <v/>
      </c>
      <c r="O365" t="str">
        <f t="shared" si="24"/>
        <v/>
      </c>
      <c r="P365" t="str">
        <f t="shared" si="25"/>
        <v/>
      </c>
      <c r="Q365" t="str">
        <f>IF(OR($P365="",$S365=""),"",IFERROR($P365-INDEX(Config!$E$15:$E$18,MATCH($S365,Config!$B$15:$B$18,0)),""))</f>
        <v/>
      </c>
      <c r="R365" t="str">
        <f t="shared" si="26"/>
        <v/>
      </c>
      <c r="S365" s="6" t="str">
        <f>IF(OR($A365="",$C365=""),"",IFERROR(INDEX(Turno!$C$3:$V$32,MATCH($C365,Turno!$B$3:$B$32,0),MATCH(DAY($A365),Turno!$C$1:$V$1,0)),""))</f>
        <v/>
      </c>
      <c r="T365" t="str">
        <f>IF(OR($E365="",$S365=""),"",IFERROR(MAX(0,ROUND((INDEX(Config!$D$15:$D$18,MATCH($S365,Config!$B$15:$B$18,0))-$E365)*1440,0)),""))</f>
        <v/>
      </c>
      <c r="U365" s="13" t="str">
        <f>IF(OR($N365="",$T365=""),"",IFERROR(MAX(0,1-($N365+$T365+MAX(0,N($Q365)))/ROUND((INDEX(Config!$D$15:$D$18,MATCH($S365,Config!$B$15:$B$18,0))-INDEX(Config!$C$15:$C$18,MATCH($S365,Config!$B$15:$B$18,0)))*1440,0)),""))</f>
        <v/>
      </c>
      <c r="V365" s="5"/>
    </row>
    <row r="366" spans="1:22" x14ac:dyDescent="0.25">
      <c r="A366" s="11"/>
      <c r="B366" s="5"/>
      <c r="C366" s="6" t="str">
        <f>IFERROR(INDEX(Ejecutivos!$B$2:$B$100,MATCH(B366,Ejecutivos!$A$2:$A$100,0)),"")</f>
        <v/>
      </c>
      <c r="D366" s="12"/>
      <c r="E366" s="12"/>
      <c r="F366" s="12"/>
      <c r="G366" s="12"/>
      <c r="H366" s="5"/>
      <c r="I366" s="5"/>
      <c r="J366" s="5"/>
      <c r="K366" s="5"/>
      <c r="L366" s="18">
        <v>0</v>
      </c>
      <c r="M366" t="str">
        <f t="shared" si="23"/>
        <v/>
      </c>
      <c r="N366" t="str">
        <f>IF(OR($D366="",$S366=""),"",IFERROR(MAX(0,ROUND(($D366-INDEX(Config!$C$15:$C$18,MATCH($S366,Config!$B$15:$B$18,0)))*24*60,0)),""))</f>
        <v/>
      </c>
      <c r="O366" t="str">
        <f t="shared" si="24"/>
        <v/>
      </c>
      <c r="P366" t="str">
        <f t="shared" si="25"/>
        <v/>
      </c>
      <c r="Q366" t="str">
        <f>IF(OR($P366="",$S366=""),"",IFERROR($P366-INDEX(Config!$E$15:$E$18,MATCH($S366,Config!$B$15:$B$18,0)),""))</f>
        <v/>
      </c>
      <c r="R366" t="str">
        <f t="shared" si="26"/>
        <v/>
      </c>
      <c r="S366" s="6" t="str">
        <f>IF(OR($A366="",$C366=""),"",IFERROR(INDEX(Turno!$C$3:$V$32,MATCH($C366,Turno!$B$3:$B$32,0),MATCH(DAY($A366),Turno!$C$1:$V$1,0)),""))</f>
        <v/>
      </c>
      <c r="T366" t="str">
        <f>IF(OR($E366="",$S366=""),"",IFERROR(MAX(0,ROUND((INDEX(Config!$D$15:$D$18,MATCH($S366,Config!$B$15:$B$18,0))-$E366)*1440,0)),""))</f>
        <v/>
      </c>
      <c r="U366" s="13" t="str">
        <f>IF(OR($N366="",$T366=""),"",IFERROR(MAX(0,1-($N366+$T366+MAX(0,N($Q366)))/ROUND((INDEX(Config!$D$15:$D$18,MATCH($S366,Config!$B$15:$B$18,0))-INDEX(Config!$C$15:$C$18,MATCH($S366,Config!$B$15:$B$18,0)))*1440,0)),""))</f>
        <v/>
      </c>
      <c r="V366" s="5"/>
    </row>
    <row r="367" spans="1:22" x14ac:dyDescent="0.25">
      <c r="A367" s="11"/>
      <c r="B367" s="5"/>
      <c r="C367" s="6" t="str">
        <f>IFERROR(INDEX(Ejecutivos!$B$2:$B$100,MATCH(B367,Ejecutivos!$A$2:$A$100,0)),"")</f>
        <v/>
      </c>
      <c r="D367" s="12"/>
      <c r="E367" s="12"/>
      <c r="F367" s="12"/>
      <c r="G367" s="12"/>
      <c r="H367" s="5"/>
      <c r="I367" s="5"/>
      <c r="J367" s="5"/>
      <c r="K367" s="5"/>
      <c r="L367" s="18">
        <v>0</v>
      </c>
      <c r="M367" t="str">
        <f t="shared" si="23"/>
        <v/>
      </c>
      <c r="N367" t="str">
        <f>IF(OR($D367="",$S367=""),"",IFERROR(MAX(0,ROUND(($D367-INDEX(Config!$C$15:$C$18,MATCH($S367,Config!$B$15:$B$18,0)))*24*60,0)),""))</f>
        <v/>
      </c>
      <c r="O367" t="str">
        <f t="shared" si="24"/>
        <v/>
      </c>
      <c r="P367" t="str">
        <f t="shared" si="25"/>
        <v/>
      </c>
      <c r="Q367" t="str">
        <f>IF(OR($P367="",$S367=""),"",IFERROR($P367-INDEX(Config!$E$15:$E$18,MATCH($S367,Config!$B$15:$B$18,0)),""))</f>
        <v/>
      </c>
      <c r="R367" t="str">
        <f t="shared" si="26"/>
        <v/>
      </c>
      <c r="S367" s="6" t="str">
        <f>IF(OR($A367="",$C367=""),"",IFERROR(INDEX(Turno!$C$3:$V$32,MATCH($C367,Turno!$B$3:$B$32,0),MATCH(DAY($A367),Turno!$C$1:$V$1,0)),""))</f>
        <v/>
      </c>
      <c r="T367" t="str">
        <f>IF(OR($E367="",$S367=""),"",IFERROR(MAX(0,ROUND((INDEX(Config!$D$15:$D$18,MATCH($S367,Config!$B$15:$B$18,0))-$E367)*1440,0)),""))</f>
        <v/>
      </c>
      <c r="U367" s="13" t="str">
        <f>IF(OR($N367="",$T367=""),"",IFERROR(MAX(0,1-($N367+$T367+MAX(0,N($Q367)))/ROUND((INDEX(Config!$D$15:$D$18,MATCH($S367,Config!$B$15:$B$18,0))-INDEX(Config!$C$15:$C$18,MATCH($S367,Config!$B$15:$B$18,0)))*1440,0)),""))</f>
        <v/>
      </c>
      <c r="V367" s="5"/>
    </row>
    <row r="368" spans="1:22" x14ac:dyDescent="0.25">
      <c r="A368" s="11"/>
      <c r="B368" s="5"/>
      <c r="C368" s="6" t="str">
        <f>IFERROR(INDEX(Ejecutivos!$B$2:$B$100,MATCH(B368,Ejecutivos!$A$2:$A$100,0)),"")</f>
        <v/>
      </c>
      <c r="D368" s="12"/>
      <c r="E368" s="12"/>
      <c r="F368" s="12"/>
      <c r="G368" s="12"/>
      <c r="H368" s="5"/>
      <c r="I368" s="5"/>
      <c r="J368" s="5"/>
      <c r="K368" s="5"/>
      <c r="L368" s="18">
        <v>0</v>
      </c>
      <c r="M368" t="str">
        <f t="shared" si="23"/>
        <v/>
      </c>
      <c r="N368" t="str">
        <f>IF(OR($D368="",$S368=""),"",IFERROR(MAX(0,ROUND(($D368-INDEX(Config!$C$15:$C$18,MATCH($S368,Config!$B$15:$B$18,0)))*24*60,0)),""))</f>
        <v/>
      </c>
      <c r="O368" t="str">
        <f t="shared" si="24"/>
        <v/>
      </c>
      <c r="P368" t="str">
        <f t="shared" si="25"/>
        <v/>
      </c>
      <c r="Q368" t="str">
        <f>IF(OR($P368="",$S368=""),"",IFERROR($P368-INDEX(Config!$E$15:$E$18,MATCH($S368,Config!$B$15:$B$18,0)),""))</f>
        <v/>
      </c>
      <c r="R368" t="str">
        <f t="shared" si="26"/>
        <v/>
      </c>
      <c r="S368" s="6" t="str">
        <f>IF(OR($A368="",$C368=""),"",IFERROR(INDEX(Turno!$C$3:$V$32,MATCH($C368,Turno!$B$3:$B$32,0),MATCH(DAY($A368),Turno!$C$1:$V$1,0)),""))</f>
        <v/>
      </c>
      <c r="T368" t="str">
        <f>IF(OR($E368="",$S368=""),"",IFERROR(MAX(0,ROUND((INDEX(Config!$D$15:$D$18,MATCH($S368,Config!$B$15:$B$18,0))-$E368)*1440,0)),""))</f>
        <v/>
      </c>
      <c r="U368" s="13" t="str">
        <f>IF(OR($N368="",$T368=""),"",IFERROR(MAX(0,1-($N368+$T368+MAX(0,N($Q368)))/ROUND((INDEX(Config!$D$15:$D$18,MATCH($S368,Config!$B$15:$B$18,0))-INDEX(Config!$C$15:$C$18,MATCH($S368,Config!$B$15:$B$18,0)))*1440,0)),""))</f>
        <v/>
      </c>
      <c r="V368" s="5"/>
    </row>
    <row r="369" spans="1:22" x14ac:dyDescent="0.25">
      <c r="A369" s="11"/>
      <c r="B369" s="5"/>
      <c r="C369" s="6" t="str">
        <f>IFERROR(INDEX(Ejecutivos!$B$2:$B$100,MATCH(B369,Ejecutivos!$A$2:$A$100,0)),"")</f>
        <v/>
      </c>
      <c r="D369" s="12"/>
      <c r="E369" s="12"/>
      <c r="F369" s="12"/>
      <c r="G369" s="12"/>
      <c r="H369" s="5"/>
      <c r="I369" s="5"/>
      <c r="J369" s="5"/>
      <c r="K369" s="5"/>
      <c r="L369" s="18">
        <v>0</v>
      </c>
      <c r="M369" t="str">
        <f t="shared" si="23"/>
        <v/>
      </c>
      <c r="N369" t="str">
        <f>IF(OR($D369="",$S369=""),"",IFERROR(MAX(0,ROUND(($D369-INDEX(Config!$C$15:$C$18,MATCH($S369,Config!$B$15:$B$18,0)))*24*60,0)),""))</f>
        <v/>
      </c>
      <c r="O369" t="str">
        <f t="shared" si="24"/>
        <v/>
      </c>
      <c r="P369" t="str">
        <f t="shared" si="25"/>
        <v/>
      </c>
      <c r="Q369" t="str">
        <f>IF(OR($P369="",$S369=""),"",IFERROR($P369-INDEX(Config!$E$15:$E$18,MATCH($S369,Config!$B$15:$B$18,0)),""))</f>
        <v/>
      </c>
      <c r="R369" t="str">
        <f t="shared" si="26"/>
        <v/>
      </c>
      <c r="S369" s="6" t="str">
        <f>IF(OR($A369="",$C369=""),"",IFERROR(INDEX(Turno!$C$3:$V$32,MATCH($C369,Turno!$B$3:$B$32,0),MATCH(DAY($A369),Turno!$C$1:$V$1,0)),""))</f>
        <v/>
      </c>
      <c r="T369" t="str">
        <f>IF(OR($E369="",$S369=""),"",IFERROR(MAX(0,ROUND((INDEX(Config!$D$15:$D$18,MATCH($S369,Config!$B$15:$B$18,0))-$E369)*1440,0)),""))</f>
        <v/>
      </c>
      <c r="U369" s="13" t="str">
        <f>IF(OR($N369="",$T369=""),"",IFERROR(MAX(0,1-($N369+$T369+MAX(0,N($Q369)))/ROUND((INDEX(Config!$D$15:$D$18,MATCH($S369,Config!$B$15:$B$18,0))-INDEX(Config!$C$15:$C$18,MATCH($S369,Config!$B$15:$B$18,0)))*1440,0)),""))</f>
        <v/>
      </c>
      <c r="V369" s="5"/>
    </row>
    <row r="370" spans="1:22" x14ac:dyDescent="0.25">
      <c r="A370" s="11"/>
      <c r="B370" s="5"/>
      <c r="C370" s="6" t="str">
        <f>IFERROR(INDEX(Ejecutivos!$B$2:$B$100,MATCH(B370,Ejecutivos!$A$2:$A$100,0)),"")</f>
        <v/>
      </c>
      <c r="D370" s="12"/>
      <c r="E370" s="12"/>
      <c r="F370" s="12"/>
      <c r="G370" s="12"/>
      <c r="H370" s="5"/>
      <c r="I370" s="5"/>
      <c r="J370" s="5"/>
      <c r="K370" s="5"/>
      <c r="L370" s="18">
        <v>0</v>
      </c>
      <c r="M370" t="str">
        <f t="shared" si="23"/>
        <v/>
      </c>
      <c r="N370" t="str">
        <f>IF(OR($D370="",$S370=""),"",IFERROR(MAX(0,ROUND(($D370-INDEX(Config!$C$15:$C$18,MATCH($S370,Config!$B$15:$B$18,0)))*24*60,0)),""))</f>
        <v/>
      </c>
      <c r="O370" t="str">
        <f t="shared" si="24"/>
        <v/>
      </c>
      <c r="P370" t="str">
        <f t="shared" si="25"/>
        <v/>
      </c>
      <c r="Q370" t="str">
        <f>IF(OR($P370="",$S370=""),"",IFERROR($P370-INDEX(Config!$E$15:$E$18,MATCH($S370,Config!$B$15:$B$18,0)),""))</f>
        <v/>
      </c>
      <c r="R370" t="str">
        <f t="shared" si="26"/>
        <v/>
      </c>
      <c r="S370" s="6" t="str">
        <f>IF(OR($A370="",$C370=""),"",IFERROR(INDEX(Turno!$C$3:$V$32,MATCH($C370,Turno!$B$3:$B$32,0),MATCH(DAY($A370),Turno!$C$1:$V$1,0)),""))</f>
        <v/>
      </c>
      <c r="T370" t="str">
        <f>IF(OR($E370="",$S370=""),"",IFERROR(MAX(0,ROUND((INDEX(Config!$D$15:$D$18,MATCH($S370,Config!$B$15:$B$18,0))-$E370)*1440,0)),""))</f>
        <v/>
      </c>
      <c r="U370" s="13" t="str">
        <f>IF(OR($N370="",$T370=""),"",IFERROR(MAX(0,1-($N370+$T370+MAX(0,N($Q370)))/ROUND((INDEX(Config!$D$15:$D$18,MATCH($S370,Config!$B$15:$B$18,0))-INDEX(Config!$C$15:$C$18,MATCH($S370,Config!$B$15:$B$18,0)))*1440,0)),""))</f>
        <v/>
      </c>
      <c r="V370" s="5"/>
    </row>
    <row r="371" spans="1:22" x14ac:dyDescent="0.25">
      <c r="A371" s="11"/>
      <c r="B371" s="5"/>
      <c r="C371" s="6" t="str">
        <f>IFERROR(INDEX(Ejecutivos!$B$2:$B$100,MATCH(B371,Ejecutivos!$A$2:$A$100,0)),"")</f>
        <v/>
      </c>
      <c r="D371" s="12"/>
      <c r="E371" s="12"/>
      <c r="F371" s="12"/>
      <c r="G371" s="12"/>
      <c r="H371" s="5"/>
      <c r="I371" s="5"/>
      <c r="J371" s="5"/>
      <c r="K371" s="5"/>
      <c r="L371" s="18">
        <v>0</v>
      </c>
      <c r="M371" t="str">
        <f t="shared" si="23"/>
        <v/>
      </c>
      <c r="N371" t="str">
        <f>IF(OR($D371="",$S371=""),"",IFERROR(MAX(0,ROUND(($D371-INDEX(Config!$C$15:$C$18,MATCH($S371,Config!$B$15:$B$18,0)))*24*60,0)),""))</f>
        <v/>
      </c>
      <c r="O371" t="str">
        <f t="shared" si="24"/>
        <v/>
      </c>
      <c r="P371" t="str">
        <f t="shared" si="25"/>
        <v/>
      </c>
      <c r="Q371" t="str">
        <f>IF(OR($P371="",$S371=""),"",IFERROR($P371-INDEX(Config!$E$15:$E$18,MATCH($S371,Config!$B$15:$B$18,0)),""))</f>
        <v/>
      </c>
      <c r="R371" t="str">
        <f t="shared" si="26"/>
        <v/>
      </c>
      <c r="S371" s="6" t="str">
        <f>IF(OR($A371="",$C371=""),"",IFERROR(INDEX(Turno!$C$3:$V$32,MATCH($C371,Turno!$B$3:$B$32,0),MATCH(DAY($A371),Turno!$C$1:$V$1,0)),""))</f>
        <v/>
      </c>
      <c r="T371" t="str">
        <f>IF(OR($E371="",$S371=""),"",IFERROR(MAX(0,ROUND((INDEX(Config!$D$15:$D$18,MATCH($S371,Config!$B$15:$B$18,0))-$E371)*1440,0)),""))</f>
        <v/>
      </c>
      <c r="U371" s="13" t="str">
        <f>IF(OR($N371="",$T371=""),"",IFERROR(MAX(0,1-($N371+$T371+MAX(0,N($Q371)))/ROUND((INDEX(Config!$D$15:$D$18,MATCH($S371,Config!$B$15:$B$18,0))-INDEX(Config!$C$15:$C$18,MATCH($S371,Config!$B$15:$B$18,0)))*1440,0)),""))</f>
        <v/>
      </c>
      <c r="V371" s="5"/>
    </row>
    <row r="372" spans="1:22" x14ac:dyDescent="0.25">
      <c r="A372" s="11"/>
      <c r="B372" s="5"/>
      <c r="C372" s="6" t="str">
        <f>IFERROR(INDEX(Ejecutivos!$B$2:$B$100,MATCH(B372,Ejecutivos!$A$2:$A$100,0)),"")</f>
        <v/>
      </c>
      <c r="D372" s="12"/>
      <c r="E372" s="12"/>
      <c r="F372" s="12"/>
      <c r="G372" s="12"/>
      <c r="H372" s="5"/>
      <c r="I372" s="5"/>
      <c r="J372" s="5"/>
      <c r="K372" s="5"/>
      <c r="L372" s="18">
        <v>0</v>
      </c>
      <c r="M372" t="str">
        <f t="shared" si="23"/>
        <v/>
      </c>
      <c r="N372" t="str">
        <f>IF(OR($D372="",$S372=""),"",IFERROR(MAX(0,ROUND(($D372-INDEX(Config!$C$15:$C$18,MATCH($S372,Config!$B$15:$B$18,0)))*24*60,0)),""))</f>
        <v/>
      </c>
      <c r="O372" t="str">
        <f t="shared" si="24"/>
        <v/>
      </c>
      <c r="P372" t="str">
        <f t="shared" si="25"/>
        <v/>
      </c>
      <c r="Q372" t="str">
        <f>IF(OR($P372="",$S372=""),"",IFERROR($P372-INDEX(Config!$E$15:$E$18,MATCH($S372,Config!$B$15:$B$18,0)),""))</f>
        <v/>
      </c>
      <c r="R372" t="str">
        <f t="shared" si="26"/>
        <v/>
      </c>
      <c r="S372" s="6" t="str">
        <f>IF(OR($A372="",$C372=""),"",IFERROR(INDEX(Turno!$C$3:$V$32,MATCH($C372,Turno!$B$3:$B$32,0),MATCH(DAY($A372),Turno!$C$1:$V$1,0)),""))</f>
        <v/>
      </c>
      <c r="T372" t="str">
        <f>IF(OR($E372="",$S372=""),"",IFERROR(MAX(0,ROUND((INDEX(Config!$D$15:$D$18,MATCH($S372,Config!$B$15:$B$18,0))-$E372)*1440,0)),""))</f>
        <v/>
      </c>
      <c r="U372" s="13" t="str">
        <f>IF(OR($N372="",$T372=""),"",IFERROR(MAX(0,1-($N372+$T372+MAX(0,N($Q372)))/ROUND((INDEX(Config!$D$15:$D$18,MATCH($S372,Config!$B$15:$B$18,0))-INDEX(Config!$C$15:$C$18,MATCH($S372,Config!$B$15:$B$18,0)))*1440,0)),""))</f>
        <v/>
      </c>
      <c r="V372" s="5"/>
    </row>
    <row r="373" spans="1:22" x14ac:dyDescent="0.25">
      <c r="A373" s="11"/>
      <c r="B373" s="5"/>
      <c r="C373" s="6" t="str">
        <f>IFERROR(INDEX(Ejecutivos!$B$2:$B$100,MATCH(B373,Ejecutivos!$A$2:$A$100,0)),"")</f>
        <v/>
      </c>
      <c r="D373" s="12"/>
      <c r="E373" s="12"/>
      <c r="F373" s="12"/>
      <c r="G373" s="12"/>
      <c r="H373" s="5"/>
      <c r="I373" s="5"/>
      <c r="J373" s="5"/>
      <c r="K373" s="5"/>
      <c r="L373" s="18">
        <v>0</v>
      </c>
      <c r="M373" t="str">
        <f t="shared" ref="M373:M436" si="27">IF(OR(D373="",E373=""),"",ROUND(((E373-D373)*24)-((G373-F373)*24)-((H373+I373)/60),2))</f>
        <v/>
      </c>
      <c r="N373" t="str">
        <f>IF(OR($D373="",$S373=""),"",IFERROR(MAX(0,ROUND(($D373-INDEX(Config!$C$15:$C$18,MATCH($S373,Config!$B$15:$B$18,0)))*24*60,0)),""))</f>
        <v/>
      </c>
      <c r="O373" t="str">
        <f t="shared" ref="O373:O436" si="28">IF(OR(F373="",G373=""),"",ROUND((G373-F373)*24*60,0))</f>
        <v/>
      </c>
      <c r="P373" t="str">
        <f t="shared" ref="P373:P436" si="29">IF(O373="","",O373+H373+I373)</f>
        <v/>
      </c>
      <c r="Q373" t="str">
        <f>IF(OR($P373="",$S373=""),"",IFERROR($P373-INDEX(Config!$E$15:$E$18,MATCH($S373,Config!$B$15:$B$18,0)),""))</f>
        <v/>
      </c>
      <c r="R373" t="str">
        <f t="shared" ref="R373:R436" si="30">IF($A373="","",IF($D373="","Ausente",IF($N373="","",IF($N373&gt;0,"Atrasado","Puntual"))))</f>
        <v/>
      </c>
      <c r="S373" s="6" t="str">
        <f>IF(OR($A373="",$C373=""),"",IFERROR(INDEX(Turno!$C$3:$V$32,MATCH($C373,Turno!$B$3:$B$32,0),MATCH(DAY($A373),Turno!$C$1:$V$1,0)),""))</f>
        <v/>
      </c>
      <c r="T373" t="str">
        <f>IF(OR($E373="",$S373=""),"",IFERROR(MAX(0,ROUND((INDEX(Config!$D$15:$D$18,MATCH($S373,Config!$B$15:$B$18,0))-$E373)*1440,0)),""))</f>
        <v/>
      </c>
      <c r="U373" s="13" t="str">
        <f>IF(OR($N373="",$T373=""),"",IFERROR(MAX(0,1-($N373+$T373+MAX(0,N($Q373)))/ROUND((INDEX(Config!$D$15:$D$18,MATCH($S373,Config!$B$15:$B$18,0))-INDEX(Config!$C$15:$C$18,MATCH($S373,Config!$B$15:$B$18,0)))*1440,0)),""))</f>
        <v/>
      </c>
      <c r="V373" s="5"/>
    </row>
    <row r="374" spans="1:22" x14ac:dyDescent="0.25">
      <c r="A374" s="11"/>
      <c r="B374" s="5"/>
      <c r="C374" s="6" t="str">
        <f>IFERROR(INDEX(Ejecutivos!$B$2:$B$100,MATCH(B374,Ejecutivos!$A$2:$A$100,0)),"")</f>
        <v/>
      </c>
      <c r="D374" s="12"/>
      <c r="E374" s="12"/>
      <c r="F374" s="12"/>
      <c r="G374" s="12"/>
      <c r="H374" s="5"/>
      <c r="I374" s="5"/>
      <c r="J374" s="5"/>
      <c r="K374" s="5"/>
      <c r="L374" s="18">
        <v>0</v>
      </c>
      <c r="M374" t="str">
        <f t="shared" si="27"/>
        <v/>
      </c>
      <c r="N374" t="str">
        <f>IF(OR($D374="",$S374=""),"",IFERROR(MAX(0,ROUND(($D374-INDEX(Config!$C$15:$C$18,MATCH($S374,Config!$B$15:$B$18,0)))*24*60,0)),""))</f>
        <v/>
      </c>
      <c r="O374" t="str">
        <f t="shared" si="28"/>
        <v/>
      </c>
      <c r="P374" t="str">
        <f t="shared" si="29"/>
        <v/>
      </c>
      <c r="Q374" t="str">
        <f>IF(OR($P374="",$S374=""),"",IFERROR($P374-INDEX(Config!$E$15:$E$18,MATCH($S374,Config!$B$15:$B$18,0)),""))</f>
        <v/>
      </c>
      <c r="R374" t="str">
        <f t="shared" si="30"/>
        <v/>
      </c>
      <c r="S374" s="6" t="str">
        <f>IF(OR($A374="",$C374=""),"",IFERROR(INDEX(Turno!$C$3:$V$32,MATCH($C374,Turno!$B$3:$B$32,0),MATCH(DAY($A374),Turno!$C$1:$V$1,0)),""))</f>
        <v/>
      </c>
      <c r="T374" t="str">
        <f>IF(OR($E374="",$S374=""),"",IFERROR(MAX(0,ROUND((INDEX(Config!$D$15:$D$18,MATCH($S374,Config!$B$15:$B$18,0))-$E374)*1440,0)),""))</f>
        <v/>
      </c>
      <c r="U374" s="13" t="str">
        <f>IF(OR($N374="",$T374=""),"",IFERROR(MAX(0,1-($N374+$T374+MAX(0,N($Q374)))/ROUND((INDEX(Config!$D$15:$D$18,MATCH($S374,Config!$B$15:$B$18,0))-INDEX(Config!$C$15:$C$18,MATCH($S374,Config!$B$15:$B$18,0)))*1440,0)),""))</f>
        <v/>
      </c>
      <c r="V374" s="5"/>
    </row>
    <row r="375" spans="1:22" x14ac:dyDescent="0.25">
      <c r="A375" s="11"/>
      <c r="B375" s="5"/>
      <c r="C375" s="6" t="str">
        <f>IFERROR(INDEX(Ejecutivos!$B$2:$B$100,MATCH(B375,Ejecutivos!$A$2:$A$100,0)),"")</f>
        <v/>
      </c>
      <c r="D375" s="12"/>
      <c r="E375" s="12"/>
      <c r="F375" s="12"/>
      <c r="G375" s="12"/>
      <c r="H375" s="5"/>
      <c r="I375" s="5"/>
      <c r="J375" s="5"/>
      <c r="K375" s="5"/>
      <c r="L375" s="18">
        <v>0</v>
      </c>
      <c r="M375" t="str">
        <f t="shared" si="27"/>
        <v/>
      </c>
      <c r="N375" t="str">
        <f>IF(OR($D375="",$S375=""),"",IFERROR(MAX(0,ROUND(($D375-INDEX(Config!$C$15:$C$18,MATCH($S375,Config!$B$15:$B$18,0)))*24*60,0)),""))</f>
        <v/>
      </c>
      <c r="O375" t="str">
        <f t="shared" si="28"/>
        <v/>
      </c>
      <c r="P375" t="str">
        <f t="shared" si="29"/>
        <v/>
      </c>
      <c r="Q375" t="str">
        <f>IF(OR($P375="",$S375=""),"",IFERROR($P375-INDEX(Config!$E$15:$E$18,MATCH($S375,Config!$B$15:$B$18,0)),""))</f>
        <v/>
      </c>
      <c r="R375" t="str">
        <f t="shared" si="30"/>
        <v/>
      </c>
      <c r="S375" s="6" t="str">
        <f>IF(OR($A375="",$C375=""),"",IFERROR(INDEX(Turno!$C$3:$V$32,MATCH($C375,Turno!$B$3:$B$32,0),MATCH(DAY($A375),Turno!$C$1:$V$1,0)),""))</f>
        <v/>
      </c>
      <c r="T375" t="str">
        <f>IF(OR($E375="",$S375=""),"",IFERROR(MAX(0,ROUND((INDEX(Config!$D$15:$D$18,MATCH($S375,Config!$B$15:$B$18,0))-$E375)*1440,0)),""))</f>
        <v/>
      </c>
      <c r="U375" s="13" t="str">
        <f>IF(OR($N375="",$T375=""),"",IFERROR(MAX(0,1-($N375+$T375+MAX(0,N($Q375)))/ROUND((INDEX(Config!$D$15:$D$18,MATCH($S375,Config!$B$15:$B$18,0))-INDEX(Config!$C$15:$C$18,MATCH($S375,Config!$B$15:$B$18,0)))*1440,0)),""))</f>
        <v/>
      </c>
      <c r="V375" s="5"/>
    </row>
    <row r="376" spans="1:22" x14ac:dyDescent="0.25">
      <c r="A376" s="11"/>
      <c r="B376" s="5"/>
      <c r="C376" s="6" t="str">
        <f>IFERROR(INDEX(Ejecutivos!$B$2:$B$100,MATCH(B376,Ejecutivos!$A$2:$A$100,0)),"")</f>
        <v/>
      </c>
      <c r="D376" s="12"/>
      <c r="E376" s="12"/>
      <c r="F376" s="12"/>
      <c r="G376" s="12"/>
      <c r="H376" s="5"/>
      <c r="I376" s="5"/>
      <c r="J376" s="5"/>
      <c r="K376" s="5"/>
      <c r="L376" s="18">
        <v>0</v>
      </c>
      <c r="M376" t="str">
        <f t="shared" si="27"/>
        <v/>
      </c>
      <c r="N376" t="str">
        <f>IF(OR($D376="",$S376=""),"",IFERROR(MAX(0,ROUND(($D376-INDEX(Config!$C$15:$C$18,MATCH($S376,Config!$B$15:$B$18,0)))*24*60,0)),""))</f>
        <v/>
      </c>
      <c r="O376" t="str">
        <f t="shared" si="28"/>
        <v/>
      </c>
      <c r="P376" t="str">
        <f t="shared" si="29"/>
        <v/>
      </c>
      <c r="Q376" t="str">
        <f>IF(OR($P376="",$S376=""),"",IFERROR($P376-INDEX(Config!$E$15:$E$18,MATCH($S376,Config!$B$15:$B$18,0)),""))</f>
        <v/>
      </c>
      <c r="R376" t="str">
        <f t="shared" si="30"/>
        <v/>
      </c>
      <c r="S376" s="6" t="str">
        <f>IF(OR($A376="",$C376=""),"",IFERROR(INDEX(Turno!$C$3:$V$32,MATCH($C376,Turno!$B$3:$B$32,0),MATCH(DAY($A376),Turno!$C$1:$V$1,0)),""))</f>
        <v/>
      </c>
      <c r="T376" t="str">
        <f>IF(OR($E376="",$S376=""),"",IFERROR(MAX(0,ROUND((INDEX(Config!$D$15:$D$18,MATCH($S376,Config!$B$15:$B$18,0))-$E376)*1440,0)),""))</f>
        <v/>
      </c>
      <c r="U376" s="13" t="str">
        <f>IF(OR($N376="",$T376=""),"",IFERROR(MAX(0,1-($N376+$T376+MAX(0,N($Q376)))/ROUND((INDEX(Config!$D$15:$D$18,MATCH($S376,Config!$B$15:$B$18,0))-INDEX(Config!$C$15:$C$18,MATCH($S376,Config!$B$15:$B$18,0)))*1440,0)),""))</f>
        <v/>
      </c>
      <c r="V376" s="5"/>
    </row>
    <row r="377" spans="1:22" x14ac:dyDescent="0.25">
      <c r="A377" s="11"/>
      <c r="B377" s="5"/>
      <c r="C377" s="6" t="str">
        <f>IFERROR(INDEX(Ejecutivos!$B$2:$B$100,MATCH(B377,Ejecutivos!$A$2:$A$100,0)),"")</f>
        <v/>
      </c>
      <c r="D377" s="12"/>
      <c r="E377" s="12"/>
      <c r="F377" s="12"/>
      <c r="G377" s="12"/>
      <c r="H377" s="5"/>
      <c r="I377" s="5"/>
      <c r="J377" s="5"/>
      <c r="K377" s="5"/>
      <c r="L377" s="18">
        <v>0</v>
      </c>
      <c r="M377" t="str">
        <f t="shared" si="27"/>
        <v/>
      </c>
      <c r="N377" t="str">
        <f>IF(OR($D377="",$S377=""),"",IFERROR(MAX(0,ROUND(($D377-INDEX(Config!$C$15:$C$18,MATCH($S377,Config!$B$15:$B$18,0)))*24*60,0)),""))</f>
        <v/>
      </c>
      <c r="O377" t="str">
        <f t="shared" si="28"/>
        <v/>
      </c>
      <c r="P377" t="str">
        <f t="shared" si="29"/>
        <v/>
      </c>
      <c r="Q377" t="str">
        <f>IF(OR($P377="",$S377=""),"",IFERROR($P377-INDEX(Config!$E$15:$E$18,MATCH($S377,Config!$B$15:$B$18,0)),""))</f>
        <v/>
      </c>
      <c r="R377" t="str">
        <f t="shared" si="30"/>
        <v/>
      </c>
      <c r="S377" s="6" t="str">
        <f>IF(OR($A377="",$C377=""),"",IFERROR(INDEX(Turno!$C$3:$V$32,MATCH($C377,Turno!$B$3:$B$32,0),MATCH(DAY($A377),Turno!$C$1:$V$1,0)),""))</f>
        <v/>
      </c>
      <c r="T377" t="str">
        <f>IF(OR($E377="",$S377=""),"",IFERROR(MAX(0,ROUND((INDEX(Config!$D$15:$D$18,MATCH($S377,Config!$B$15:$B$18,0))-$E377)*1440,0)),""))</f>
        <v/>
      </c>
      <c r="U377" s="13" t="str">
        <f>IF(OR($N377="",$T377=""),"",IFERROR(MAX(0,1-($N377+$T377+MAX(0,N($Q377)))/ROUND((INDEX(Config!$D$15:$D$18,MATCH($S377,Config!$B$15:$B$18,0))-INDEX(Config!$C$15:$C$18,MATCH($S377,Config!$B$15:$B$18,0)))*1440,0)),""))</f>
        <v/>
      </c>
      <c r="V377" s="5"/>
    </row>
    <row r="378" spans="1:22" x14ac:dyDescent="0.25">
      <c r="A378" s="11"/>
      <c r="B378" s="5"/>
      <c r="C378" s="6" t="str">
        <f>IFERROR(INDEX(Ejecutivos!$B$2:$B$100,MATCH(B378,Ejecutivos!$A$2:$A$100,0)),"")</f>
        <v/>
      </c>
      <c r="D378" s="12"/>
      <c r="E378" s="12"/>
      <c r="F378" s="12"/>
      <c r="G378" s="12"/>
      <c r="H378" s="5"/>
      <c r="I378" s="5"/>
      <c r="J378" s="5"/>
      <c r="K378" s="5"/>
      <c r="L378" s="18">
        <v>0</v>
      </c>
      <c r="M378" t="str">
        <f t="shared" si="27"/>
        <v/>
      </c>
      <c r="N378" t="str">
        <f>IF(OR($D378="",$S378=""),"",IFERROR(MAX(0,ROUND(($D378-INDEX(Config!$C$15:$C$18,MATCH($S378,Config!$B$15:$B$18,0)))*24*60,0)),""))</f>
        <v/>
      </c>
      <c r="O378" t="str">
        <f t="shared" si="28"/>
        <v/>
      </c>
      <c r="P378" t="str">
        <f t="shared" si="29"/>
        <v/>
      </c>
      <c r="Q378" t="str">
        <f>IF(OR($P378="",$S378=""),"",IFERROR($P378-INDEX(Config!$E$15:$E$18,MATCH($S378,Config!$B$15:$B$18,0)),""))</f>
        <v/>
      </c>
      <c r="R378" t="str">
        <f t="shared" si="30"/>
        <v/>
      </c>
      <c r="S378" s="6" t="str">
        <f>IF(OR($A378="",$C378=""),"",IFERROR(INDEX(Turno!$C$3:$V$32,MATCH($C378,Turno!$B$3:$B$32,0),MATCH(DAY($A378),Turno!$C$1:$V$1,0)),""))</f>
        <v/>
      </c>
      <c r="T378" t="str">
        <f>IF(OR($E378="",$S378=""),"",IFERROR(MAX(0,ROUND((INDEX(Config!$D$15:$D$18,MATCH($S378,Config!$B$15:$B$18,0))-$E378)*1440,0)),""))</f>
        <v/>
      </c>
      <c r="U378" s="13" t="str">
        <f>IF(OR($N378="",$T378=""),"",IFERROR(MAX(0,1-($N378+$T378+MAX(0,N($Q378)))/ROUND((INDEX(Config!$D$15:$D$18,MATCH($S378,Config!$B$15:$B$18,0))-INDEX(Config!$C$15:$C$18,MATCH($S378,Config!$B$15:$B$18,0)))*1440,0)),""))</f>
        <v/>
      </c>
      <c r="V378" s="5"/>
    </row>
    <row r="379" spans="1:22" x14ac:dyDescent="0.25">
      <c r="A379" s="11"/>
      <c r="B379" s="5"/>
      <c r="C379" s="6" t="str">
        <f>IFERROR(INDEX(Ejecutivos!$B$2:$B$100,MATCH(B379,Ejecutivos!$A$2:$A$100,0)),"")</f>
        <v/>
      </c>
      <c r="D379" s="12"/>
      <c r="E379" s="12"/>
      <c r="F379" s="12"/>
      <c r="G379" s="12"/>
      <c r="H379" s="5"/>
      <c r="I379" s="5"/>
      <c r="J379" s="5"/>
      <c r="K379" s="5"/>
      <c r="L379" s="18">
        <v>0</v>
      </c>
      <c r="M379" t="str">
        <f t="shared" si="27"/>
        <v/>
      </c>
      <c r="N379" t="str">
        <f>IF(OR($D379="",$S379=""),"",IFERROR(MAX(0,ROUND(($D379-INDEX(Config!$C$15:$C$18,MATCH($S379,Config!$B$15:$B$18,0)))*24*60,0)),""))</f>
        <v/>
      </c>
      <c r="O379" t="str">
        <f t="shared" si="28"/>
        <v/>
      </c>
      <c r="P379" t="str">
        <f t="shared" si="29"/>
        <v/>
      </c>
      <c r="Q379" t="str">
        <f>IF(OR($P379="",$S379=""),"",IFERROR($P379-INDEX(Config!$E$15:$E$18,MATCH($S379,Config!$B$15:$B$18,0)),""))</f>
        <v/>
      </c>
      <c r="R379" t="str">
        <f t="shared" si="30"/>
        <v/>
      </c>
      <c r="S379" s="6" t="str">
        <f>IF(OR($A379="",$C379=""),"",IFERROR(INDEX(Turno!$C$3:$V$32,MATCH($C379,Turno!$B$3:$B$32,0),MATCH(DAY($A379),Turno!$C$1:$V$1,0)),""))</f>
        <v/>
      </c>
      <c r="T379" t="str">
        <f>IF(OR($E379="",$S379=""),"",IFERROR(MAX(0,ROUND((INDEX(Config!$D$15:$D$18,MATCH($S379,Config!$B$15:$B$18,0))-$E379)*1440,0)),""))</f>
        <v/>
      </c>
      <c r="U379" s="13" t="str">
        <f>IF(OR($N379="",$T379=""),"",IFERROR(MAX(0,1-($N379+$T379+MAX(0,N($Q379)))/ROUND((INDEX(Config!$D$15:$D$18,MATCH($S379,Config!$B$15:$B$18,0))-INDEX(Config!$C$15:$C$18,MATCH($S379,Config!$B$15:$B$18,0)))*1440,0)),""))</f>
        <v/>
      </c>
      <c r="V379" s="5"/>
    </row>
    <row r="380" spans="1:22" x14ac:dyDescent="0.25">
      <c r="A380" s="11"/>
      <c r="B380" s="5"/>
      <c r="C380" s="6" t="str">
        <f>IFERROR(INDEX(Ejecutivos!$B$2:$B$100,MATCH(B380,Ejecutivos!$A$2:$A$100,0)),"")</f>
        <v/>
      </c>
      <c r="D380" s="12"/>
      <c r="E380" s="12"/>
      <c r="F380" s="12"/>
      <c r="G380" s="12"/>
      <c r="H380" s="5"/>
      <c r="I380" s="5"/>
      <c r="J380" s="5"/>
      <c r="K380" s="5"/>
      <c r="L380" s="18">
        <v>0</v>
      </c>
      <c r="M380" t="str">
        <f t="shared" si="27"/>
        <v/>
      </c>
      <c r="N380" t="str">
        <f>IF(OR($D380="",$S380=""),"",IFERROR(MAX(0,ROUND(($D380-INDEX(Config!$C$15:$C$18,MATCH($S380,Config!$B$15:$B$18,0)))*24*60,0)),""))</f>
        <v/>
      </c>
      <c r="O380" t="str">
        <f t="shared" si="28"/>
        <v/>
      </c>
      <c r="P380" t="str">
        <f t="shared" si="29"/>
        <v/>
      </c>
      <c r="Q380" t="str">
        <f>IF(OR($P380="",$S380=""),"",IFERROR($P380-INDEX(Config!$E$15:$E$18,MATCH($S380,Config!$B$15:$B$18,0)),""))</f>
        <v/>
      </c>
      <c r="R380" t="str">
        <f t="shared" si="30"/>
        <v/>
      </c>
      <c r="S380" s="6" t="str">
        <f>IF(OR($A380="",$C380=""),"",IFERROR(INDEX(Turno!$C$3:$V$32,MATCH($C380,Turno!$B$3:$B$32,0),MATCH(DAY($A380),Turno!$C$1:$V$1,0)),""))</f>
        <v/>
      </c>
      <c r="T380" t="str">
        <f>IF(OR($E380="",$S380=""),"",IFERROR(MAX(0,ROUND((INDEX(Config!$D$15:$D$18,MATCH($S380,Config!$B$15:$B$18,0))-$E380)*1440,0)),""))</f>
        <v/>
      </c>
      <c r="U380" s="13" t="str">
        <f>IF(OR($N380="",$T380=""),"",IFERROR(MAX(0,1-($N380+$T380+MAX(0,N($Q380)))/ROUND((INDEX(Config!$D$15:$D$18,MATCH($S380,Config!$B$15:$B$18,0))-INDEX(Config!$C$15:$C$18,MATCH($S380,Config!$B$15:$B$18,0)))*1440,0)),""))</f>
        <v/>
      </c>
      <c r="V380" s="5"/>
    </row>
    <row r="381" spans="1:22" x14ac:dyDescent="0.25">
      <c r="A381" s="11"/>
      <c r="B381" s="5"/>
      <c r="C381" s="6" t="str">
        <f>IFERROR(INDEX(Ejecutivos!$B$2:$B$100,MATCH(B381,Ejecutivos!$A$2:$A$100,0)),"")</f>
        <v/>
      </c>
      <c r="D381" s="12"/>
      <c r="E381" s="12"/>
      <c r="F381" s="12"/>
      <c r="G381" s="12"/>
      <c r="H381" s="5"/>
      <c r="I381" s="5"/>
      <c r="J381" s="5"/>
      <c r="K381" s="5"/>
      <c r="L381" s="18">
        <v>0</v>
      </c>
      <c r="M381" t="str">
        <f t="shared" si="27"/>
        <v/>
      </c>
      <c r="N381" t="str">
        <f>IF(OR($D381="",$S381=""),"",IFERROR(MAX(0,ROUND(($D381-INDEX(Config!$C$15:$C$18,MATCH($S381,Config!$B$15:$B$18,0)))*24*60,0)),""))</f>
        <v/>
      </c>
      <c r="O381" t="str">
        <f t="shared" si="28"/>
        <v/>
      </c>
      <c r="P381" t="str">
        <f t="shared" si="29"/>
        <v/>
      </c>
      <c r="Q381" t="str">
        <f>IF(OR($P381="",$S381=""),"",IFERROR($P381-INDEX(Config!$E$15:$E$18,MATCH($S381,Config!$B$15:$B$18,0)),""))</f>
        <v/>
      </c>
      <c r="R381" t="str">
        <f t="shared" si="30"/>
        <v/>
      </c>
      <c r="S381" s="6" t="str">
        <f>IF(OR($A381="",$C381=""),"",IFERROR(INDEX(Turno!$C$3:$V$32,MATCH($C381,Turno!$B$3:$B$32,0),MATCH(DAY($A381),Turno!$C$1:$V$1,0)),""))</f>
        <v/>
      </c>
      <c r="T381" t="str">
        <f>IF(OR($E381="",$S381=""),"",IFERROR(MAX(0,ROUND((INDEX(Config!$D$15:$D$18,MATCH($S381,Config!$B$15:$B$18,0))-$E381)*1440,0)),""))</f>
        <v/>
      </c>
      <c r="U381" s="13" t="str">
        <f>IF(OR($N381="",$T381=""),"",IFERROR(MAX(0,1-($N381+$T381+MAX(0,N($Q381)))/ROUND((INDEX(Config!$D$15:$D$18,MATCH($S381,Config!$B$15:$B$18,0))-INDEX(Config!$C$15:$C$18,MATCH($S381,Config!$B$15:$B$18,0)))*1440,0)),""))</f>
        <v/>
      </c>
      <c r="V381" s="5"/>
    </row>
    <row r="382" spans="1:22" x14ac:dyDescent="0.25">
      <c r="A382" s="11"/>
      <c r="B382" s="5"/>
      <c r="C382" s="6" t="str">
        <f>IFERROR(INDEX(Ejecutivos!$B$2:$B$100,MATCH(B382,Ejecutivos!$A$2:$A$100,0)),"")</f>
        <v/>
      </c>
      <c r="D382" s="12"/>
      <c r="E382" s="12"/>
      <c r="F382" s="12"/>
      <c r="G382" s="12"/>
      <c r="H382" s="5"/>
      <c r="I382" s="5"/>
      <c r="J382" s="5"/>
      <c r="K382" s="5"/>
      <c r="L382" s="18">
        <v>0</v>
      </c>
      <c r="M382" t="str">
        <f t="shared" si="27"/>
        <v/>
      </c>
      <c r="N382" t="str">
        <f>IF(OR($D382="",$S382=""),"",IFERROR(MAX(0,ROUND(($D382-INDEX(Config!$C$15:$C$18,MATCH($S382,Config!$B$15:$B$18,0)))*24*60,0)),""))</f>
        <v/>
      </c>
      <c r="O382" t="str">
        <f t="shared" si="28"/>
        <v/>
      </c>
      <c r="P382" t="str">
        <f t="shared" si="29"/>
        <v/>
      </c>
      <c r="Q382" t="str">
        <f>IF(OR($P382="",$S382=""),"",IFERROR($P382-INDEX(Config!$E$15:$E$18,MATCH($S382,Config!$B$15:$B$18,0)),""))</f>
        <v/>
      </c>
      <c r="R382" t="str">
        <f t="shared" si="30"/>
        <v/>
      </c>
      <c r="S382" s="6" t="str">
        <f>IF(OR($A382="",$C382=""),"",IFERROR(INDEX(Turno!$C$3:$V$32,MATCH($C382,Turno!$B$3:$B$32,0),MATCH(DAY($A382),Turno!$C$1:$V$1,0)),""))</f>
        <v/>
      </c>
      <c r="T382" t="str">
        <f>IF(OR($E382="",$S382=""),"",IFERROR(MAX(0,ROUND((INDEX(Config!$D$15:$D$18,MATCH($S382,Config!$B$15:$B$18,0))-$E382)*1440,0)),""))</f>
        <v/>
      </c>
      <c r="U382" s="13" t="str">
        <f>IF(OR($N382="",$T382=""),"",IFERROR(MAX(0,1-($N382+$T382+MAX(0,N($Q382)))/ROUND((INDEX(Config!$D$15:$D$18,MATCH($S382,Config!$B$15:$B$18,0))-INDEX(Config!$C$15:$C$18,MATCH($S382,Config!$B$15:$B$18,0)))*1440,0)),""))</f>
        <v/>
      </c>
      <c r="V382" s="5"/>
    </row>
    <row r="383" spans="1:22" x14ac:dyDescent="0.25">
      <c r="A383" s="11"/>
      <c r="B383" s="5"/>
      <c r="C383" s="6" t="str">
        <f>IFERROR(INDEX(Ejecutivos!$B$2:$B$100,MATCH(B383,Ejecutivos!$A$2:$A$100,0)),"")</f>
        <v/>
      </c>
      <c r="D383" s="12"/>
      <c r="E383" s="12"/>
      <c r="F383" s="12"/>
      <c r="G383" s="12"/>
      <c r="H383" s="5"/>
      <c r="I383" s="5"/>
      <c r="J383" s="5"/>
      <c r="K383" s="5"/>
      <c r="L383" s="18">
        <v>0</v>
      </c>
      <c r="M383" t="str">
        <f t="shared" si="27"/>
        <v/>
      </c>
      <c r="N383" t="str">
        <f>IF(OR($D383="",$S383=""),"",IFERROR(MAX(0,ROUND(($D383-INDEX(Config!$C$15:$C$18,MATCH($S383,Config!$B$15:$B$18,0)))*24*60,0)),""))</f>
        <v/>
      </c>
      <c r="O383" t="str">
        <f t="shared" si="28"/>
        <v/>
      </c>
      <c r="P383" t="str">
        <f t="shared" si="29"/>
        <v/>
      </c>
      <c r="Q383" t="str">
        <f>IF(OR($P383="",$S383=""),"",IFERROR($P383-INDEX(Config!$E$15:$E$18,MATCH($S383,Config!$B$15:$B$18,0)),""))</f>
        <v/>
      </c>
      <c r="R383" t="str">
        <f t="shared" si="30"/>
        <v/>
      </c>
      <c r="S383" s="6" t="str">
        <f>IF(OR($A383="",$C383=""),"",IFERROR(INDEX(Turno!$C$3:$V$32,MATCH($C383,Turno!$B$3:$B$32,0),MATCH(DAY($A383),Turno!$C$1:$V$1,0)),""))</f>
        <v/>
      </c>
      <c r="T383" t="str">
        <f>IF(OR($E383="",$S383=""),"",IFERROR(MAX(0,ROUND((INDEX(Config!$D$15:$D$18,MATCH($S383,Config!$B$15:$B$18,0))-$E383)*1440,0)),""))</f>
        <v/>
      </c>
      <c r="U383" s="13" t="str">
        <f>IF(OR($N383="",$T383=""),"",IFERROR(MAX(0,1-($N383+$T383+MAX(0,N($Q383)))/ROUND((INDEX(Config!$D$15:$D$18,MATCH($S383,Config!$B$15:$B$18,0))-INDEX(Config!$C$15:$C$18,MATCH($S383,Config!$B$15:$B$18,0)))*1440,0)),""))</f>
        <v/>
      </c>
      <c r="V383" s="5"/>
    </row>
    <row r="384" spans="1:22" x14ac:dyDescent="0.25">
      <c r="A384" s="11"/>
      <c r="B384" s="5"/>
      <c r="C384" s="6" t="str">
        <f>IFERROR(INDEX(Ejecutivos!$B$2:$B$100,MATCH(B384,Ejecutivos!$A$2:$A$100,0)),"")</f>
        <v/>
      </c>
      <c r="D384" s="12"/>
      <c r="E384" s="12"/>
      <c r="F384" s="12"/>
      <c r="G384" s="12"/>
      <c r="H384" s="5"/>
      <c r="I384" s="5"/>
      <c r="J384" s="5"/>
      <c r="K384" s="5"/>
      <c r="L384" s="18">
        <v>0</v>
      </c>
      <c r="M384" t="str">
        <f t="shared" si="27"/>
        <v/>
      </c>
      <c r="N384" t="str">
        <f>IF(OR($D384="",$S384=""),"",IFERROR(MAX(0,ROUND(($D384-INDEX(Config!$C$15:$C$18,MATCH($S384,Config!$B$15:$B$18,0)))*24*60,0)),""))</f>
        <v/>
      </c>
      <c r="O384" t="str">
        <f t="shared" si="28"/>
        <v/>
      </c>
      <c r="P384" t="str">
        <f t="shared" si="29"/>
        <v/>
      </c>
      <c r="Q384" t="str">
        <f>IF(OR($P384="",$S384=""),"",IFERROR($P384-INDEX(Config!$E$15:$E$18,MATCH($S384,Config!$B$15:$B$18,0)),""))</f>
        <v/>
      </c>
      <c r="R384" t="str">
        <f t="shared" si="30"/>
        <v/>
      </c>
      <c r="S384" s="6" t="str">
        <f>IF(OR($A384="",$C384=""),"",IFERROR(INDEX(Turno!$C$3:$V$32,MATCH($C384,Turno!$B$3:$B$32,0),MATCH(DAY($A384),Turno!$C$1:$V$1,0)),""))</f>
        <v/>
      </c>
      <c r="T384" t="str">
        <f>IF(OR($E384="",$S384=""),"",IFERROR(MAX(0,ROUND((INDEX(Config!$D$15:$D$18,MATCH($S384,Config!$B$15:$B$18,0))-$E384)*1440,0)),""))</f>
        <v/>
      </c>
      <c r="U384" s="13" t="str">
        <f>IF(OR($N384="",$T384=""),"",IFERROR(MAX(0,1-($N384+$T384+MAX(0,N($Q384)))/ROUND((INDEX(Config!$D$15:$D$18,MATCH($S384,Config!$B$15:$B$18,0))-INDEX(Config!$C$15:$C$18,MATCH($S384,Config!$B$15:$B$18,0)))*1440,0)),""))</f>
        <v/>
      </c>
      <c r="V384" s="5"/>
    </row>
    <row r="385" spans="1:22" x14ac:dyDescent="0.25">
      <c r="A385" s="11"/>
      <c r="B385" s="5"/>
      <c r="C385" s="6" t="str">
        <f>IFERROR(INDEX(Ejecutivos!$B$2:$B$100,MATCH(B385,Ejecutivos!$A$2:$A$100,0)),"")</f>
        <v/>
      </c>
      <c r="D385" s="12"/>
      <c r="E385" s="12"/>
      <c r="F385" s="12"/>
      <c r="G385" s="12"/>
      <c r="H385" s="5"/>
      <c r="I385" s="5"/>
      <c r="J385" s="5"/>
      <c r="K385" s="5"/>
      <c r="L385" s="18">
        <v>0</v>
      </c>
      <c r="M385" t="str">
        <f t="shared" si="27"/>
        <v/>
      </c>
      <c r="N385" t="str">
        <f>IF(OR($D385="",$S385=""),"",IFERROR(MAX(0,ROUND(($D385-INDEX(Config!$C$15:$C$18,MATCH($S385,Config!$B$15:$B$18,0)))*24*60,0)),""))</f>
        <v/>
      </c>
      <c r="O385" t="str">
        <f t="shared" si="28"/>
        <v/>
      </c>
      <c r="P385" t="str">
        <f t="shared" si="29"/>
        <v/>
      </c>
      <c r="Q385" t="str">
        <f>IF(OR($P385="",$S385=""),"",IFERROR($P385-INDEX(Config!$E$15:$E$18,MATCH($S385,Config!$B$15:$B$18,0)),""))</f>
        <v/>
      </c>
      <c r="R385" t="str">
        <f t="shared" si="30"/>
        <v/>
      </c>
      <c r="S385" s="6" t="str">
        <f>IF(OR($A385="",$C385=""),"",IFERROR(INDEX(Turno!$C$3:$V$32,MATCH($C385,Turno!$B$3:$B$32,0),MATCH(DAY($A385),Turno!$C$1:$V$1,0)),""))</f>
        <v/>
      </c>
      <c r="T385" t="str">
        <f>IF(OR($E385="",$S385=""),"",IFERROR(MAX(0,ROUND((INDEX(Config!$D$15:$D$18,MATCH($S385,Config!$B$15:$B$18,0))-$E385)*1440,0)),""))</f>
        <v/>
      </c>
      <c r="U385" s="13" t="str">
        <f>IF(OR($N385="",$T385=""),"",IFERROR(MAX(0,1-($N385+$T385+MAX(0,N($Q385)))/ROUND((INDEX(Config!$D$15:$D$18,MATCH($S385,Config!$B$15:$B$18,0))-INDEX(Config!$C$15:$C$18,MATCH($S385,Config!$B$15:$B$18,0)))*1440,0)),""))</f>
        <v/>
      </c>
      <c r="V385" s="5"/>
    </row>
    <row r="386" spans="1:22" x14ac:dyDescent="0.25">
      <c r="A386" s="11"/>
      <c r="B386" s="5"/>
      <c r="C386" s="6" t="str">
        <f>IFERROR(INDEX(Ejecutivos!$B$2:$B$100,MATCH(B386,Ejecutivos!$A$2:$A$100,0)),"")</f>
        <v/>
      </c>
      <c r="D386" s="12"/>
      <c r="E386" s="12"/>
      <c r="F386" s="12"/>
      <c r="G386" s="12"/>
      <c r="H386" s="5"/>
      <c r="I386" s="5"/>
      <c r="J386" s="5"/>
      <c r="K386" s="5"/>
      <c r="L386" s="18">
        <v>0</v>
      </c>
      <c r="M386" t="str">
        <f t="shared" si="27"/>
        <v/>
      </c>
      <c r="N386" t="str">
        <f>IF(OR($D386="",$S386=""),"",IFERROR(MAX(0,ROUND(($D386-INDEX(Config!$C$15:$C$18,MATCH($S386,Config!$B$15:$B$18,0)))*24*60,0)),""))</f>
        <v/>
      </c>
      <c r="O386" t="str">
        <f t="shared" si="28"/>
        <v/>
      </c>
      <c r="P386" t="str">
        <f t="shared" si="29"/>
        <v/>
      </c>
      <c r="Q386" t="str">
        <f>IF(OR($P386="",$S386=""),"",IFERROR($P386-INDEX(Config!$E$15:$E$18,MATCH($S386,Config!$B$15:$B$18,0)),""))</f>
        <v/>
      </c>
      <c r="R386" t="str">
        <f t="shared" si="30"/>
        <v/>
      </c>
      <c r="S386" s="6" t="str">
        <f>IF(OR($A386="",$C386=""),"",IFERROR(INDEX(Turno!$C$3:$V$32,MATCH($C386,Turno!$B$3:$B$32,0),MATCH(DAY($A386),Turno!$C$1:$V$1,0)),""))</f>
        <v/>
      </c>
      <c r="T386" t="str">
        <f>IF(OR($E386="",$S386=""),"",IFERROR(MAX(0,ROUND((INDEX(Config!$D$15:$D$18,MATCH($S386,Config!$B$15:$B$18,0))-$E386)*1440,0)),""))</f>
        <v/>
      </c>
      <c r="U386" s="13" t="str">
        <f>IF(OR($N386="",$T386=""),"",IFERROR(MAX(0,1-($N386+$T386+MAX(0,N($Q386)))/ROUND((INDEX(Config!$D$15:$D$18,MATCH($S386,Config!$B$15:$B$18,0))-INDEX(Config!$C$15:$C$18,MATCH($S386,Config!$B$15:$B$18,0)))*1440,0)),""))</f>
        <v/>
      </c>
      <c r="V386" s="5"/>
    </row>
    <row r="387" spans="1:22" x14ac:dyDescent="0.25">
      <c r="A387" s="11"/>
      <c r="B387" s="5"/>
      <c r="C387" s="6" t="str">
        <f>IFERROR(INDEX(Ejecutivos!$B$2:$B$100,MATCH(B387,Ejecutivos!$A$2:$A$100,0)),"")</f>
        <v/>
      </c>
      <c r="D387" s="12"/>
      <c r="E387" s="12"/>
      <c r="F387" s="12"/>
      <c r="G387" s="12"/>
      <c r="H387" s="5"/>
      <c r="I387" s="5"/>
      <c r="J387" s="5"/>
      <c r="K387" s="5"/>
      <c r="L387" s="18">
        <v>0</v>
      </c>
      <c r="M387" t="str">
        <f t="shared" si="27"/>
        <v/>
      </c>
      <c r="N387" t="str">
        <f>IF(OR($D387="",$S387=""),"",IFERROR(MAX(0,ROUND(($D387-INDEX(Config!$C$15:$C$18,MATCH($S387,Config!$B$15:$B$18,0)))*24*60,0)),""))</f>
        <v/>
      </c>
      <c r="O387" t="str">
        <f t="shared" si="28"/>
        <v/>
      </c>
      <c r="P387" t="str">
        <f t="shared" si="29"/>
        <v/>
      </c>
      <c r="Q387" t="str">
        <f>IF(OR($P387="",$S387=""),"",IFERROR($P387-INDEX(Config!$E$15:$E$18,MATCH($S387,Config!$B$15:$B$18,0)),""))</f>
        <v/>
      </c>
      <c r="R387" t="str">
        <f t="shared" si="30"/>
        <v/>
      </c>
      <c r="S387" s="6" t="str">
        <f>IF(OR($A387="",$C387=""),"",IFERROR(INDEX(Turno!$C$3:$V$32,MATCH($C387,Turno!$B$3:$B$32,0),MATCH(DAY($A387),Turno!$C$1:$V$1,0)),""))</f>
        <v/>
      </c>
      <c r="T387" t="str">
        <f>IF(OR($E387="",$S387=""),"",IFERROR(MAX(0,ROUND((INDEX(Config!$D$15:$D$18,MATCH($S387,Config!$B$15:$B$18,0))-$E387)*1440,0)),""))</f>
        <v/>
      </c>
      <c r="U387" s="13" t="str">
        <f>IF(OR($N387="",$T387=""),"",IFERROR(MAX(0,1-($N387+$T387+MAX(0,N($Q387)))/ROUND((INDEX(Config!$D$15:$D$18,MATCH($S387,Config!$B$15:$B$18,0))-INDEX(Config!$C$15:$C$18,MATCH($S387,Config!$B$15:$B$18,0)))*1440,0)),""))</f>
        <v/>
      </c>
      <c r="V387" s="5"/>
    </row>
    <row r="388" spans="1:22" x14ac:dyDescent="0.25">
      <c r="A388" s="11"/>
      <c r="B388" s="5"/>
      <c r="C388" s="6" t="str">
        <f>IFERROR(INDEX(Ejecutivos!$B$2:$B$100,MATCH(B388,Ejecutivos!$A$2:$A$100,0)),"")</f>
        <v/>
      </c>
      <c r="D388" s="12"/>
      <c r="E388" s="12"/>
      <c r="F388" s="12"/>
      <c r="G388" s="12"/>
      <c r="H388" s="5"/>
      <c r="I388" s="5"/>
      <c r="J388" s="5"/>
      <c r="K388" s="5"/>
      <c r="L388" s="18">
        <v>0</v>
      </c>
      <c r="M388" t="str">
        <f t="shared" si="27"/>
        <v/>
      </c>
      <c r="N388" t="str">
        <f>IF(OR($D388="",$S388=""),"",IFERROR(MAX(0,ROUND(($D388-INDEX(Config!$C$15:$C$18,MATCH($S388,Config!$B$15:$B$18,0)))*24*60,0)),""))</f>
        <v/>
      </c>
      <c r="O388" t="str">
        <f t="shared" si="28"/>
        <v/>
      </c>
      <c r="P388" t="str">
        <f t="shared" si="29"/>
        <v/>
      </c>
      <c r="Q388" t="str">
        <f>IF(OR($P388="",$S388=""),"",IFERROR($P388-INDEX(Config!$E$15:$E$18,MATCH($S388,Config!$B$15:$B$18,0)),""))</f>
        <v/>
      </c>
      <c r="R388" t="str">
        <f t="shared" si="30"/>
        <v/>
      </c>
      <c r="S388" s="6" t="str">
        <f>IF(OR($A388="",$C388=""),"",IFERROR(INDEX(Turno!$C$3:$V$32,MATCH($C388,Turno!$B$3:$B$32,0),MATCH(DAY($A388),Turno!$C$1:$V$1,0)),""))</f>
        <v/>
      </c>
      <c r="T388" t="str">
        <f>IF(OR($E388="",$S388=""),"",IFERROR(MAX(0,ROUND((INDEX(Config!$D$15:$D$18,MATCH($S388,Config!$B$15:$B$18,0))-$E388)*1440,0)),""))</f>
        <v/>
      </c>
      <c r="U388" s="13" t="str">
        <f>IF(OR($N388="",$T388=""),"",IFERROR(MAX(0,1-($N388+$T388+MAX(0,N($Q388)))/ROUND((INDEX(Config!$D$15:$D$18,MATCH($S388,Config!$B$15:$B$18,0))-INDEX(Config!$C$15:$C$18,MATCH($S388,Config!$B$15:$B$18,0)))*1440,0)),""))</f>
        <v/>
      </c>
      <c r="V388" s="5"/>
    </row>
    <row r="389" spans="1:22" x14ac:dyDescent="0.25">
      <c r="A389" s="11"/>
      <c r="B389" s="5"/>
      <c r="C389" s="6" t="str">
        <f>IFERROR(INDEX(Ejecutivos!$B$2:$B$100,MATCH(B389,Ejecutivos!$A$2:$A$100,0)),"")</f>
        <v/>
      </c>
      <c r="D389" s="12"/>
      <c r="E389" s="12"/>
      <c r="F389" s="12"/>
      <c r="G389" s="12"/>
      <c r="H389" s="5"/>
      <c r="I389" s="5"/>
      <c r="J389" s="5"/>
      <c r="K389" s="5"/>
      <c r="L389" s="18">
        <v>0</v>
      </c>
      <c r="M389" t="str">
        <f t="shared" si="27"/>
        <v/>
      </c>
      <c r="N389" t="str">
        <f>IF(OR($D389="",$S389=""),"",IFERROR(MAX(0,ROUND(($D389-INDEX(Config!$C$15:$C$18,MATCH($S389,Config!$B$15:$B$18,0)))*24*60,0)),""))</f>
        <v/>
      </c>
      <c r="O389" t="str">
        <f t="shared" si="28"/>
        <v/>
      </c>
      <c r="P389" t="str">
        <f t="shared" si="29"/>
        <v/>
      </c>
      <c r="Q389" t="str">
        <f>IF(OR($P389="",$S389=""),"",IFERROR($P389-INDEX(Config!$E$15:$E$18,MATCH($S389,Config!$B$15:$B$18,0)),""))</f>
        <v/>
      </c>
      <c r="R389" t="str">
        <f t="shared" si="30"/>
        <v/>
      </c>
      <c r="S389" s="6" t="str">
        <f>IF(OR($A389="",$C389=""),"",IFERROR(INDEX(Turno!$C$3:$V$32,MATCH($C389,Turno!$B$3:$B$32,0),MATCH(DAY($A389),Turno!$C$1:$V$1,0)),""))</f>
        <v/>
      </c>
      <c r="T389" t="str">
        <f>IF(OR($E389="",$S389=""),"",IFERROR(MAX(0,ROUND((INDEX(Config!$D$15:$D$18,MATCH($S389,Config!$B$15:$B$18,0))-$E389)*1440,0)),""))</f>
        <v/>
      </c>
      <c r="U389" s="13" t="str">
        <f>IF(OR($N389="",$T389=""),"",IFERROR(MAX(0,1-($N389+$T389+MAX(0,N($Q389)))/ROUND((INDEX(Config!$D$15:$D$18,MATCH($S389,Config!$B$15:$B$18,0))-INDEX(Config!$C$15:$C$18,MATCH($S389,Config!$B$15:$B$18,0)))*1440,0)),""))</f>
        <v/>
      </c>
      <c r="V389" s="5"/>
    </row>
    <row r="390" spans="1:22" x14ac:dyDescent="0.25">
      <c r="A390" s="11"/>
      <c r="B390" s="5"/>
      <c r="C390" s="6" t="str">
        <f>IFERROR(INDEX(Ejecutivos!$B$2:$B$100,MATCH(B390,Ejecutivos!$A$2:$A$100,0)),"")</f>
        <v/>
      </c>
      <c r="D390" s="12"/>
      <c r="E390" s="12"/>
      <c r="F390" s="12"/>
      <c r="G390" s="12"/>
      <c r="H390" s="5"/>
      <c r="I390" s="5"/>
      <c r="J390" s="5"/>
      <c r="K390" s="5"/>
      <c r="L390" s="18">
        <v>0</v>
      </c>
      <c r="M390" t="str">
        <f t="shared" si="27"/>
        <v/>
      </c>
      <c r="N390" t="str">
        <f>IF(OR($D390="",$S390=""),"",IFERROR(MAX(0,ROUND(($D390-INDEX(Config!$C$15:$C$18,MATCH($S390,Config!$B$15:$B$18,0)))*24*60,0)),""))</f>
        <v/>
      </c>
      <c r="O390" t="str">
        <f t="shared" si="28"/>
        <v/>
      </c>
      <c r="P390" t="str">
        <f t="shared" si="29"/>
        <v/>
      </c>
      <c r="Q390" t="str">
        <f>IF(OR($P390="",$S390=""),"",IFERROR($P390-INDEX(Config!$E$15:$E$18,MATCH($S390,Config!$B$15:$B$18,0)),""))</f>
        <v/>
      </c>
      <c r="R390" t="str">
        <f t="shared" si="30"/>
        <v/>
      </c>
      <c r="S390" s="6" t="str">
        <f>IF(OR($A390="",$C390=""),"",IFERROR(INDEX(Turno!$C$3:$V$32,MATCH($C390,Turno!$B$3:$B$32,0),MATCH(DAY($A390),Turno!$C$1:$V$1,0)),""))</f>
        <v/>
      </c>
      <c r="T390" t="str">
        <f>IF(OR($E390="",$S390=""),"",IFERROR(MAX(0,ROUND((INDEX(Config!$D$15:$D$18,MATCH($S390,Config!$B$15:$B$18,0))-$E390)*1440,0)),""))</f>
        <v/>
      </c>
      <c r="U390" s="13" t="str">
        <f>IF(OR($N390="",$T390=""),"",IFERROR(MAX(0,1-($N390+$T390+MAX(0,N($Q390)))/ROUND((INDEX(Config!$D$15:$D$18,MATCH($S390,Config!$B$15:$B$18,0))-INDEX(Config!$C$15:$C$18,MATCH($S390,Config!$B$15:$B$18,0)))*1440,0)),""))</f>
        <v/>
      </c>
      <c r="V390" s="5"/>
    </row>
    <row r="391" spans="1:22" x14ac:dyDescent="0.25">
      <c r="A391" s="11"/>
      <c r="B391" s="5"/>
      <c r="C391" s="6" t="str">
        <f>IFERROR(INDEX(Ejecutivos!$B$2:$B$100,MATCH(B391,Ejecutivos!$A$2:$A$100,0)),"")</f>
        <v/>
      </c>
      <c r="D391" s="12"/>
      <c r="E391" s="12"/>
      <c r="F391" s="12"/>
      <c r="G391" s="12"/>
      <c r="H391" s="5"/>
      <c r="I391" s="5"/>
      <c r="J391" s="5"/>
      <c r="K391" s="5"/>
      <c r="L391" s="18">
        <v>0</v>
      </c>
      <c r="M391" t="str">
        <f t="shared" si="27"/>
        <v/>
      </c>
      <c r="N391" t="str">
        <f>IF(OR($D391="",$S391=""),"",IFERROR(MAX(0,ROUND(($D391-INDEX(Config!$C$15:$C$18,MATCH($S391,Config!$B$15:$B$18,0)))*24*60,0)),""))</f>
        <v/>
      </c>
      <c r="O391" t="str">
        <f t="shared" si="28"/>
        <v/>
      </c>
      <c r="P391" t="str">
        <f t="shared" si="29"/>
        <v/>
      </c>
      <c r="Q391" t="str">
        <f>IF(OR($P391="",$S391=""),"",IFERROR($P391-INDEX(Config!$E$15:$E$18,MATCH($S391,Config!$B$15:$B$18,0)),""))</f>
        <v/>
      </c>
      <c r="R391" t="str">
        <f t="shared" si="30"/>
        <v/>
      </c>
      <c r="S391" s="6" t="str">
        <f>IF(OR($A391="",$C391=""),"",IFERROR(INDEX(Turno!$C$3:$V$32,MATCH($C391,Turno!$B$3:$B$32,0),MATCH(DAY($A391),Turno!$C$1:$V$1,0)),""))</f>
        <v/>
      </c>
      <c r="T391" t="str">
        <f>IF(OR($E391="",$S391=""),"",IFERROR(MAX(0,ROUND((INDEX(Config!$D$15:$D$18,MATCH($S391,Config!$B$15:$B$18,0))-$E391)*1440,0)),""))</f>
        <v/>
      </c>
      <c r="U391" s="13" t="str">
        <f>IF(OR($N391="",$T391=""),"",IFERROR(MAX(0,1-($N391+$T391+MAX(0,N($Q391)))/ROUND((INDEX(Config!$D$15:$D$18,MATCH($S391,Config!$B$15:$B$18,0))-INDEX(Config!$C$15:$C$18,MATCH($S391,Config!$B$15:$B$18,0)))*1440,0)),""))</f>
        <v/>
      </c>
      <c r="V391" s="5"/>
    </row>
    <row r="392" spans="1:22" x14ac:dyDescent="0.25">
      <c r="A392" s="11"/>
      <c r="B392" s="5"/>
      <c r="C392" s="6" t="str">
        <f>IFERROR(INDEX(Ejecutivos!$B$2:$B$100,MATCH(B392,Ejecutivos!$A$2:$A$100,0)),"")</f>
        <v/>
      </c>
      <c r="D392" s="12"/>
      <c r="E392" s="12"/>
      <c r="F392" s="12"/>
      <c r="G392" s="12"/>
      <c r="H392" s="5"/>
      <c r="I392" s="5"/>
      <c r="J392" s="5"/>
      <c r="K392" s="5"/>
      <c r="L392" s="18">
        <v>0</v>
      </c>
      <c r="M392" t="str">
        <f t="shared" si="27"/>
        <v/>
      </c>
      <c r="N392" t="str">
        <f>IF(OR($D392="",$S392=""),"",IFERROR(MAX(0,ROUND(($D392-INDEX(Config!$C$15:$C$18,MATCH($S392,Config!$B$15:$B$18,0)))*24*60,0)),""))</f>
        <v/>
      </c>
      <c r="O392" t="str">
        <f t="shared" si="28"/>
        <v/>
      </c>
      <c r="P392" t="str">
        <f t="shared" si="29"/>
        <v/>
      </c>
      <c r="Q392" t="str">
        <f>IF(OR($P392="",$S392=""),"",IFERROR($P392-INDEX(Config!$E$15:$E$18,MATCH($S392,Config!$B$15:$B$18,0)),""))</f>
        <v/>
      </c>
      <c r="R392" t="str">
        <f t="shared" si="30"/>
        <v/>
      </c>
      <c r="S392" s="6" t="str">
        <f>IF(OR($A392="",$C392=""),"",IFERROR(INDEX(Turno!$C$3:$V$32,MATCH($C392,Turno!$B$3:$B$32,0),MATCH(DAY($A392),Turno!$C$1:$V$1,0)),""))</f>
        <v/>
      </c>
      <c r="T392" t="str">
        <f>IF(OR($E392="",$S392=""),"",IFERROR(MAX(0,ROUND((INDEX(Config!$D$15:$D$18,MATCH($S392,Config!$B$15:$B$18,0))-$E392)*1440,0)),""))</f>
        <v/>
      </c>
      <c r="U392" s="13" t="str">
        <f>IF(OR($N392="",$T392=""),"",IFERROR(MAX(0,1-($N392+$T392+MAX(0,N($Q392)))/ROUND((INDEX(Config!$D$15:$D$18,MATCH($S392,Config!$B$15:$B$18,0))-INDEX(Config!$C$15:$C$18,MATCH($S392,Config!$B$15:$B$18,0)))*1440,0)),""))</f>
        <v/>
      </c>
      <c r="V392" s="5"/>
    </row>
    <row r="393" spans="1:22" x14ac:dyDescent="0.25">
      <c r="A393" s="11"/>
      <c r="B393" s="5"/>
      <c r="C393" s="6" t="str">
        <f>IFERROR(INDEX(Ejecutivos!$B$2:$B$100,MATCH(B393,Ejecutivos!$A$2:$A$100,0)),"")</f>
        <v/>
      </c>
      <c r="D393" s="12"/>
      <c r="E393" s="12"/>
      <c r="F393" s="12"/>
      <c r="G393" s="12"/>
      <c r="H393" s="5"/>
      <c r="I393" s="5"/>
      <c r="J393" s="5"/>
      <c r="K393" s="5"/>
      <c r="L393" s="18">
        <v>0</v>
      </c>
      <c r="M393" t="str">
        <f t="shared" si="27"/>
        <v/>
      </c>
      <c r="N393" t="str">
        <f>IF(OR($D393="",$S393=""),"",IFERROR(MAX(0,ROUND(($D393-INDEX(Config!$C$15:$C$18,MATCH($S393,Config!$B$15:$B$18,0)))*24*60,0)),""))</f>
        <v/>
      </c>
      <c r="O393" t="str">
        <f t="shared" si="28"/>
        <v/>
      </c>
      <c r="P393" t="str">
        <f t="shared" si="29"/>
        <v/>
      </c>
      <c r="Q393" t="str">
        <f>IF(OR($P393="",$S393=""),"",IFERROR($P393-INDEX(Config!$E$15:$E$18,MATCH($S393,Config!$B$15:$B$18,0)),""))</f>
        <v/>
      </c>
      <c r="R393" t="str">
        <f t="shared" si="30"/>
        <v/>
      </c>
      <c r="S393" s="6" t="str">
        <f>IF(OR($A393="",$C393=""),"",IFERROR(INDEX(Turno!$C$3:$V$32,MATCH($C393,Turno!$B$3:$B$32,0),MATCH(DAY($A393),Turno!$C$1:$V$1,0)),""))</f>
        <v/>
      </c>
      <c r="T393" t="str">
        <f>IF(OR($E393="",$S393=""),"",IFERROR(MAX(0,ROUND((INDEX(Config!$D$15:$D$18,MATCH($S393,Config!$B$15:$B$18,0))-$E393)*1440,0)),""))</f>
        <v/>
      </c>
      <c r="U393" s="13" t="str">
        <f>IF(OR($N393="",$T393=""),"",IFERROR(MAX(0,1-($N393+$T393+MAX(0,N($Q393)))/ROUND((INDEX(Config!$D$15:$D$18,MATCH($S393,Config!$B$15:$B$18,0))-INDEX(Config!$C$15:$C$18,MATCH($S393,Config!$B$15:$B$18,0)))*1440,0)),""))</f>
        <v/>
      </c>
      <c r="V393" s="5"/>
    </row>
    <row r="394" spans="1:22" x14ac:dyDescent="0.25">
      <c r="A394" s="11"/>
      <c r="B394" s="5"/>
      <c r="C394" s="6" t="str">
        <f>IFERROR(INDEX(Ejecutivos!$B$2:$B$100,MATCH(B394,Ejecutivos!$A$2:$A$100,0)),"")</f>
        <v/>
      </c>
      <c r="D394" s="12"/>
      <c r="E394" s="12"/>
      <c r="F394" s="12"/>
      <c r="G394" s="12"/>
      <c r="H394" s="5"/>
      <c r="I394" s="5"/>
      <c r="J394" s="5"/>
      <c r="K394" s="5"/>
      <c r="L394" s="18">
        <v>0</v>
      </c>
      <c r="M394" t="str">
        <f t="shared" si="27"/>
        <v/>
      </c>
      <c r="N394" t="str">
        <f>IF(OR($D394="",$S394=""),"",IFERROR(MAX(0,ROUND(($D394-INDEX(Config!$C$15:$C$18,MATCH($S394,Config!$B$15:$B$18,0)))*24*60,0)),""))</f>
        <v/>
      </c>
      <c r="O394" t="str">
        <f t="shared" si="28"/>
        <v/>
      </c>
      <c r="P394" t="str">
        <f t="shared" si="29"/>
        <v/>
      </c>
      <c r="Q394" t="str">
        <f>IF(OR($P394="",$S394=""),"",IFERROR($P394-INDEX(Config!$E$15:$E$18,MATCH($S394,Config!$B$15:$B$18,0)),""))</f>
        <v/>
      </c>
      <c r="R394" t="str">
        <f t="shared" si="30"/>
        <v/>
      </c>
      <c r="S394" s="6" t="str">
        <f>IF(OR($A394="",$C394=""),"",IFERROR(INDEX(Turno!$C$3:$V$32,MATCH($C394,Turno!$B$3:$B$32,0),MATCH(DAY($A394),Turno!$C$1:$V$1,0)),""))</f>
        <v/>
      </c>
      <c r="T394" t="str">
        <f>IF(OR($E394="",$S394=""),"",IFERROR(MAX(0,ROUND((INDEX(Config!$D$15:$D$18,MATCH($S394,Config!$B$15:$B$18,0))-$E394)*1440,0)),""))</f>
        <v/>
      </c>
      <c r="U394" s="13" t="str">
        <f>IF(OR($N394="",$T394=""),"",IFERROR(MAX(0,1-($N394+$T394+MAX(0,N($Q394)))/ROUND((INDEX(Config!$D$15:$D$18,MATCH($S394,Config!$B$15:$B$18,0))-INDEX(Config!$C$15:$C$18,MATCH($S394,Config!$B$15:$B$18,0)))*1440,0)),""))</f>
        <v/>
      </c>
      <c r="V394" s="5"/>
    </row>
    <row r="395" spans="1:22" x14ac:dyDescent="0.25">
      <c r="A395" s="11"/>
      <c r="B395" s="5"/>
      <c r="C395" s="6" t="str">
        <f>IFERROR(INDEX(Ejecutivos!$B$2:$B$100,MATCH(B395,Ejecutivos!$A$2:$A$100,0)),"")</f>
        <v/>
      </c>
      <c r="D395" s="12"/>
      <c r="E395" s="12"/>
      <c r="F395" s="12"/>
      <c r="G395" s="12"/>
      <c r="H395" s="5"/>
      <c r="I395" s="5"/>
      <c r="J395" s="5"/>
      <c r="K395" s="5"/>
      <c r="L395" s="18">
        <v>0</v>
      </c>
      <c r="M395" t="str">
        <f t="shared" si="27"/>
        <v/>
      </c>
      <c r="N395" t="str">
        <f>IF(OR($D395="",$S395=""),"",IFERROR(MAX(0,ROUND(($D395-INDEX(Config!$C$15:$C$18,MATCH($S395,Config!$B$15:$B$18,0)))*24*60,0)),""))</f>
        <v/>
      </c>
      <c r="O395" t="str">
        <f t="shared" si="28"/>
        <v/>
      </c>
      <c r="P395" t="str">
        <f t="shared" si="29"/>
        <v/>
      </c>
      <c r="Q395" t="str">
        <f>IF(OR($P395="",$S395=""),"",IFERROR($P395-INDEX(Config!$E$15:$E$18,MATCH($S395,Config!$B$15:$B$18,0)),""))</f>
        <v/>
      </c>
      <c r="R395" t="str">
        <f t="shared" si="30"/>
        <v/>
      </c>
      <c r="S395" s="6" t="str">
        <f>IF(OR($A395="",$C395=""),"",IFERROR(INDEX(Turno!$C$3:$V$32,MATCH($C395,Turno!$B$3:$B$32,0),MATCH(DAY($A395),Turno!$C$1:$V$1,0)),""))</f>
        <v/>
      </c>
      <c r="T395" t="str">
        <f>IF(OR($E395="",$S395=""),"",IFERROR(MAX(0,ROUND((INDEX(Config!$D$15:$D$18,MATCH($S395,Config!$B$15:$B$18,0))-$E395)*1440,0)),""))</f>
        <v/>
      </c>
      <c r="U395" s="13" t="str">
        <f>IF(OR($N395="",$T395=""),"",IFERROR(MAX(0,1-($N395+$T395+MAX(0,N($Q395)))/ROUND((INDEX(Config!$D$15:$D$18,MATCH($S395,Config!$B$15:$B$18,0))-INDEX(Config!$C$15:$C$18,MATCH($S395,Config!$B$15:$B$18,0)))*1440,0)),""))</f>
        <v/>
      </c>
      <c r="V395" s="5"/>
    </row>
    <row r="396" spans="1:22" x14ac:dyDescent="0.25">
      <c r="A396" s="11"/>
      <c r="B396" s="5"/>
      <c r="C396" s="6" t="str">
        <f>IFERROR(INDEX(Ejecutivos!$B$2:$B$100,MATCH(B396,Ejecutivos!$A$2:$A$100,0)),"")</f>
        <v/>
      </c>
      <c r="D396" s="12"/>
      <c r="E396" s="12"/>
      <c r="F396" s="12"/>
      <c r="G396" s="12"/>
      <c r="H396" s="5"/>
      <c r="I396" s="5"/>
      <c r="J396" s="5"/>
      <c r="K396" s="5"/>
      <c r="L396" s="18">
        <v>0</v>
      </c>
      <c r="M396" t="str">
        <f t="shared" si="27"/>
        <v/>
      </c>
      <c r="N396" t="str">
        <f>IF(OR($D396="",$S396=""),"",IFERROR(MAX(0,ROUND(($D396-INDEX(Config!$C$15:$C$18,MATCH($S396,Config!$B$15:$B$18,0)))*24*60,0)),""))</f>
        <v/>
      </c>
      <c r="O396" t="str">
        <f t="shared" si="28"/>
        <v/>
      </c>
      <c r="P396" t="str">
        <f t="shared" si="29"/>
        <v/>
      </c>
      <c r="Q396" t="str">
        <f>IF(OR($P396="",$S396=""),"",IFERROR($P396-INDEX(Config!$E$15:$E$18,MATCH($S396,Config!$B$15:$B$18,0)),""))</f>
        <v/>
      </c>
      <c r="R396" t="str">
        <f t="shared" si="30"/>
        <v/>
      </c>
      <c r="S396" s="6" t="str">
        <f>IF(OR($A396="",$C396=""),"",IFERROR(INDEX(Turno!$C$3:$V$32,MATCH($C396,Turno!$B$3:$B$32,0),MATCH(DAY($A396),Turno!$C$1:$V$1,0)),""))</f>
        <v/>
      </c>
      <c r="T396" t="str">
        <f>IF(OR($E396="",$S396=""),"",IFERROR(MAX(0,ROUND((INDEX(Config!$D$15:$D$18,MATCH($S396,Config!$B$15:$B$18,0))-$E396)*1440,0)),""))</f>
        <v/>
      </c>
      <c r="U396" s="13" t="str">
        <f>IF(OR($N396="",$T396=""),"",IFERROR(MAX(0,1-($N396+$T396+MAX(0,N($Q396)))/ROUND((INDEX(Config!$D$15:$D$18,MATCH($S396,Config!$B$15:$B$18,0))-INDEX(Config!$C$15:$C$18,MATCH($S396,Config!$B$15:$B$18,0)))*1440,0)),""))</f>
        <v/>
      </c>
      <c r="V396" s="5"/>
    </row>
    <row r="397" spans="1:22" x14ac:dyDescent="0.25">
      <c r="A397" s="11"/>
      <c r="B397" s="5"/>
      <c r="C397" s="6" t="str">
        <f>IFERROR(INDEX(Ejecutivos!$B$2:$B$100,MATCH(B397,Ejecutivos!$A$2:$A$100,0)),"")</f>
        <v/>
      </c>
      <c r="D397" s="12"/>
      <c r="E397" s="12"/>
      <c r="F397" s="12"/>
      <c r="G397" s="12"/>
      <c r="H397" s="5"/>
      <c r="I397" s="5"/>
      <c r="J397" s="5"/>
      <c r="K397" s="5"/>
      <c r="L397" s="18">
        <v>0</v>
      </c>
      <c r="M397" t="str">
        <f t="shared" si="27"/>
        <v/>
      </c>
      <c r="N397" t="str">
        <f>IF(OR($D397="",$S397=""),"",IFERROR(MAX(0,ROUND(($D397-INDEX(Config!$C$15:$C$18,MATCH($S397,Config!$B$15:$B$18,0)))*24*60,0)),""))</f>
        <v/>
      </c>
      <c r="O397" t="str">
        <f t="shared" si="28"/>
        <v/>
      </c>
      <c r="P397" t="str">
        <f t="shared" si="29"/>
        <v/>
      </c>
      <c r="Q397" t="str">
        <f>IF(OR($P397="",$S397=""),"",IFERROR($P397-INDEX(Config!$E$15:$E$18,MATCH($S397,Config!$B$15:$B$18,0)),""))</f>
        <v/>
      </c>
      <c r="R397" t="str">
        <f t="shared" si="30"/>
        <v/>
      </c>
      <c r="S397" s="6" t="str">
        <f>IF(OR($A397="",$C397=""),"",IFERROR(INDEX(Turno!$C$3:$V$32,MATCH($C397,Turno!$B$3:$B$32,0),MATCH(DAY($A397),Turno!$C$1:$V$1,0)),""))</f>
        <v/>
      </c>
      <c r="T397" t="str">
        <f>IF(OR($E397="",$S397=""),"",IFERROR(MAX(0,ROUND((INDEX(Config!$D$15:$D$18,MATCH($S397,Config!$B$15:$B$18,0))-$E397)*1440,0)),""))</f>
        <v/>
      </c>
      <c r="U397" s="13" t="str">
        <f>IF(OR($N397="",$T397=""),"",IFERROR(MAX(0,1-($N397+$T397+MAX(0,N($Q397)))/ROUND((INDEX(Config!$D$15:$D$18,MATCH($S397,Config!$B$15:$B$18,0))-INDEX(Config!$C$15:$C$18,MATCH($S397,Config!$B$15:$B$18,0)))*1440,0)),""))</f>
        <v/>
      </c>
      <c r="V397" s="5"/>
    </row>
    <row r="398" spans="1:22" x14ac:dyDescent="0.25">
      <c r="A398" s="11"/>
      <c r="B398" s="5"/>
      <c r="C398" s="6" t="str">
        <f>IFERROR(INDEX(Ejecutivos!$B$2:$B$100,MATCH(B398,Ejecutivos!$A$2:$A$100,0)),"")</f>
        <v/>
      </c>
      <c r="D398" s="12"/>
      <c r="E398" s="12"/>
      <c r="F398" s="12"/>
      <c r="G398" s="12"/>
      <c r="H398" s="5"/>
      <c r="I398" s="5"/>
      <c r="J398" s="5"/>
      <c r="K398" s="5"/>
      <c r="L398" s="18">
        <v>0</v>
      </c>
      <c r="M398" t="str">
        <f t="shared" si="27"/>
        <v/>
      </c>
      <c r="N398" t="str">
        <f>IF(OR($D398="",$S398=""),"",IFERROR(MAX(0,ROUND(($D398-INDEX(Config!$C$15:$C$18,MATCH($S398,Config!$B$15:$B$18,0)))*24*60,0)),""))</f>
        <v/>
      </c>
      <c r="O398" t="str">
        <f t="shared" si="28"/>
        <v/>
      </c>
      <c r="P398" t="str">
        <f t="shared" si="29"/>
        <v/>
      </c>
      <c r="Q398" t="str">
        <f>IF(OR($P398="",$S398=""),"",IFERROR($P398-INDEX(Config!$E$15:$E$18,MATCH($S398,Config!$B$15:$B$18,0)),""))</f>
        <v/>
      </c>
      <c r="R398" t="str">
        <f t="shared" si="30"/>
        <v/>
      </c>
      <c r="S398" s="6" t="str">
        <f>IF(OR($A398="",$C398=""),"",IFERROR(INDEX(Turno!$C$3:$V$32,MATCH($C398,Turno!$B$3:$B$32,0),MATCH(DAY($A398),Turno!$C$1:$V$1,0)),""))</f>
        <v/>
      </c>
      <c r="T398" t="str">
        <f>IF(OR($E398="",$S398=""),"",IFERROR(MAX(0,ROUND((INDEX(Config!$D$15:$D$18,MATCH($S398,Config!$B$15:$B$18,0))-$E398)*1440,0)),""))</f>
        <v/>
      </c>
      <c r="U398" s="13" t="str">
        <f>IF(OR($N398="",$T398=""),"",IFERROR(MAX(0,1-($N398+$T398+MAX(0,N($Q398)))/ROUND((INDEX(Config!$D$15:$D$18,MATCH($S398,Config!$B$15:$B$18,0))-INDEX(Config!$C$15:$C$18,MATCH($S398,Config!$B$15:$B$18,0)))*1440,0)),""))</f>
        <v/>
      </c>
      <c r="V398" s="5"/>
    </row>
    <row r="399" spans="1:22" x14ac:dyDescent="0.25">
      <c r="A399" s="11"/>
      <c r="B399" s="5"/>
      <c r="C399" s="6" t="str">
        <f>IFERROR(INDEX(Ejecutivos!$B$2:$B$100,MATCH(B399,Ejecutivos!$A$2:$A$100,0)),"")</f>
        <v/>
      </c>
      <c r="D399" s="12"/>
      <c r="E399" s="12"/>
      <c r="F399" s="12"/>
      <c r="G399" s="12"/>
      <c r="H399" s="5"/>
      <c r="I399" s="5"/>
      <c r="J399" s="5"/>
      <c r="K399" s="5"/>
      <c r="L399" s="18">
        <v>0</v>
      </c>
      <c r="M399" t="str">
        <f t="shared" si="27"/>
        <v/>
      </c>
      <c r="N399" t="str">
        <f>IF(OR($D399="",$S399=""),"",IFERROR(MAX(0,ROUND(($D399-INDEX(Config!$C$15:$C$18,MATCH($S399,Config!$B$15:$B$18,0)))*24*60,0)),""))</f>
        <v/>
      </c>
      <c r="O399" t="str">
        <f t="shared" si="28"/>
        <v/>
      </c>
      <c r="P399" t="str">
        <f t="shared" si="29"/>
        <v/>
      </c>
      <c r="Q399" t="str">
        <f>IF(OR($P399="",$S399=""),"",IFERROR($P399-INDEX(Config!$E$15:$E$18,MATCH($S399,Config!$B$15:$B$18,0)),""))</f>
        <v/>
      </c>
      <c r="R399" t="str">
        <f t="shared" si="30"/>
        <v/>
      </c>
      <c r="S399" s="6" t="str">
        <f>IF(OR($A399="",$C399=""),"",IFERROR(INDEX(Turno!$C$3:$V$32,MATCH($C399,Turno!$B$3:$B$32,0),MATCH(DAY($A399),Turno!$C$1:$V$1,0)),""))</f>
        <v/>
      </c>
      <c r="T399" t="str">
        <f>IF(OR($E399="",$S399=""),"",IFERROR(MAX(0,ROUND((INDEX(Config!$D$15:$D$18,MATCH($S399,Config!$B$15:$B$18,0))-$E399)*1440,0)),""))</f>
        <v/>
      </c>
      <c r="U399" s="13" t="str">
        <f>IF(OR($N399="",$T399=""),"",IFERROR(MAX(0,1-($N399+$T399+MAX(0,N($Q399)))/ROUND((INDEX(Config!$D$15:$D$18,MATCH($S399,Config!$B$15:$B$18,0))-INDEX(Config!$C$15:$C$18,MATCH($S399,Config!$B$15:$B$18,0)))*1440,0)),""))</f>
        <v/>
      </c>
      <c r="V399" s="5"/>
    </row>
    <row r="400" spans="1:22" x14ac:dyDescent="0.25">
      <c r="A400" s="11"/>
      <c r="B400" s="5"/>
      <c r="C400" s="6" t="str">
        <f>IFERROR(INDEX(Ejecutivos!$B$2:$B$100,MATCH(B400,Ejecutivos!$A$2:$A$100,0)),"")</f>
        <v/>
      </c>
      <c r="D400" s="12"/>
      <c r="E400" s="12"/>
      <c r="F400" s="12"/>
      <c r="G400" s="12"/>
      <c r="H400" s="5"/>
      <c r="I400" s="5"/>
      <c r="J400" s="5"/>
      <c r="K400" s="5"/>
      <c r="L400" s="18">
        <v>0</v>
      </c>
      <c r="M400" t="str">
        <f t="shared" si="27"/>
        <v/>
      </c>
      <c r="N400" t="str">
        <f>IF(OR($D400="",$S400=""),"",IFERROR(MAX(0,ROUND(($D400-INDEX(Config!$C$15:$C$18,MATCH($S400,Config!$B$15:$B$18,0)))*24*60,0)),""))</f>
        <v/>
      </c>
      <c r="O400" t="str">
        <f t="shared" si="28"/>
        <v/>
      </c>
      <c r="P400" t="str">
        <f t="shared" si="29"/>
        <v/>
      </c>
      <c r="Q400" t="str">
        <f>IF(OR($P400="",$S400=""),"",IFERROR($P400-INDEX(Config!$E$15:$E$18,MATCH($S400,Config!$B$15:$B$18,0)),""))</f>
        <v/>
      </c>
      <c r="R400" t="str">
        <f t="shared" si="30"/>
        <v/>
      </c>
      <c r="S400" s="6" t="str">
        <f>IF(OR($A400="",$C400=""),"",IFERROR(INDEX(Turno!$C$3:$V$32,MATCH($C400,Turno!$B$3:$B$32,0),MATCH(DAY($A400),Turno!$C$1:$V$1,0)),""))</f>
        <v/>
      </c>
      <c r="T400" t="str">
        <f>IF(OR($E400="",$S400=""),"",IFERROR(MAX(0,ROUND((INDEX(Config!$D$15:$D$18,MATCH($S400,Config!$B$15:$B$18,0))-$E400)*1440,0)),""))</f>
        <v/>
      </c>
      <c r="U400" s="13" t="str">
        <f>IF(OR($N400="",$T400=""),"",IFERROR(MAX(0,1-($N400+$T400+MAX(0,N($Q400)))/ROUND((INDEX(Config!$D$15:$D$18,MATCH($S400,Config!$B$15:$B$18,0))-INDEX(Config!$C$15:$C$18,MATCH($S400,Config!$B$15:$B$18,0)))*1440,0)),""))</f>
        <v/>
      </c>
      <c r="V400" s="5"/>
    </row>
    <row r="401" spans="1:22" x14ac:dyDescent="0.25">
      <c r="A401" s="11"/>
      <c r="B401" s="5"/>
      <c r="C401" s="6" t="str">
        <f>IFERROR(INDEX(Ejecutivos!$B$2:$B$100,MATCH(B401,Ejecutivos!$A$2:$A$100,0)),"")</f>
        <v/>
      </c>
      <c r="D401" s="12"/>
      <c r="E401" s="12"/>
      <c r="F401" s="12"/>
      <c r="G401" s="12"/>
      <c r="H401" s="5"/>
      <c r="I401" s="5"/>
      <c r="J401" s="5"/>
      <c r="K401" s="5"/>
      <c r="L401" s="18">
        <v>0</v>
      </c>
      <c r="M401" t="str">
        <f t="shared" si="27"/>
        <v/>
      </c>
      <c r="N401" t="str">
        <f>IF(OR($D401="",$S401=""),"",IFERROR(MAX(0,ROUND(($D401-INDEX(Config!$C$15:$C$18,MATCH($S401,Config!$B$15:$B$18,0)))*24*60,0)),""))</f>
        <v/>
      </c>
      <c r="O401" t="str">
        <f t="shared" si="28"/>
        <v/>
      </c>
      <c r="P401" t="str">
        <f t="shared" si="29"/>
        <v/>
      </c>
      <c r="Q401" t="str">
        <f>IF(OR($P401="",$S401=""),"",IFERROR($P401-INDEX(Config!$E$15:$E$18,MATCH($S401,Config!$B$15:$B$18,0)),""))</f>
        <v/>
      </c>
      <c r="R401" t="str">
        <f t="shared" si="30"/>
        <v/>
      </c>
      <c r="S401" s="6" t="str">
        <f>IF(OR($A401="",$C401=""),"",IFERROR(INDEX(Turno!$C$3:$V$32,MATCH($C401,Turno!$B$3:$B$32,0),MATCH(DAY($A401),Turno!$C$1:$V$1,0)),""))</f>
        <v/>
      </c>
      <c r="T401" t="str">
        <f>IF(OR($E401="",$S401=""),"",IFERROR(MAX(0,ROUND((INDEX(Config!$D$15:$D$18,MATCH($S401,Config!$B$15:$B$18,0))-$E401)*1440,0)),""))</f>
        <v/>
      </c>
      <c r="U401" s="13" t="str">
        <f>IF(OR($N401="",$T401=""),"",IFERROR(MAX(0,1-($N401+$T401+MAX(0,N($Q401)))/ROUND((INDEX(Config!$D$15:$D$18,MATCH($S401,Config!$B$15:$B$18,0))-INDEX(Config!$C$15:$C$18,MATCH($S401,Config!$B$15:$B$18,0)))*1440,0)),""))</f>
        <v/>
      </c>
      <c r="V401" s="5"/>
    </row>
    <row r="402" spans="1:22" x14ac:dyDescent="0.25">
      <c r="A402" s="11"/>
      <c r="B402" s="5"/>
      <c r="C402" s="6" t="str">
        <f>IFERROR(INDEX(Ejecutivos!$B$2:$B$100,MATCH(B402,Ejecutivos!$A$2:$A$100,0)),"")</f>
        <v/>
      </c>
      <c r="D402" s="12"/>
      <c r="E402" s="12"/>
      <c r="F402" s="12"/>
      <c r="G402" s="12"/>
      <c r="H402" s="5"/>
      <c r="I402" s="5"/>
      <c r="J402" s="5"/>
      <c r="K402" s="5"/>
      <c r="L402" s="18">
        <v>0</v>
      </c>
      <c r="M402" t="str">
        <f t="shared" si="27"/>
        <v/>
      </c>
      <c r="N402" t="str">
        <f>IF(OR($D402="",$S402=""),"",IFERROR(MAX(0,ROUND(($D402-INDEX(Config!$C$15:$C$18,MATCH($S402,Config!$B$15:$B$18,0)))*24*60,0)),""))</f>
        <v/>
      </c>
      <c r="O402" t="str">
        <f t="shared" si="28"/>
        <v/>
      </c>
      <c r="P402" t="str">
        <f t="shared" si="29"/>
        <v/>
      </c>
      <c r="Q402" t="str">
        <f>IF(OR($P402="",$S402=""),"",IFERROR($P402-INDEX(Config!$E$15:$E$18,MATCH($S402,Config!$B$15:$B$18,0)),""))</f>
        <v/>
      </c>
      <c r="R402" t="str">
        <f t="shared" si="30"/>
        <v/>
      </c>
      <c r="S402" s="6" t="str">
        <f>IF(OR($A402="",$C402=""),"",IFERROR(INDEX(Turno!$C$3:$V$32,MATCH($C402,Turno!$B$3:$B$32,0),MATCH(DAY($A402),Turno!$C$1:$V$1,0)),""))</f>
        <v/>
      </c>
      <c r="T402" t="str">
        <f>IF(OR($E402="",$S402=""),"",IFERROR(MAX(0,ROUND((INDEX(Config!$D$15:$D$18,MATCH($S402,Config!$B$15:$B$18,0))-$E402)*1440,0)),""))</f>
        <v/>
      </c>
      <c r="U402" s="13" t="str">
        <f>IF(OR($N402="",$T402=""),"",IFERROR(MAX(0,1-($N402+$T402+MAX(0,N($Q402)))/ROUND((INDEX(Config!$D$15:$D$18,MATCH($S402,Config!$B$15:$B$18,0))-INDEX(Config!$C$15:$C$18,MATCH($S402,Config!$B$15:$B$18,0)))*1440,0)),""))</f>
        <v/>
      </c>
      <c r="V402" s="5"/>
    </row>
    <row r="403" spans="1:22" x14ac:dyDescent="0.25">
      <c r="A403" s="11"/>
      <c r="B403" s="5"/>
      <c r="C403" s="6" t="str">
        <f>IFERROR(INDEX(Ejecutivos!$B$2:$B$100,MATCH(B403,Ejecutivos!$A$2:$A$100,0)),"")</f>
        <v/>
      </c>
      <c r="D403" s="12"/>
      <c r="E403" s="12"/>
      <c r="F403" s="12"/>
      <c r="G403" s="12"/>
      <c r="H403" s="5"/>
      <c r="I403" s="5"/>
      <c r="J403" s="5"/>
      <c r="K403" s="5"/>
      <c r="L403" s="18">
        <v>0</v>
      </c>
      <c r="M403" t="str">
        <f t="shared" si="27"/>
        <v/>
      </c>
      <c r="N403" t="str">
        <f>IF(OR($D403="",$S403=""),"",IFERROR(MAX(0,ROUND(($D403-INDEX(Config!$C$15:$C$18,MATCH($S403,Config!$B$15:$B$18,0)))*24*60,0)),""))</f>
        <v/>
      </c>
      <c r="O403" t="str">
        <f t="shared" si="28"/>
        <v/>
      </c>
      <c r="P403" t="str">
        <f t="shared" si="29"/>
        <v/>
      </c>
      <c r="Q403" t="str">
        <f>IF(OR($P403="",$S403=""),"",IFERROR($P403-INDEX(Config!$E$15:$E$18,MATCH($S403,Config!$B$15:$B$18,0)),""))</f>
        <v/>
      </c>
      <c r="R403" t="str">
        <f t="shared" si="30"/>
        <v/>
      </c>
      <c r="S403" s="6" t="str">
        <f>IF(OR($A403="",$C403=""),"",IFERROR(INDEX(Turno!$C$3:$V$32,MATCH($C403,Turno!$B$3:$B$32,0),MATCH(DAY($A403),Turno!$C$1:$V$1,0)),""))</f>
        <v/>
      </c>
      <c r="T403" t="str">
        <f>IF(OR($E403="",$S403=""),"",IFERROR(MAX(0,ROUND((INDEX(Config!$D$15:$D$18,MATCH($S403,Config!$B$15:$B$18,0))-$E403)*1440,0)),""))</f>
        <v/>
      </c>
      <c r="U403" s="13" t="str">
        <f>IF(OR($N403="",$T403=""),"",IFERROR(MAX(0,1-($N403+$T403+MAX(0,N($Q403)))/ROUND((INDEX(Config!$D$15:$D$18,MATCH($S403,Config!$B$15:$B$18,0))-INDEX(Config!$C$15:$C$18,MATCH($S403,Config!$B$15:$B$18,0)))*1440,0)),""))</f>
        <v/>
      </c>
      <c r="V403" s="5"/>
    </row>
    <row r="404" spans="1:22" x14ac:dyDescent="0.25">
      <c r="A404" s="11"/>
      <c r="B404" s="5"/>
      <c r="C404" s="6" t="str">
        <f>IFERROR(INDEX(Ejecutivos!$B$2:$B$100,MATCH(B404,Ejecutivos!$A$2:$A$100,0)),"")</f>
        <v/>
      </c>
      <c r="D404" s="12"/>
      <c r="E404" s="12"/>
      <c r="F404" s="12"/>
      <c r="G404" s="12"/>
      <c r="H404" s="5"/>
      <c r="I404" s="5"/>
      <c r="J404" s="5"/>
      <c r="K404" s="5"/>
      <c r="L404" s="18">
        <v>0</v>
      </c>
      <c r="M404" t="str">
        <f t="shared" si="27"/>
        <v/>
      </c>
      <c r="N404" t="str">
        <f>IF(OR($D404="",$S404=""),"",IFERROR(MAX(0,ROUND(($D404-INDEX(Config!$C$15:$C$18,MATCH($S404,Config!$B$15:$B$18,0)))*24*60,0)),""))</f>
        <v/>
      </c>
      <c r="O404" t="str">
        <f t="shared" si="28"/>
        <v/>
      </c>
      <c r="P404" t="str">
        <f t="shared" si="29"/>
        <v/>
      </c>
      <c r="Q404" t="str">
        <f>IF(OR($P404="",$S404=""),"",IFERROR($P404-INDEX(Config!$E$15:$E$18,MATCH($S404,Config!$B$15:$B$18,0)),""))</f>
        <v/>
      </c>
      <c r="R404" t="str">
        <f t="shared" si="30"/>
        <v/>
      </c>
      <c r="S404" s="6" t="str">
        <f>IF(OR($A404="",$C404=""),"",IFERROR(INDEX(Turno!$C$3:$V$32,MATCH($C404,Turno!$B$3:$B$32,0),MATCH(DAY($A404),Turno!$C$1:$V$1,0)),""))</f>
        <v/>
      </c>
      <c r="T404" t="str">
        <f>IF(OR($E404="",$S404=""),"",IFERROR(MAX(0,ROUND((INDEX(Config!$D$15:$D$18,MATCH($S404,Config!$B$15:$B$18,0))-$E404)*1440,0)),""))</f>
        <v/>
      </c>
      <c r="U404" s="13" t="str">
        <f>IF(OR($N404="",$T404=""),"",IFERROR(MAX(0,1-($N404+$T404+MAX(0,N($Q404)))/ROUND((INDEX(Config!$D$15:$D$18,MATCH($S404,Config!$B$15:$B$18,0))-INDEX(Config!$C$15:$C$18,MATCH($S404,Config!$B$15:$B$18,0)))*1440,0)),""))</f>
        <v/>
      </c>
      <c r="V404" s="5"/>
    </row>
    <row r="405" spans="1:22" x14ac:dyDescent="0.25">
      <c r="A405" s="11"/>
      <c r="B405" s="5"/>
      <c r="C405" s="6" t="str">
        <f>IFERROR(INDEX(Ejecutivos!$B$2:$B$100,MATCH(B405,Ejecutivos!$A$2:$A$100,0)),"")</f>
        <v/>
      </c>
      <c r="D405" s="12"/>
      <c r="E405" s="12"/>
      <c r="F405" s="12"/>
      <c r="G405" s="12"/>
      <c r="H405" s="5"/>
      <c r="I405" s="5"/>
      <c r="J405" s="5"/>
      <c r="K405" s="5"/>
      <c r="L405" s="18">
        <v>0</v>
      </c>
      <c r="M405" t="str">
        <f t="shared" si="27"/>
        <v/>
      </c>
      <c r="N405" t="str">
        <f>IF(OR($D405="",$S405=""),"",IFERROR(MAX(0,ROUND(($D405-INDEX(Config!$C$15:$C$18,MATCH($S405,Config!$B$15:$B$18,0)))*24*60,0)),""))</f>
        <v/>
      </c>
      <c r="O405" t="str">
        <f t="shared" si="28"/>
        <v/>
      </c>
      <c r="P405" t="str">
        <f t="shared" si="29"/>
        <v/>
      </c>
      <c r="Q405" t="str">
        <f>IF(OR($P405="",$S405=""),"",IFERROR($P405-INDEX(Config!$E$15:$E$18,MATCH($S405,Config!$B$15:$B$18,0)),""))</f>
        <v/>
      </c>
      <c r="R405" t="str">
        <f t="shared" si="30"/>
        <v/>
      </c>
      <c r="S405" s="6" t="str">
        <f>IF(OR($A405="",$C405=""),"",IFERROR(INDEX(Turno!$C$3:$V$32,MATCH($C405,Turno!$B$3:$B$32,0),MATCH(DAY($A405),Turno!$C$1:$V$1,0)),""))</f>
        <v/>
      </c>
      <c r="T405" t="str">
        <f>IF(OR($E405="",$S405=""),"",IFERROR(MAX(0,ROUND((INDEX(Config!$D$15:$D$18,MATCH($S405,Config!$B$15:$B$18,0))-$E405)*1440,0)),""))</f>
        <v/>
      </c>
      <c r="U405" s="13" t="str">
        <f>IF(OR($N405="",$T405=""),"",IFERROR(MAX(0,1-($N405+$T405+MAX(0,N($Q405)))/ROUND((INDEX(Config!$D$15:$D$18,MATCH($S405,Config!$B$15:$B$18,0))-INDEX(Config!$C$15:$C$18,MATCH($S405,Config!$B$15:$B$18,0)))*1440,0)),""))</f>
        <v/>
      </c>
      <c r="V405" s="5"/>
    </row>
    <row r="406" spans="1:22" x14ac:dyDescent="0.25">
      <c r="A406" s="11"/>
      <c r="B406" s="5"/>
      <c r="C406" s="6" t="str">
        <f>IFERROR(INDEX(Ejecutivos!$B$2:$B$100,MATCH(B406,Ejecutivos!$A$2:$A$100,0)),"")</f>
        <v/>
      </c>
      <c r="D406" s="12"/>
      <c r="E406" s="12"/>
      <c r="F406" s="12"/>
      <c r="G406" s="12"/>
      <c r="H406" s="5"/>
      <c r="I406" s="5"/>
      <c r="J406" s="5"/>
      <c r="K406" s="5"/>
      <c r="L406" s="18">
        <v>0</v>
      </c>
      <c r="M406" t="str">
        <f t="shared" si="27"/>
        <v/>
      </c>
      <c r="N406" t="str">
        <f>IF(OR($D406="",$S406=""),"",IFERROR(MAX(0,ROUND(($D406-INDEX(Config!$C$15:$C$18,MATCH($S406,Config!$B$15:$B$18,0)))*24*60,0)),""))</f>
        <v/>
      </c>
      <c r="O406" t="str">
        <f t="shared" si="28"/>
        <v/>
      </c>
      <c r="P406" t="str">
        <f t="shared" si="29"/>
        <v/>
      </c>
      <c r="Q406" t="str">
        <f>IF(OR($P406="",$S406=""),"",IFERROR($P406-INDEX(Config!$E$15:$E$18,MATCH($S406,Config!$B$15:$B$18,0)),""))</f>
        <v/>
      </c>
      <c r="R406" t="str">
        <f t="shared" si="30"/>
        <v/>
      </c>
      <c r="S406" s="6" t="str">
        <f>IF(OR($A406="",$C406=""),"",IFERROR(INDEX(Turno!$C$3:$V$32,MATCH($C406,Turno!$B$3:$B$32,0),MATCH(DAY($A406),Turno!$C$1:$V$1,0)),""))</f>
        <v/>
      </c>
      <c r="T406" t="str">
        <f>IF(OR($E406="",$S406=""),"",IFERROR(MAX(0,ROUND((INDEX(Config!$D$15:$D$18,MATCH($S406,Config!$B$15:$B$18,0))-$E406)*1440,0)),""))</f>
        <v/>
      </c>
      <c r="U406" s="13" t="str">
        <f>IF(OR($N406="",$T406=""),"",IFERROR(MAX(0,1-($N406+$T406+MAX(0,N($Q406)))/ROUND((INDEX(Config!$D$15:$D$18,MATCH($S406,Config!$B$15:$B$18,0))-INDEX(Config!$C$15:$C$18,MATCH($S406,Config!$B$15:$B$18,0)))*1440,0)),""))</f>
        <v/>
      </c>
      <c r="V406" s="5"/>
    </row>
    <row r="407" spans="1:22" x14ac:dyDescent="0.25">
      <c r="A407" s="11"/>
      <c r="B407" s="5"/>
      <c r="C407" s="6" t="str">
        <f>IFERROR(INDEX(Ejecutivos!$B$2:$B$100,MATCH(B407,Ejecutivos!$A$2:$A$100,0)),"")</f>
        <v/>
      </c>
      <c r="D407" s="12"/>
      <c r="E407" s="12"/>
      <c r="F407" s="12"/>
      <c r="G407" s="12"/>
      <c r="H407" s="5"/>
      <c r="I407" s="5"/>
      <c r="J407" s="5"/>
      <c r="K407" s="5"/>
      <c r="L407" s="18">
        <v>0</v>
      </c>
      <c r="M407" t="str">
        <f t="shared" si="27"/>
        <v/>
      </c>
      <c r="N407" t="str">
        <f>IF(OR($D407="",$S407=""),"",IFERROR(MAX(0,ROUND(($D407-INDEX(Config!$C$15:$C$18,MATCH($S407,Config!$B$15:$B$18,0)))*24*60,0)),""))</f>
        <v/>
      </c>
      <c r="O407" t="str">
        <f t="shared" si="28"/>
        <v/>
      </c>
      <c r="P407" t="str">
        <f t="shared" si="29"/>
        <v/>
      </c>
      <c r="Q407" t="str">
        <f>IF(OR($P407="",$S407=""),"",IFERROR($P407-INDEX(Config!$E$15:$E$18,MATCH($S407,Config!$B$15:$B$18,0)),""))</f>
        <v/>
      </c>
      <c r="R407" t="str">
        <f t="shared" si="30"/>
        <v/>
      </c>
      <c r="S407" s="6" t="str">
        <f>IF(OR($A407="",$C407=""),"",IFERROR(INDEX(Turno!$C$3:$V$32,MATCH($C407,Turno!$B$3:$B$32,0),MATCH(DAY($A407),Turno!$C$1:$V$1,0)),""))</f>
        <v/>
      </c>
      <c r="T407" t="str">
        <f>IF(OR($E407="",$S407=""),"",IFERROR(MAX(0,ROUND((INDEX(Config!$D$15:$D$18,MATCH($S407,Config!$B$15:$B$18,0))-$E407)*1440,0)),""))</f>
        <v/>
      </c>
      <c r="U407" s="13" t="str">
        <f>IF(OR($N407="",$T407=""),"",IFERROR(MAX(0,1-($N407+$T407+MAX(0,N($Q407)))/ROUND((INDEX(Config!$D$15:$D$18,MATCH($S407,Config!$B$15:$B$18,0))-INDEX(Config!$C$15:$C$18,MATCH($S407,Config!$B$15:$B$18,0)))*1440,0)),""))</f>
        <v/>
      </c>
      <c r="V407" s="5"/>
    </row>
    <row r="408" spans="1:22" x14ac:dyDescent="0.25">
      <c r="A408" s="11"/>
      <c r="B408" s="5"/>
      <c r="C408" s="6" t="str">
        <f>IFERROR(INDEX(Ejecutivos!$B$2:$B$100,MATCH(B408,Ejecutivos!$A$2:$A$100,0)),"")</f>
        <v/>
      </c>
      <c r="D408" s="12"/>
      <c r="E408" s="12"/>
      <c r="F408" s="12"/>
      <c r="G408" s="12"/>
      <c r="H408" s="5"/>
      <c r="I408" s="5"/>
      <c r="J408" s="5"/>
      <c r="K408" s="5"/>
      <c r="L408" s="18">
        <v>0</v>
      </c>
      <c r="M408" t="str">
        <f t="shared" si="27"/>
        <v/>
      </c>
      <c r="N408" t="str">
        <f>IF(OR($D408="",$S408=""),"",IFERROR(MAX(0,ROUND(($D408-INDEX(Config!$C$15:$C$18,MATCH($S408,Config!$B$15:$B$18,0)))*24*60,0)),""))</f>
        <v/>
      </c>
      <c r="O408" t="str">
        <f t="shared" si="28"/>
        <v/>
      </c>
      <c r="P408" t="str">
        <f t="shared" si="29"/>
        <v/>
      </c>
      <c r="Q408" t="str">
        <f>IF(OR($P408="",$S408=""),"",IFERROR($P408-INDEX(Config!$E$15:$E$18,MATCH($S408,Config!$B$15:$B$18,0)),""))</f>
        <v/>
      </c>
      <c r="R408" t="str">
        <f t="shared" si="30"/>
        <v/>
      </c>
      <c r="S408" s="6" t="str">
        <f>IF(OR($A408="",$C408=""),"",IFERROR(INDEX(Turno!$C$3:$V$32,MATCH($C408,Turno!$B$3:$B$32,0),MATCH(DAY($A408),Turno!$C$1:$V$1,0)),""))</f>
        <v/>
      </c>
      <c r="T408" t="str">
        <f>IF(OR($E408="",$S408=""),"",IFERROR(MAX(0,ROUND((INDEX(Config!$D$15:$D$18,MATCH($S408,Config!$B$15:$B$18,0))-$E408)*1440,0)),""))</f>
        <v/>
      </c>
      <c r="U408" s="13" t="str">
        <f>IF(OR($N408="",$T408=""),"",IFERROR(MAX(0,1-($N408+$T408+MAX(0,N($Q408)))/ROUND((INDEX(Config!$D$15:$D$18,MATCH($S408,Config!$B$15:$B$18,0))-INDEX(Config!$C$15:$C$18,MATCH($S408,Config!$B$15:$B$18,0)))*1440,0)),""))</f>
        <v/>
      </c>
      <c r="V408" s="5"/>
    </row>
    <row r="409" spans="1:22" x14ac:dyDescent="0.25">
      <c r="A409" s="11"/>
      <c r="B409" s="5"/>
      <c r="C409" s="6" t="str">
        <f>IFERROR(INDEX(Ejecutivos!$B$2:$B$100,MATCH(B409,Ejecutivos!$A$2:$A$100,0)),"")</f>
        <v/>
      </c>
      <c r="D409" s="12"/>
      <c r="E409" s="12"/>
      <c r="F409" s="12"/>
      <c r="G409" s="12"/>
      <c r="H409" s="5"/>
      <c r="I409" s="5"/>
      <c r="J409" s="5"/>
      <c r="K409" s="5"/>
      <c r="L409" s="18">
        <v>0</v>
      </c>
      <c r="M409" t="str">
        <f t="shared" si="27"/>
        <v/>
      </c>
      <c r="N409" t="str">
        <f>IF(OR($D409="",$S409=""),"",IFERROR(MAX(0,ROUND(($D409-INDEX(Config!$C$15:$C$18,MATCH($S409,Config!$B$15:$B$18,0)))*24*60,0)),""))</f>
        <v/>
      </c>
      <c r="O409" t="str">
        <f t="shared" si="28"/>
        <v/>
      </c>
      <c r="P409" t="str">
        <f t="shared" si="29"/>
        <v/>
      </c>
      <c r="Q409" t="str">
        <f>IF(OR($P409="",$S409=""),"",IFERROR($P409-INDEX(Config!$E$15:$E$18,MATCH($S409,Config!$B$15:$B$18,0)),""))</f>
        <v/>
      </c>
      <c r="R409" t="str">
        <f t="shared" si="30"/>
        <v/>
      </c>
      <c r="S409" s="6" t="str">
        <f>IF(OR($A409="",$C409=""),"",IFERROR(INDEX(Turno!$C$3:$V$32,MATCH($C409,Turno!$B$3:$B$32,0),MATCH(DAY($A409),Turno!$C$1:$V$1,0)),""))</f>
        <v/>
      </c>
      <c r="T409" t="str">
        <f>IF(OR($E409="",$S409=""),"",IFERROR(MAX(0,ROUND((INDEX(Config!$D$15:$D$18,MATCH($S409,Config!$B$15:$B$18,0))-$E409)*1440,0)),""))</f>
        <v/>
      </c>
      <c r="U409" s="13" t="str">
        <f>IF(OR($N409="",$T409=""),"",IFERROR(MAX(0,1-($N409+$T409+MAX(0,N($Q409)))/ROUND((INDEX(Config!$D$15:$D$18,MATCH($S409,Config!$B$15:$B$18,0))-INDEX(Config!$C$15:$C$18,MATCH($S409,Config!$B$15:$B$18,0)))*1440,0)),""))</f>
        <v/>
      </c>
      <c r="V409" s="5"/>
    </row>
    <row r="410" spans="1:22" x14ac:dyDescent="0.25">
      <c r="A410" s="11"/>
      <c r="B410" s="5"/>
      <c r="C410" s="6" t="str">
        <f>IFERROR(INDEX(Ejecutivos!$B$2:$B$100,MATCH(B410,Ejecutivos!$A$2:$A$100,0)),"")</f>
        <v/>
      </c>
      <c r="D410" s="12"/>
      <c r="E410" s="12"/>
      <c r="F410" s="12"/>
      <c r="G410" s="12"/>
      <c r="H410" s="5"/>
      <c r="I410" s="5"/>
      <c r="J410" s="5"/>
      <c r="K410" s="5"/>
      <c r="L410" s="18">
        <v>0</v>
      </c>
      <c r="M410" t="str">
        <f t="shared" si="27"/>
        <v/>
      </c>
      <c r="N410" t="str">
        <f>IF(OR($D410="",$S410=""),"",IFERROR(MAX(0,ROUND(($D410-INDEX(Config!$C$15:$C$18,MATCH($S410,Config!$B$15:$B$18,0)))*24*60,0)),""))</f>
        <v/>
      </c>
      <c r="O410" t="str">
        <f t="shared" si="28"/>
        <v/>
      </c>
      <c r="P410" t="str">
        <f t="shared" si="29"/>
        <v/>
      </c>
      <c r="Q410" t="str">
        <f>IF(OR($P410="",$S410=""),"",IFERROR($P410-INDEX(Config!$E$15:$E$18,MATCH($S410,Config!$B$15:$B$18,0)),""))</f>
        <v/>
      </c>
      <c r="R410" t="str">
        <f t="shared" si="30"/>
        <v/>
      </c>
      <c r="S410" s="6" t="str">
        <f>IF(OR($A410="",$C410=""),"",IFERROR(INDEX(Turno!$C$3:$V$32,MATCH($C410,Turno!$B$3:$B$32,0),MATCH(DAY($A410),Turno!$C$1:$V$1,0)),""))</f>
        <v/>
      </c>
      <c r="T410" t="str">
        <f>IF(OR($E410="",$S410=""),"",IFERROR(MAX(0,ROUND((INDEX(Config!$D$15:$D$18,MATCH($S410,Config!$B$15:$B$18,0))-$E410)*1440,0)),""))</f>
        <v/>
      </c>
      <c r="U410" s="13" t="str">
        <f>IF(OR($N410="",$T410=""),"",IFERROR(MAX(0,1-($N410+$T410+MAX(0,N($Q410)))/ROUND((INDEX(Config!$D$15:$D$18,MATCH($S410,Config!$B$15:$B$18,0))-INDEX(Config!$C$15:$C$18,MATCH($S410,Config!$B$15:$B$18,0)))*1440,0)),""))</f>
        <v/>
      </c>
      <c r="V410" s="5"/>
    </row>
    <row r="411" spans="1:22" x14ac:dyDescent="0.25">
      <c r="A411" s="11"/>
      <c r="B411" s="5"/>
      <c r="C411" s="6" t="str">
        <f>IFERROR(INDEX(Ejecutivos!$B$2:$B$100,MATCH(B411,Ejecutivos!$A$2:$A$100,0)),"")</f>
        <v/>
      </c>
      <c r="D411" s="12"/>
      <c r="E411" s="12"/>
      <c r="F411" s="12"/>
      <c r="G411" s="12"/>
      <c r="H411" s="5"/>
      <c r="I411" s="5"/>
      <c r="J411" s="5"/>
      <c r="K411" s="5"/>
      <c r="L411" s="18">
        <v>0</v>
      </c>
      <c r="M411" t="str">
        <f t="shared" si="27"/>
        <v/>
      </c>
      <c r="N411" t="str">
        <f>IF(OR($D411="",$S411=""),"",IFERROR(MAX(0,ROUND(($D411-INDEX(Config!$C$15:$C$18,MATCH($S411,Config!$B$15:$B$18,0)))*24*60,0)),""))</f>
        <v/>
      </c>
      <c r="O411" t="str">
        <f t="shared" si="28"/>
        <v/>
      </c>
      <c r="P411" t="str">
        <f t="shared" si="29"/>
        <v/>
      </c>
      <c r="Q411" t="str">
        <f>IF(OR($P411="",$S411=""),"",IFERROR($P411-INDEX(Config!$E$15:$E$18,MATCH($S411,Config!$B$15:$B$18,0)),""))</f>
        <v/>
      </c>
      <c r="R411" t="str">
        <f t="shared" si="30"/>
        <v/>
      </c>
      <c r="S411" s="6" t="str">
        <f>IF(OR($A411="",$C411=""),"",IFERROR(INDEX(Turno!$C$3:$V$32,MATCH($C411,Turno!$B$3:$B$32,0),MATCH(DAY($A411),Turno!$C$1:$V$1,0)),""))</f>
        <v/>
      </c>
      <c r="T411" t="str">
        <f>IF(OR($E411="",$S411=""),"",IFERROR(MAX(0,ROUND((INDEX(Config!$D$15:$D$18,MATCH($S411,Config!$B$15:$B$18,0))-$E411)*1440,0)),""))</f>
        <v/>
      </c>
      <c r="U411" s="13" t="str">
        <f>IF(OR($N411="",$T411=""),"",IFERROR(MAX(0,1-($N411+$T411+MAX(0,N($Q411)))/ROUND((INDEX(Config!$D$15:$D$18,MATCH($S411,Config!$B$15:$B$18,0))-INDEX(Config!$C$15:$C$18,MATCH($S411,Config!$B$15:$B$18,0)))*1440,0)),""))</f>
        <v/>
      </c>
      <c r="V411" s="5"/>
    </row>
    <row r="412" spans="1:22" x14ac:dyDescent="0.25">
      <c r="A412" s="11"/>
      <c r="B412" s="5"/>
      <c r="C412" s="6" t="str">
        <f>IFERROR(INDEX(Ejecutivos!$B$2:$B$100,MATCH(B412,Ejecutivos!$A$2:$A$100,0)),"")</f>
        <v/>
      </c>
      <c r="D412" s="12"/>
      <c r="E412" s="12"/>
      <c r="F412" s="12"/>
      <c r="G412" s="12"/>
      <c r="H412" s="5"/>
      <c r="I412" s="5"/>
      <c r="J412" s="5"/>
      <c r="K412" s="5"/>
      <c r="L412" s="18">
        <v>0</v>
      </c>
      <c r="M412" t="str">
        <f t="shared" si="27"/>
        <v/>
      </c>
      <c r="N412" t="str">
        <f>IF(OR($D412="",$S412=""),"",IFERROR(MAX(0,ROUND(($D412-INDEX(Config!$C$15:$C$18,MATCH($S412,Config!$B$15:$B$18,0)))*24*60,0)),""))</f>
        <v/>
      </c>
      <c r="O412" t="str">
        <f t="shared" si="28"/>
        <v/>
      </c>
      <c r="P412" t="str">
        <f t="shared" si="29"/>
        <v/>
      </c>
      <c r="Q412" t="str">
        <f>IF(OR($P412="",$S412=""),"",IFERROR($P412-INDEX(Config!$E$15:$E$18,MATCH($S412,Config!$B$15:$B$18,0)),""))</f>
        <v/>
      </c>
      <c r="R412" t="str">
        <f t="shared" si="30"/>
        <v/>
      </c>
      <c r="S412" s="6" t="str">
        <f>IF(OR($A412="",$C412=""),"",IFERROR(INDEX(Turno!$C$3:$V$32,MATCH($C412,Turno!$B$3:$B$32,0),MATCH(DAY($A412),Turno!$C$1:$V$1,0)),""))</f>
        <v/>
      </c>
      <c r="T412" t="str">
        <f>IF(OR($E412="",$S412=""),"",IFERROR(MAX(0,ROUND((INDEX(Config!$D$15:$D$18,MATCH($S412,Config!$B$15:$B$18,0))-$E412)*1440,0)),""))</f>
        <v/>
      </c>
      <c r="U412" s="13" t="str">
        <f>IF(OR($N412="",$T412=""),"",IFERROR(MAX(0,1-($N412+$T412+MAX(0,N($Q412)))/ROUND((INDEX(Config!$D$15:$D$18,MATCH($S412,Config!$B$15:$B$18,0))-INDEX(Config!$C$15:$C$18,MATCH($S412,Config!$B$15:$B$18,0)))*1440,0)),""))</f>
        <v/>
      </c>
      <c r="V412" s="5"/>
    </row>
    <row r="413" spans="1:22" x14ac:dyDescent="0.25">
      <c r="A413" s="11"/>
      <c r="B413" s="5"/>
      <c r="C413" s="6" t="str">
        <f>IFERROR(INDEX(Ejecutivos!$B$2:$B$100,MATCH(B413,Ejecutivos!$A$2:$A$100,0)),"")</f>
        <v/>
      </c>
      <c r="D413" s="12"/>
      <c r="E413" s="12"/>
      <c r="F413" s="12"/>
      <c r="G413" s="12"/>
      <c r="H413" s="5"/>
      <c r="I413" s="5"/>
      <c r="J413" s="5"/>
      <c r="K413" s="5"/>
      <c r="L413" s="18">
        <v>0</v>
      </c>
      <c r="M413" t="str">
        <f t="shared" si="27"/>
        <v/>
      </c>
      <c r="N413" t="str">
        <f>IF(OR($D413="",$S413=""),"",IFERROR(MAX(0,ROUND(($D413-INDEX(Config!$C$15:$C$18,MATCH($S413,Config!$B$15:$B$18,0)))*24*60,0)),""))</f>
        <v/>
      </c>
      <c r="O413" t="str">
        <f t="shared" si="28"/>
        <v/>
      </c>
      <c r="P413" t="str">
        <f t="shared" si="29"/>
        <v/>
      </c>
      <c r="Q413" t="str">
        <f>IF(OR($P413="",$S413=""),"",IFERROR($P413-INDEX(Config!$E$15:$E$18,MATCH($S413,Config!$B$15:$B$18,0)),""))</f>
        <v/>
      </c>
      <c r="R413" t="str">
        <f t="shared" si="30"/>
        <v/>
      </c>
      <c r="S413" s="6" t="str">
        <f>IF(OR($A413="",$C413=""),"",IFERROR(INDEX(Turno!$C$3:$V$32,MATCH($C413,Turno!$B$3:$B$32,0),MATCH(DAY($A413),Turno!$C$1:$V$1,0)),""))</f>
        <v/>
      </c>
      <c r="T413" t="str">
        <f>IF(OR($E413="",$S413=""),"",IFERROR(MAX(0,ROUND((INDEX(Config!$D$15:$D$18,MATCH($S413,Config!$B$15:$B$18,0))-$E413)*1440,0)),""))</f>
        <v/>
      </c>
      <c r="U413" s="13" t="str">
        <f>IF(OR($N413="",$T413=""),"",IFERROR(MAX(0,1-($N413+$T413+MAX(0,N($Q413)))/ROUND((INDEX(Config!$D$15:$D$18,MATCH($S413,Config!$B$15:$B$18,0))-INDEX(Config!$C$15:$C$18,MATCH($S413,Config!$B$15:$B$18,0)))*1440,0)),""))</f>
        <v/>
      </c>
      <c r="V413" s="5"/>
    </row>
    <row r="414" spans="1:22" x14ac:dyDescent="0.25">
      <c r="A414" s="11"/>
      <c r="B414" s="5"/>
      <c r="C414" s="6" t="str">
        <f>IFERROR(INDEX(Ejecutivos!$B$2:$B$100,MATCH(B414,Ejecutivos!$A$2:$A$100,0)),"")</f>
        <v/>
      </c>
      <c r="D414" s="12"/>
      <c r="E414" s="12"/>
      <c r="F414" s="12"/>
      <c r="G414" s="12"/>
      <c r="H414" s="5"/>
      <c r="I414" s="5"/>
      <c r="J414" s="5"/>
      <c r="K414" s="5"/>
      <c r="L414" s="18">
        <v>0</v>
      </c>
      <c r="M414" t="str">
        <f t="shared" si="27"/>
        <v/>
      </c>
      <c r="N414" t="str">
        <f>IF(OR($D414="",$S414=""),"",IFERROR(MAX(0,ROUND(($D414-INDEX(Config!$C$15:$C$18,MATCH($S414,Config!$B$15:$B$18,0)))*24*60,0)),""))</f>
        <v/>
      </c>
      <c r="O414" t="str">
        <f t="shared" si="28"/>
        <v/>
      </c>
      <c r="P414" t="str">
        <f t="shared" si="29"/>
        <v/>
      </c>
      <c r="Q414" t="str">
        <f>IF(OR($P414="",$S414=""),"",IFERROR($P414-INDEX(Config!$E$15:$E$18,MATCH($S414,Config!$B$15:$B$18,0)),""))</f>
        <v/>
      </c>
      <c r="R414" t="str">
        <f t="shared" si="30"/>
        <v/>
      </c>
      <c r="S414" s="6" t="str">
        <f>IF(OR($A414="",$C414=""),"",IFERROR(INDEX(Turno!$C$3:$V$32,MATCH($C414,Turno!$B$3:$B$32,0),MATCH(DAY($A414),Turno!$C$1:$V$1,0)),""))</f>
        <v/>
      </c>
      <c r="T414" t="str">
        <f>IF(OR($E414="",$S414=""),"",IFERROR(MAX(0,ROUND((INDEX(Config!$D$15:$D$18,MATCH($S414,Config!$B$15:$B$18,0))-$E414)*1440,0)),""))</f>
        <v/>
      </c>
      <c r="U414" s="13" t="str">
        <f>IF(OR($N414="",$T414=""),"",IFERROR(MAX(0,1-($N414+$T414+MAX(0,N($Q414)))/ROUND((INDEX(Config!$D$15:$D$18,MATCH($S414,Config!$B$15:$B$18,0))-INDEX(Config!$C$15:$C$18,MATCH($S414,Config!$B$15:$B$18,0)))*1440,0)),""))</f>
        <v/>
      </c>
      <c r="V414" s="5"/>
    </row>
    <row r="415" spans="1:22" x14ac:dyDescent="0.25">
      <c r="A415" s="11"/>
      <c r="B415" s="5"/>
      <c r="C415" s="6" t="str">
        <f>IFERROR(INDEX(Ejecutivos!$B$2:$B$100,MATCH(B415,Ejecutivos!$A$2:$A$100,0)),"")</f>
        <v/>
      </c>
      <c r="D415" s="12"/>
      <c r="E415" s="12"/>
      <c r="F415" s="12"/>
      <c r="G415" s="12"/>
      <c r="H415" s="5"/>
      <c r="I415" s="5"/>
      <c r="J415" s="5"/>
      <c r="K415" s="5"/>
      <c r="L415" s="18">
        <v>0</v>
      </c>
      <c r="M415" t="str">
        <f t="shared" si="27"/>
        <v/>
      </c>
      <c r="N415" t="str">
        <f>IF(OR($D415="",$S415=""),"",IFERROR(MAX(0,ROUND(($D415-INDEX(Config!$C$15:$C$18,MATCH($S415,Config!$B$15:$B$18,0)))*24*60,0)),""))</f>
        <v/>
      </c>
      <c r="O415" t="str">
        <f t="shared" si="28"/>
        <v/>
      </c>
      <c r="P415" t="str">
        <f t="shared" si="29"/>
        <v/>
      </c>
      <c r="Q415" t="str">
        <f>IF(OR($P415="",$S415=""),"",IFERROR($P415-INDEX(Config!$E$15:$E$18,MATCH($S415,Config!$B$15:$B$18,0)),""))</f>
        <v/>
      </c>
      <c r="R415" t="str">
        <f t="shared" si="30"/>
        <v/>
      </c>
      <c r="S415" s="6" t="str">
        <f>IF(OR($A415="",$C415=""),"",IFERROR(INDEX(Turno!$C$3:$V$32,MATCH($C415,Turno!$B$3:$B$32,0),MATCH(DAY($A415),Turno!$C$1:$V$1,0)),""))</f>
        <v/>
      </c>
      <c r="T415" t="str">
        <f>IF(OR($E415="",$S415=""),"",IFERROR(MAX(0,ROUND((INDEX(Config!$D$15:$D$18,MATCH($S415,Config!$B$15:$B$18,0))-$E415)*1440,0)),""))</f>
        <v/>
      </c>
      <c r="U415" s="13" t="str">
        <f>IF(OR($N415="",$T415=""),"",IFERROR(MAX(0,1-($N415+$T415+MAX(0,N($Q415)))/ROUND((INDEX(Config!$D$15:$D$18,MATCH($S415,Config!$B$15:$B$18,0))-INDEX(Config!$C$15:$C$18,MATCH($S415,Config!$B$15:$B$18,0)))*1440,0)),""))</f>
        <v/>
      </c>
      <c r="V415" s="5"/>
    </row>
    <row r="416" spans="1:22" x14ac:dyDescent="0.25">
      <c r="A416" s="11"/>
      <c r="B416" s="5"/>
      <c r="C416" s="6" t="str">
        <f>IFERROR(INDEX(Ejecutivos!$B$2:$B$100,MATCH(B416,Ejecutivos!$A$2:$A$100,0)),"")</f>
        <v/>
      </c>
      <c r="D416" s="12"/>
      <c r="E416" s="12"/>
      <c r="F416" s="12"/>
      <c r="G416" s="12"/>
      <c r="H416" s="5"/>
      <c r="I416" s="5"/>
      <c r="J416" s="5"/>
      <c r="K416" s="5"/>
      <c r="L416" s="18">
        <v>0</v>
      </c>
      <c r="M416" t="str">
        <f t="shared" si="27"/>
        <v/>
      </c>
      <c r="N416" t="str">
        <f>IF(OR($D416="",$S416=""),"",IFERROR(MAX(0,ROUND(($D416-INDEX(Config!$C$15:$C$18,MATCH($S416,Config!$B$15:$B$18,0)))*24*60,0)),""))</f>
        <v/>
      </c>
      <c r="O416" t="str">
        <f t="shared" si="28"/>
        <v/>
      </c>
      <c r="P416" t="str">
        <f t="shared" si="29"/>
        <v/>
      </c>
      <c r="Q416" t="str">
        <f>IF(OR($P416="",$S416=""),"",IFERROR($P416-INDEX(Config!$E$15:$E$18,MATCH($S416,Config!$B$15:$B$18,0)),""))</f>
        <v/>
      </c>
      <c r="R416" t="str">
        <f t="shared" si="30"/>
        <v/>
      </c>
      <c r="S416" s="6" t="str">
        <f>IF(OR($A416="",$C416=""),"",IFERROR(INDEX(Turno!$C$3:$V$32,MATCH($C416,Turno!$B$3:$B$32,0),MATCH(DAY($A416),Turno!$C$1:$V$1,0)),""))</f>
        <v/>
      </c>
      <c r="T416" t="str">
        <f>IF(OR($E416="",$S416=""),"",IFERROR(MAX(0,ROUND((INDEX(Config!$D$15:$D$18,MATCH($S416,Config!$B$15:$B$18,0))-$E416)*1440,0)),""))</f>
        <v/>
      </c>
      <c r="U416" s="13" t="str">
        <f>IF(OR($N416="",$T416=""),"",IFERROR(MAX(0,1-($N416+$T416+MAX(0,N($Q416)))/ROUND((INDEX(Config!$D$15:$D$18,MATCH($S416,Config!$B$15:$B$18,0))-INDEX(Config!$C$15:$C$18,MATCH($S416,Config!$B$15:$B$18,0)))*1440,0)),""))</f>
        <v/>
      </c>
      <c r="V416" s="5"/>
    </row>
    <row r="417" spans="1:22" x14ac:dyDescent="0.25">
      <c r="A417" s="11"/>
      <c r="B417" s="5"/>
      <c r="C417" s="6" t="str">
        <f>IFERROR(INDEX(Ejecutivos!$B$2:$B$100,MATCH(B417,Ejecutivos!$A$2:$A$100,0)),"")</f>
        <v/>
      </c>
      <c r="D417" s="12"/>
      <c r="E417" s="12"/>
      <c r="F417" s="12"/>
      <c r="G417" s="12"/>
      <c r="H417" s="5"/>
      <c r="I417" s="5"/>
      <c r="J417" s="5"/>
      <c r="K417" s="5"/>
      <c r="L417" s="18">
        <v>0</v>
      </c>
      <c r="M417" t="str">
        <f t="shared" si="27"/>
        <v/>
      </c>
      <c r="N417" t="str">
        <f>IF(OR($D417="",$S417=""),"",IFERROR(MAX(0,ROUND(($D417-INDEX(Config!$C$15:$C$18,MATCH($S417,Config!$B$15:$B$18,0)))*24*60,0)),""))</f>
        <v/>
      </c>
      <c r="O417" t="str">
        <f t="shared" si="28"/>
        <v/>
      </c>
      <c r="P417" t="str">
        <f t="shared" si="29"/>
        <v/>
      </c>
      <c r="Q417" t="str">
        <f>IF(OR($P417="",$S417=""),"",IFERROR($P417-INDEX(Config!$E$15:$E$18,MATCH($S417,Config!$B$15:$B$18,0)),""))</f>
        <v/>
      </c>
      <c r="R417" t="str">
        <f t="shared" si="30"/>
        <v/>
      </c>
      <c r="S417" s="6" t="str">
        <f>IF(OR($A417="",$C417=""),"",IFERROR(INDEX(Turno!$C$3:$V$32,MATCH($C417,Turno!$B$3:$B$32,0),MATCH(DAY($A417),Turno!$C$1:$V$1,0)),""))</f>
        <v/>
      </c>
      <c r="T417" t="str">
        <f>IF(OR($E417="",$S417=""),"",IFERROR(MAX(0,ROUND((INDEX(Config!$D$15:$D$18,MATCH($S417,Config!$B$15:$B$18,0))-$E417)*1440,0)),""))</f>
        <v/>
      </c>
      <c r="U417" s="13" t="str">
        <f>IF(OR($N417="",$T417=""),"",IFERROR(MAX(0,1-($N417+$T417+MAX(0,N($Q417)))/ROUND((INDEX(Config!$D$15:$D$18,MATCH($S417,Config!$B$15:$B$18,0))-INDEX(Config!$C$15:$C$18,MATCH($S417,Config!$B$15:$B$18,0)))*1440,0)),""))</f>
        <v/>
      </c>
      <c r="V417" s="5"/>
    </row>
    <row r="418" spans="1:22" x14ac:dyDescent="0.25">
      <c r="A418" s="11"/>
      <c r="B418" s="5"/>
      <c r="C418" s="6" t="str">
        <f>IFERROR(INDEX(Ejecutivos!$B$2:$B$100,MATCH(B418,Ejecutivos!$A$2:$A$100,0)),"")</f>
        <v/>
      </c>
      <c r="D418" s="12"/>
      <c r="E418" s="12"/>
      <c r="F418" s="12"/>
      <c r="G418" s="12"/>
      <c r="H418" s="5"/>
      <c r="I418" s="5"/>
      <c r="J418" s="5"/>
      <c r="K418" s="5"/>
      <c r="L418" s="18">
        <v>0</v>
      </c>
      <c r="M418" t="str">
        <f t="shared" si="27"/>
        <v/>
      </c>
      <c r="N418" t="str">
        <f>IF(OR($D418="",$S418=""),"",IFERROR(MAX(0,ROUND(($D418-INDEX(Config!$C$15:$C$18,MATCH($S418,Config!$B$15:$B$18,0)))*24*60,0)),""))</f>
        <v/>
      </c>
      <c r="O418" t="str">
        <f t="shared" si="28"/>
        <v/>
      </c>
      <c r="P418" t="str">
        <f t="shared" si="29"/>
        <v/>
      </c>
      <c r="Q418" t="str">
        <f>IF(OR($P418="",$S418=""),"",IFERROR($P418-INDEX(Config!$E$15:$E$18,MATCH($S418,Config!$B$15:$B$18,0)),""))</f>
        <v/>
      </c>
      <c r="R418" t="str">
        <f t="shared" si="30"/>
        <v/>
      </c>
      <c r="S418" s="6" t="str">
        <f>IF(OR($A418="",$C418=""),"",IFERROR(INDEX(Turno!$C$3:$V$32,MATCH($C418,Turno!$B$3:$B$32,0),MATCH(DAY($A418),Turno!$C$1:$V$1,0)),""))</f>
        <v/>
      </c>
      <c r="T418" t="str">
        <f>IF(OR($E418="",$S418=""),"",IFERROR(MAX(0,ROUND((INDEX(Config!$D$15:$D$18,MATCH($S418,Config!$B$15:$B$18,0))-$E418)*1440,0)),""))</f>
        <v/>
      </c>
      <c r="U418" s="13" t="str">
        <f>IF(OR($N418="",$T418=""),"",IFERROR(MAX(0,1-($N418+$T418+MAX(0,N($Q418)))/ROUND((INDEX(Config!$D$15:$D$18,MATCH($S418,Config!$B$15:$B$18,0))-INDEX(Config!$C$15:$C$18,MATCH($S418,Config!$B$15:$B$18,0)))*1440,0)),""))</f>
        <v/>
      </c>
      <c r="V418" s="5"/>
    </row>
    <row r="419" spans="1:22" x14ac:dyDescent="0.25">
      <c r="A419" s="11"/>
      <c r="B419" s="5"/>
      <c r="C419" s="6" t="str">
        <f>IFERROR(INDEX(Ejecutivos!$B$2:$B$100,MATCH(B419,Ejecutivos!$A$2:$A$100,0)),"")</f>
        <v/>
      </c>
      <c r="D419" s="12"/>
      <c r="E419" s="12"/>
      <c r="F419" s="12"/>
      <c r="G419" s="12"/>
      <c r="H419" s="5"/>
      <c r="I419" s="5"/>
      <c r="J419" s="5"/>
      <c r="K419" s="5"/>
      <c r="L419" s="18">
        <v>0</v>
      </c>
      <c r="M419" t="str">
        <f t="shared" si="27"/>
        <v/>
      </c>
      <c r="N419" t="str">
        <f>IF(OR($D419="",$S419=""),"",IFERROR(MAX(0,ROUND(($D419-INDEX(Config!$C$15:$C$18,MATCH($S419,Config!$B$15:$B$18,0)))*24*60,0)),""))</f>
        <v/>
      </c>
      <c r="O419" t="str">
        <f t="shared" si="28"/>
        <v/>
      </c>
      <c r="P419" t="str">
        <f t="shared" si="29"/>
        <v/>
      </c>
      <c r="Q419" t="str">
        <f>IF(OR($P419="",$S419=""),"",IFERROR($P419-INDEX(Config!$E$15:$E$18,MATCH($S419,Config!$B$15:$B$18,0)),""))</f>
        <v/>
      </c>
      <c r="R419" t="str">
        <f t="shared" si="30"/>
        <v/>
      </c>
      <c r="S419" s="6" t="str">
        <f>IF(OR($A419="",$C419=""),"",IFERROR(INDEX(Turno!$C$3:$V$32,MATCH($C419,Turno!$B$3:$B$32,0),MATCH(DAY($A419),Turno!$C$1:$V$1,0)),""))</f>
        <v/>
      </c>
      <c r="T419" t="str">
        <f>IF(OR($E419="",$S419=""),"",IFERROR(MAX(0,ROUND((INDEX(Config!$D$15:$D$18,MATCH($S419,Config!$B$15:$B$18,0))-$E419)*1440,0)),""))</f>
        <v/>
      </c>
      <c r="U419" s="13" t="str">
        <f>IF(OR($N419="",$T419=""),"",IFERROR(MAX(0,1-($N419+$T419+MAX(0,N($Q419)))/ROUND((INDEX(Config!$D$15:$D$18,MATCH($S419,Config!$B$15:$B$18,0))-INDEX(Config!$C$15:$C$18,MATCH($S419,Config!$B$15:$B$18,0)))*1440,0)),""))</f>
        <v/>
      </c>
      <c r="V419" s="5"/>
    </row>
    <row r="420" spans="1:22" x14ac:dyDescent="0.25">
      <c r="A420" s="11"/>
      <c r="B420" s="5"/>
      <c r="C420" s="6" t="str">
        <f>IFERROR(INDEX(Ejecutivos!$B$2:$B$100,MATCH(B420,Ejecutivos!$A$2:$A$100,0)),"")</f>
        <v/>
      </c>
      <c r="D420" s="12"/>
      <c r="E420" s="12"/>
      <c r="F420" s="12"/>
      <c r="G420" s="12"/>
      <c r="H420" s="5"/>
      <c r="I420" s="5"/>
      <c r="J420" s="5"/>
      <c r="K420" s="5"/>
      <c r="L420" s="18">
        <v>0</v>
      </c>
      <c r="M420" t="str">
        <f t="shared" si="27"/>
        <v/>
      </c>
      <c r="N420" t="str">
        <f>IF(OR($D420="",$S420=""),"",IFERROR(MAX(0,ROUND(($D420-INDEX(Config!$C$15:$C$18,MATCH($S420,Config!$B$15:$B$18,0)))*24*60,0)),""))</f>
        <v/>
      </c>
      <c r="O420" t="str">
        <f t="shared" si="28"/>
        <v/>
      </c>
      <c r="P420" t="str">
        <f t="shared" si="29"/>
        <v/>
      </c>
      <c r="Q420" t="str">
        <f>IF(OR($P420="",$S420=""),"",IFERROR($P420-INDEX(Config!$E$15:$E$18,MATCH($S420,Config!$B$15:$B$18,0)),""))</f>
        <v/>
      </c>
      <c r="R420" t="str">
        <f t="shared" si="30"/>
        <v/>
      </c>
      <c r="S420" s="6" t="str">
        <f>IF(OR($A420="",$C420=""),"",IFERROR(INDEX(Turno!$C$3:$V$32,MATCH($C420,Turno!$B$3:$B$32,0),MATCH(DAY($A420),Turno!$C$1:$V$1,0)),""))</f>
        <v/>
      </c>
      <c r="T420" t="str">
        <f>IF(OR($E420="",$S420=""),"",IFERROR(MAX(0,ROUND((INDEX(Config!$D$15:$D$18,MATCH($S420,Config!$B$15:$B$18,0))-$E420)*1440,0)),""))</f>
        <v/>
      </c>
      <c r="U420" s="13" t="str">
        <f>IF(OR($N420="",$T420=""),"",IFERROR(MAX(0,1-($N420+$T420+MAX(0,N($Q420)))/ROUND((INDEX(Config!$D$15:$D$18,MATCH($S420,Config!$B$15:$B$18,0))-INDEX(Config!$C$15:$C$18,MATCH($S420,Config!$B$15:$B$18,0)))*1440,0)),""))</f>
        <v/>
      </c>
      <c r="V420" s="5"/>
    </row>
    <row r="421" spans="1:22" x14ac:dyDescent="0.25">
      <c r="A421" s="11"/>
      <c r="B421" s="5"/>
      <c r="C421" s="6" t="str">
        <f>IFERROR(INDEX(Ejecutivos!$B$2:$B$100,MATCH(B421,Ejecutivos!$A$2:$A$100,0)),"")</f>
        <v/>
      </c>
      <c r="D421" s="12"/>
      <c r="E421" s="12"/>
      <c r="F421" s="12"/>
      <c r="G421" s="12"/>
      <c r="H421" s="5"/>
      <c r="I421" s="5"/>
      <c r="J421" s="5"/>
      <c r="K421" s="5"/>
      <c r="L421" s="18">
        <v>0</v>
      </c>
      <c r="M421" t="str">
        <f t="shared" si="27"/>
        <v/>
      </c>
      <c r="N421" t="str">
        <f>IF(OR($D421="",$S421=""),"",IFERROR(MAX(0,ROUND(($D421-INDEX(Config!$C$15:$C$18,MATCH($S421,Config!$B$15:$B$18,0)))*24*60,0)),""))</f>
        <v/>
      </c>
      <c r="O421" t="str">
        <f t="shared" si="28"/>
        <v/>
      </c>
      <c r="P421" t="str">
        <f t="shared" si="29"/>
        <v/>
      </c>
      <c r="Q421" t="str">
        <f>IF(OR($P421="",$S421=""),"",IFERROR($P421-INDEX(Config!$E$15:$E$18,MATCH($S421,Config!$B$15:$B$18,0)),""))</f>
        <v/>
      </c>
      <c r="R421" t="str">
        <f t="shared" si="30"/>
        <v/>
      </c>
      <c r="S421" s="6" t="str">
        <f>IF(OR($A421="",$C421=""),"",IFERROR(INDEX(Turno!$C$3:$V$32,MATCH($C421,Turno!$B$3:$B$32,0),MATCH(DAY($A421),Turno!$C$1:$V$1,0)),""))</f>
        <v/>
      </c>
      <c r="T421" t="str">
        <f>IF(OR($E421="",$S421=""),"",IFERROR(MAX(0,ROUND((INDEX(Config!$D$15:$D$18,MATCH($S421,Config!$B$15:$B$18,0))-$E421)*1440,0)),""))</f>
        <v/>
      </c>
      <c r="U421" s="13" t="str">
        <f>IF(OR($N421="",$T421=""),"",IFERROR(MAX(0,1-($N421+$T421+MAX(0,N($Q421)))/ROUND((INDEX(Config!$D$15:$D$18,MATCH($S421,Config!$B$15:$B$18,0))-INDEX(Config!$C$15:$C$18,MATCH($S421,Config!$B$15:$B$18,0)))*1440,0)),""))</f>
        <v/>
      </c>
      <c r="V421" s="5"/>
    </row>
    <row r="422" spans="1:22" x14ac:dyDescent="0.25">
      <c r="A422" s="11"/>
      <c r="B422" s="5"/>
      <c r="C422" s="6" t="str">
        <f>IFERROR(INDEX(Ejecutivos!$B$2:$B$100,MATCH(B422,Ejecutivos!$A$2:$A$100,0)),"")</f>
        <v/>
      </c>
      <c r="D422" s="12"/>
      <c r="E422" s="12"/>
      <c r="F422" s="12"/>
      <c r="G422" s="12"/>
      <c r="H422" s="5"/>
      <c r="I422" s="5"/>
      <c r="J422" s="5"/>
      <c r="K422" s="5"/>
      <c r="L422" s="18">
        <v>0</v>
      </c>
      <c r="M422" t="str">
        <f t="shared" si="27"/>
        <v/>
      </c>
      <c r="N422" t="str">
        <f>IF(OR($D422="",$S422=""),"",IFERROR(MAX(0,ROUND(($D422-INDEX(Config!$C$15:$C$18,MATCH($S422,Config!$B$15:$B$18,0)))*24*60,0)),""))</f>
        <v/>
      </c>
      <c r="O422" t="str">
        <f t="shared" si="28"/>
        <v/>
      </c>
      <c r="P422" t="str">
        <f t="shared" si="29"/>
        <v/>
      </c>
      <c r="Q422" t="str">
        <f>IF(OR($P422="",$S422=""),"",IFERROR($P422-INDEX(Config!$E$15:$E$18,MATCH($S422,Config!$B$15:$B$18,0)),""))</f>
        <v/>
      </c>
      <c r="R422" t="str">
        <f t="shared" si="30"/>
        <v/>
      </c>
      <c r="S422" s="6" t="str">
        <f>IF(OR($A422="",$C422=""),"",IFERROR(INDEX(Turno!$C$3:$V$32,MATCH($C422,Turno!$B$3:$B$32,0),MATCH(DAY($A422),Turno!$C$1:$V$1,0)),""))</f>
        <v/>
      </c>
      <c r="T422" t="str">
        <f>IF(OR($E422="",$S422=""),"",IFERROR(MAX(0,ROUND((INDEX(Config!$D$15:$D$18,MATCH($S422,Config!$B$15:$B$18,0))-$E422)*1440,0)),""))</f>
        <v/>
      </c>
      <c r="U422" s="13" t="str">
        <f>IF(OR($N422="",$T422=""),"",IFERROR(MAX(0,1-($N422+$T422+MAX(0,N($Q422)))/ROUND((INDEX(Config!$D$15:$D$18,MATCH($S422,Config!$B$15:$B$18,0))-INDEX(Config!$C$15:$C$18,MATCH($S422,Config!$B$15:$B$18,0)))*1440,0)),""))</f>
        <v/>
      </c>
      <c r="V422" s="5"/>
    </row>
    <row r="423" spans="1:22" x14ac:dyDescent="0.25">
      <c r="A423" s="11"/>
      <c r="B423" s="5"/>
      <c r="C423" s="6" t="str">
        <f>IFERROR(INDEX(Ejecutivos!$B$2:$B$100,MATCH(B423,Ejecutivos!$A$2:$A$100,0)),"")</f>
        <v/>
      </c>
      <c r="D423" s="12"/>
      <c r="E423" s="12"/>
      <c r="F423" s="12"/>
      <c r="G423" s="12"/>
      <c r="H423" s="5"/>
      <c r="I423" s="5"/>
      <c r="J423" s="5"/>
      <c r="K423" s="5"/>
      <c r="L423" s="18">
        <v>0</v>
      </c>
      <c r="M423" t="str">
        <f t="shared" si="27"/>
        <v/>
      </c>
      <c r="N423" t="str">
        <f>IF(OR($D423="",$S423=""),"",IFERROR(MAX(0,ROUND(($D423-INDEX(Config!$C$15:$C$18,MATCH($S423,Config!$B$15:$B$18,0)))*24*60,0)),""))</f>
        <v/>
      </c>
      <c r="O423" t="str">
        <f t="shared" si="28"/>
        <v/>
      </c>
      <c r="P423" t="str">
        <f t="shared" si="29"/>
        <v/>
      </c>
      <c r="Q423" t="str">
        <f>IF(OR($P423="",$S423=""),"",IFERROR($P423-INDEX(Config!$E$15:$E$18,MATCH($S423,Config!$B$15:$B$18,0)),""))</f>
        <v/>
      </c>
      <c r="R423" t="str">
        <f t="shared" si="30"/>
        <v/>
      </c>
      <c r="S423" s="6" t="str">
        <f>IF(OR($A423="",$C423=""),"",IFERROR(INDEX(Turno!$C$3:$V$32,MATCH($C423,Turno!$B$3:$B$32,0),MATCH(DAY($A423),Turno!$C$1:$V$1,0)),""))</f>
        <v/>
      </c>
      <c r="T423" t="str">
        <f>IF(OR($E423="",$S423=""),"",IFERROR(MAX(0,ROUND((INDEX(Config!$D$15:$D$18,MATCH($S423,Config!$B$15:$B$18,0))-$E423)*1440,0)),""))</f>
        <v/>
      </c>
      <c r="U423" s="13" t="str">
        <f>IF(OR($N423="",$T423=""),"",IFERROR(MAX(0,1-($N423+$T423+MAX(0,N($Q423)))/ROUND((INDEX(Config!$D$15:$D$18,MATCH($S423,Config!$B$15:$B$18,0))-INDEX(Config!$C$15:$C$18,MATCH($S423,Config!$B$15:$B$18,0)))*1440,0)),""))</f>
        <v/>
      </c>
      <c r="V423" s="5"/>
    </row>
    <row r="424" spans="1:22" x14ac:dyDescent="0.25">
      <c r="A424" s="11"/>
      <c r="B424" s="5"/>
      <c r="C424" s="6" t="str">
        <f>IFERROR(INDEX(Ejecutivos!$B$2:$B$100,MATCH(B424,Ejecutivos!$A$2:$A$100,0)),"")</f>
        <v/>
      </c>
      <c r="D424" s="12"/>
      <c r="E424" s="12"/>
      <c r="F424" s="12"/>
      <c r="G424" s="12"/>
      <c r="H424" s="5"/>
      <c r="I424" s="5"/>
      <c r="J424" s="5"/>
      <c r="K424" s="5"/>
      <c r="L424" s="18">
        <v>0</v>
      </c>
      <c r="M424" t="str">
        <f t="shared" si="27"/>
        <v/>
      </c>
      <c r="N424" t="str">
        <f>IF(OR($D424="",$S424=""),"",IFERROR(MAX(0,ROUND(($D424-INDEX(Config!$C$15:$C$18,MATCH($S424,Config!$B$15:$B$18,0)))*24*60,0)),""))</f>
        <v/>
      </c>
      <c r="O424" t="str">
        <f t="shared" si="28"/>
        <v/>
      </c>
      <c r="P424" t="str">
        <f t="shared" si="29"/>
        <v/>
      </c>
      <c r="Q424" t="str">
        <f>IF(OR($P424="",$S424=""),"",IFERROR($P424-INDEX(Config!$E$15:$E$18,MATCH($S424,Config!$B$15:$B$18,0)),""))</f>
        <v/>
      </c>
      <c r="R424" t="str">
        <f t="shared" si="30"/>
        <v/>
      </c>
      <c r="S424" s="6" t="str">
        <f>IF(OR($A424="",$C424=""),"",IFERROR(INDEX(Turno!$C$3:$V$32,MATCH($C424,Turno!$B$3:$B$32,0),MATCH(DAY($A424),Turno!$C$1:$V$1,0)),""))</f>
        <v/>
      </c>
      <c r="T424" t="str">
        <f>IF(OR($E424="",$S424=""),"",IFERROR(MAX(0,ROUND((INDEX(Config!$D$15:$D$18,MATCH($S424,Config!$B$15:$B$18,0))-$E424)*1440,0)),""))</f>
        <v/>
      </c>
      <c r="U424" s="13" t="str">
        <f>IF(OR($N424="",$T424=""),"",IFERROR(MAX(0,1-($N424+$T424+MAX(0,N($Q424)))/ROUND((INDEX(Config!$D$15:$D$18,MATCH($S424,Config!$B$15:$B$18,0))-INDEX(Config!$C$15:$C$18,MATCH($S424,Config!$B$15:$B$18,0)))*1440,0)),""))</f>
        <v/>
      </c>
      <c r="V424" s="5"/>
    </row>
    <row r="425" spans="1:22" x14ac:dyDescent="0.25">
      <c r="A425" s="11"/>
      <c r="B425" s="5"/>
      <c r="C425" s="6" t="str">
        <f>IFERROR(INDEX(Ejecutivos!$B$2:$B$100,MATCH(B425,Ejecutivos!$A$2:$A$100,0)),"")</f>
        <v/>
      </c>
      <c r="D425" s="12"/>
      <c r="E425" s="12"/>
      <c r="F425" s="12"/>
      <c r="G425" s="12"/>
      <c r="H425" s="5"/>
      <c r="I425" s="5"/>
      <c r="J425" s="5"/>
      <c r="K425" s="5"/>
      <c r="L425" s="18">
        <v>0</v>
      </c>
      <c r="M425" t="str">
        <f t="shared" si="27"/>
        <v/>
      </c>
      <c r="N425" t="str">
        <f>IF(OR($D425="",$S425=""),"",IFERROR(MAX(0,ROUND(($D425-INDEX(Config!$C$15:$C$18,MATCH($S425,Config!$B$15:$B$18,0)))*24*60,0)),""))</f>
        <v/>
      </c>
      <c r="O425" t="str">
        <f t="shared" si="28"/>
        <v/>
      </c>
      <c r="P425" t="str">
        <f t="shared" si="29"/>
        <v/>
      </c>
      <c r="Q425" t="str">
        <f>IF(OR($P425="",$S425=""),"",IFERROR($P425-INDEX(Config!$E$15:$E$18,MATCH($S425,Config!$B$15:$B$18,0)),""))</f>
        <v/>
      </c>
      <c r="R425" t="str">
        <f t="shared" si="30"/>
        <v/>
      </c>
      <c r="S425" s="6" t="str">
        <f>IF(OR($A425="",$C425=""),"",IFERROR(INDEX(Turno!$C$3:$V$32,MATCH($C425,Turno!$B$3:$B$32,0),MATCH(DAY($A425),Turno!$C$1:$V$1,0)),""))</f>
        <v/>
      </c>
      <c r="T425" t="str">
        <f>IF(OR($E425="",$S425=""),"",IFERROR(MAX(0,ROUND((INDEX(Config!$D$15:$D$18,MATCH($S425,Config!$B$15:$B$18,0))-$E425)*1440,0)),""))</f>
        <v/>
      </c>
      <c r="U425" s="13" t="str">
        <f>IF(OR($N425="",$T425=""),"",IFERROR(MAX(0,1-($N425+$T425+MAX(0,N($Q425)))/ROUND((INDEX(Config!$D$15:$D$18,MATCH($S425,Config!$B$15:$B$18,0))-INDEX(Config!$C$15:$C$18,MATCH($S425,Config!$B$15:$B$18,0)))*1440,0)),""))</f>
        <v/>
      </c>
      <c r="V425" s="5"/>
    </row>
    <row r="426" spans="1:22" x14ac:dyDescent="0.25">
      <c r="A426" s="11"/>
      <c r="B426" s="5"/>
      <c r="C426" s="6" t="str">
        <f>IFERROR(INDEX(Ejecutivos!$B$2:$B$100,MATCH(B426,Ejecutivos!$A$2:$A$100,0)),"")</f>
        <v/>
      </c>
      <c r="D426" s="12"/>
      <c r="E426" s="12"/>
      <c r="F426" s="12"/>
      <c r="G426" s="12"/>
      <c r="H426" s="5"/>
      <c r="I426" s="5"/>
      <c r="J426" s="5"/>
      <c r="K426" s="5"/>
      <c r="L426" s="18">
        <v>0</v>
      </c>
      <c r="M426" t="str">
        <f t="shared" si="27"/>
        <v/>
      </c>
      <c r="N426" t="str">
        <f>IF(OR($D426="",$S426=""),"",IFERROR(MAX(0,ROUND(($D426-INDEX(Config!$C$15:$C$18,MATCH($S426,Config!$B$15:$B$18,0)))*24*60,0)),""))</f>
        <v/>
      </c>
      <c r="O426" t="str">
        <f t="shared" si="28"/>
        <v/>
      </c>
      <c r="P426" t="str">
        <f t="shared" si="29"/>
        <v/>
      </c>
      <c r="Q426" t="str">
        <f>IF(OR($P426="",$S426=""),"",IFERROR($P426-INDEX(Config!$E$15:$E$18,MATCH($S426,Config!$B$15:$B$18,0)),""))</f>
        <v/>
      </c>
      <c r="R426" t="str">
        <f t="shared" si="30"/>
        <v/>
      </c>
      <c r="S426" s="6" t="str">
        <f>IF(OR($A426="",$C426=""),"",IFERROR(INDEX(Turno!$C$3:$V$32,MATCH($C426,Turno!$B$3:$B$32,0),MATCH(DAY($A426),Turno!$C$1:$V$1,0)),""))</f>
        <v/>
      </c>
      <c r="T426" t="str">
        <f>IF(OR($E426="",$S426=""),"",IFERROR(MAX(0,ROUND((INDEX(Config!$D$15:$D$18,MATCH($S426,Config!$B$15:$B$18,0))-$E426)*1440,0)),""))</f>
        <v/>
      </c>
      <c r="U426" s="13" t="str">
        <f>IF(OR($N426="",$T426=""),"",IFERROR(MAX(0,1-($N426+$T426+MAX(0,N($Q426)))/ROUND((INDEX(Config!$D$15:$D$18,MATCH($S426,Config!$B$15:$B$18,0))-INDEX(Config!$C$15:$C$18,MATCH($S426,Config!$B$15:$B$18,0)))*1440,0)),""))</f>
        <v/>
      </c>
      <c r="V426" s="5"/>
    </row>
    <row r="427" spans="1:22" x14ac:dyDescent="0.25">
      <c r="A427" s="11"/>
      <c r="B427" s="5"/>
      <c r="C427" s="6" t="str">
        <f>IFERROR(INDEX(Ejecutivos!$B$2:$B$100,MATCH(B427,Ejecutivos!$A$2:$A$100,0)),"")</f>
        <v/>
      </c>
      <c r="D427" s="12"/>
      <c r="E427" s="12"/>
      <c r="F427" s="12"/>
      <c r="G427" s="12"/>
      <c r="H427" s="5"/>
      <c r="I427" s="5"/>
      <c r="J427" s="5"/>
      <c r="K427" s="5"/>
      <c r="L427" s="18">
        <v>0</v>
      </c>
      <c r="M427" t="str">
        <f t="shared" si="27"/>
        <v/>
      </c>
      <c r="N427" t="str">
        <f>IF(OR($D427="",$S427=""),"",IFERROR(MAX(0,ROUND(($D427-INDEX(Config!$C$15:$C$18,MATCH($S427,Config!$B$15:$B$18,0)))*24*60,0)),""))</f>
        <v/>
      </c>
      <c r="O427" t="str">
        <f t="shared" si="28"/>
        <v/>
      </c>
      <c r="P427" t="str">
        <f t="shared" si="29"/>
        <v/>
      </c>
      <c r="Q427" t="str">
        <f>IF(OR($P427="",$S427=""),"",IFERROR($P427-INDEX(Config!$E$15:$E$18,MATCH($S427,Config!$B$15:$B$18,0)),""))</f>
        <v/>
      </c>
      <c r="R427" t="str">
        <f t="shared" si="30"/>
        <v/>
      </c>
      <c r="S427" s="6" t="str">
        <f>IF(OR($A427="",$C427=""),"",IFERROR(INDEX(Turno!$C$3:$V$32,MATCH($C427,Turno!$B$3:$B$32,0),MATCH(DAY($A427),Turno!$C$1:$V$1,0)),""))</f>
        <v/>
      </c>
      <c r="T427" t="str">
        <f>IF(OR($E427="",$S427=""),"",IFERROR(MAX(0,ROUND((INDEX(Config!$D$15:$D$18,MATCH($S427,Config!$B$15:$B$18,0))-$E427)*1440,0)),""))</f>
        <v/>
      </c>
      <c r="U427" s="13" t="str">
        <f>IF(OR($N427="",$T427=""),"",IFERROR(MAX(0,1-($N427+$T427+MAX(0,N($Q427)))/ROUND((INDEX(Config!$D$15:$D$18,MATCH($S427,Config!$B$15:$B$18,0))-INDEX(Config!$C$15:$C$18,MATCH($S427,Config!$B$15:$B$18,0)))*1440,0)),""))</f>
        <v/>
      </c>
      <c r="V427" s="5"/>
    </row>
    <row r="428" spans="1:22" x14ac:dyDescent="0.25">
      <c r="A428" s="11"/>
      <c r="B428" s="5"/>
      <c r="C428" s="6" t="str">
        <f>IFERROR(INDEX(Ejecutivos!$B$2:$B$100,MATCH(B428,Ejecutivos!$A$2:$A$100,0)),"")</f>
        <v/>
      </c>
      <c r="D428" s="12"/>
      <c r="E428" s="12"/>
      <c r="F428" s="12"/>
      <c r="G428" s="12"/>
      <c r="H428" s="5"/>
      <c r="I428" s="5"/>
      <c r="J428" s="5"/>
      <c r="K428" s="5"/>
      <c r="L428" s="18">
        <v>0</v>
      </c>
      <c r="M428" t="str">
        <f t="shared" si="27"/>
        <v/>
      </c>
      <c r="N428" t="str">
        <f>IF(OR($D428="",$S428=""),"",IFERROR(MAX(0,ROUND(($D428-INDEX(Config!$C$15:$C$18,MATCH($S428,Config!$B$15:$B$18,0)))*24*60,0)),""))</f>
        <v/>
      </c>
      <c r="O428" t="str">
        <f t="shared" si="28"/>
        <v/>
      </c>
      <c r="P428" t="str">
        <f t="shared" si="29"/>
        <v/>
      </c>
      <c r="Q428" t="str">
        <f>IF(OR($P428="",$S428=""),"",IFERROR($P428-INDEX(Config!$E$15:$E$18,MATCH($S428,Config!$B$15:$B$18,0)),""))</f>
        <v/>
      </c>
      <c r="R428" t="str">
        <f t="shared" si="30"/>
        <v/>
      </c>
      <c r="S428" s="6" t="str">
        <f>IF(OR($A428="",$C428=""),"",IFERROR(INDEX(Turno!$C$3:$V$32,MATCH($C428,Turno!$B$3:$B$32,0),MATCH(DAY($A428),Turno!$C$1:$V$1,0)),""))</f>
        <v/>
      </c>
      <c r="T428" t="str">
        <f>IF(OR($E428="",$S428=""),"",IFERROR(MAX(0,ROUND((INDEX(Config!$D$15:$D$18,MATCH($S428,Config!$B$15:$B$18,0))-$E428)*1440,0)),""))</f>
        <v/>
      </c>
      <c r="U428" s="13" t="str">
        <f>IF(OR($N428="",$T428=""),"",IFERROR(MAX(0,1-($N428+$T428+MAX(0,N($Q428)))/ROUND((INDEX(Config!$D$15:$D$18,MATCH($S428,Config!$B$15:$B$18,0))-INDEX(Config!$C$15:$C$18,MATCH($S428,Config!$B$15:$B$18,0)))*1440,0)),""))</f>
        <v/>
      </c>
      <c r="V428" s="5"/>
    </row>
    <row r="429" spans="1:22" x14ac:dyDescent="0.25">
      <c r="A429" s="11"/>
      <c r="B429" s="5"/>
      <c r="C429" s="6" t="str">
        <f>IFERROR(INDEX(Ejecutivos!$B$2:$B$100,MATCH(B429,Ejecutivos!$A$2:$A$100,0)),"")</f>
        <v/>
      </c>
      <c r="D429" s="12"/>
      <c r="E429" s="12"/>
      <c r="F429" s="12"/>
      <c r="G429" s="12"/>
      <c r="H429" s="5"/>
      <c r="I429" s="5"/>
      <c r="J429" s="5"/>
      <c r="K429" s="5"/>
      <c r="L429" s="18">
        <v>0</v>
      </c>
      <c r="M429" t="str">
        <f t="shared" si="27"/>
        <v/>
      </c>
      <c r="N429" t="str">
        <f>IF(OR($D429="",$S429=""),"",IFERROR(MAX(0,ROUND(($D429-INDEX(Config!$C$15:$C$18,MATCH($S429,Config!$B$15:$B$18,0)))*24*60,0)),""))</f>
        <v/>
      </c>
      <c r="O429" t="str">
        <f t="shared" si="28"/>
        <v/>
      </c>
      <c r="P429" t="str">
        <f t="shared" si="29"/>
        <v/>
      </c>
      <c r="Q429" t="str">
        <f>IF(OR($P429="",$S429=""),"",IFERROR($P429-INDEX(Config!$E$15:$E$18,MATCH($S429,Config!$B$15:$B$18,0)),""))</f>
        <v/>
      </c>
      <c r="R429" t="str">
        <f t="shared" si="30"/>
        <v/>
      </c>
      <c r="S429" s="6" t="str">
        <f>IF(OR($A429="",$C429=""),"",IFERROR(INDEX(Turno!$C$3:$V$32,MATCH($C429,Turno!$B$3:$B$32,0),MATCH(DAY($A429),Turno!$C$1:$V$1,0)),""))</f>
        <v/>
      </c>
      <c r="T429" t="str">
        <f>IF(OR($E429="",$S429=""),"",IFERROR(MAX(0,ROUND((INDEX(Config!$D$15:$D$18,MATCH($S429,Config!$B$15:$B$18,0))-$E429)*1440,0)),""))</f>
        <v/>
      </c>
      <c r="U429" s="13" t="str">
        <f>IF(OR($N429="",$T429=""),"",IFERROR(MAX(0,1-($N429+$T429+MAX(0,N($Q429)))/ROUND((INDEX(Config!$D$15:$D$18,MATCH($S429,Config!$B$15:$B$18,0))-INDEX(Config!$C$15:$C$18,MATCH($S429,Config!$B$15:$B$18,0)))*1440,0)),""))</f>
        <v/>
      </c>
      <c r="V429" s="5"/>
    </row>
    <row r="430" spans="1:22" x14ac:dyDescent="0.25">
      <c r="A430" s="11"/>
      <c r="B430" s="5"/>
      <c r="C430" s="6" t="str">
        <f>IFERROR(INDEX(Ejecutivos!$B$2:$B$100,MATCH(B430,Ejecutivos!$A$2:$A$100,0)),"")</f>
        <v/>
      </c>
      <c r="D430" s="12"/>
      <c r="E430" s="12"/>
      <c r="F430" s="12"/>
      <c r="G430" s="12"/>
      <c r="H430" s="5"/>
      <c r="I430" s="5"/>
      <c r="J430" s="5"/>
      <c r="K430" s="5"/>
      <c r="L430" s="18">
        <v>0</v>
      </c>
      <c r="M430" t="str">
        <f t="shared" si="27"/>
        <v/>
      </c>
      <c r="N430" t="str">
        <f>IF(OR($D430="",$S430=""),"",IFERROR(MAX(0,ROUND(($D430-INDEX(Config!$C$15:$C$18,MATCH($S430,Config!$B$15:$B$18,0)))*24*60,0)),""))</f>
        <v/>
      </c>
      <c r="O430" t="str">
        <f t="shared" si="28"/>
        <v/>
      </c>
      <c r="P430" t="str">
        <f t="shared" si="29"/>
        <v/>
      </c>
      <c r="Q430" t="str">
        <f>IF(OR($P430="",$S430=""),"",IFERROR($P430-INDEX(Config!$E$15:$E$18,MATCH($S430,Config!$B$15:$B$18,0)),""))</f>
        <v/>
      </c>
      <c r="R430" t="str">
        <f t="shared" si="30"/>
        <v/>
      </c>
      <c r="S430" s="6" t="str">
        <f>IF(OR($A430="",$C430=""),"",IFERROR(INDEX(Turno!$C$3:$V$32,MATCH($C430,Turno!$B$3:$B$32,0),MATCH(DAY($A430),Turno!$C$1:$V$1,0)),""))</f>
        <v/>
      </c>
      <c r="T430" t="str">
        <f>IF(OR($E430="",$S430=""),"",IFERROR(MAX(0,ROUND((INDEX(Config!$D$15:$D$18,MATCH($S430,Config!$B$15:$B$18,0))-$E430)*1440,0)),""))</f>
        <v/>
      </c>
      <c r="U430" s="13" t="str">
        <f>IF(OR($N430="",$T430=""),"",IFERROR(MAX(0,1-($N430+$T430+MAX(0,N($Q430)))/ROUND((INDEX(Config!$D$15:$D$18,MATCH($S430,Config!$B$15:$B$18,0))-INDEX(Config!$C$15:$C$18,MATCH($S430,Config!$B$15:$B$18,0)))*1440,0)),""))</f>
        <v/>
      </c>
      <c r="V430" s="5"/>
    </row>
    <row r="431" spans="1:22" x14ac:dyDescent="0.25">
      <c r="A431" s="11"/>
      <c r="B431" s="5"/>
      <c r="C431" s="6" t="str">
        <f>IFERROR(INDEX(Ejecutivos!$B$2:$B$100,MATCH(B431,Ejecutivos!$A$2:$A$100,0)),"")</f>
        <v/>
      </c>
      <c r="D431" s="12"/>
      <c r="E431" s="12"/>
      <c r="F431" s="12"/>
      <c r="G431" s="12"/>
      <c r="H431" s="5"/>
      <c r="I431" s="5"/>
      <c r="J431" s="5"/>
      <c r="K431" s="5"/>
      <c r="L431" s="18">
        <v>0</v>
      </c>
      <c r="M431" t="str">
        <f t="shared" si="27"/>
        <v/>
      </c>
      <c r="N431" t="str">
        <f>IF(OR($D431="",$S431=""),"",IFERROR(MAX(0,ROUND(($D431-INDEX(Config!$C$15:$C$18,MATCH($S431,Config!$B$15:$B$18,0)))*24*60,0)),""))</f>
        <v/>
      </c>
      <c r="O431" t="str">
        <f t="shared" si="28"/>
        <v/>
      </c>
      <c r="P431" t="str">
        <f t="shared" si="29"/>
        <v/>
      </c>
      <c r="Q431" t="str">
        <f>IF(OR($P431="",$S431=""),"",IFERROR($P431-INDEX(Config!$E$15:$E$18,MATCH($S431,Config!$B$15:$B$18,0)),""))</f>
        <v/>
      </c>
      <c r="R431" t="str">
        <f t="shared" si="30"/>
        <v/>
      </c>
      <c r="S431" s="6" t="str">
        <f>IF(OR($A431="",$C431=""),"",IFERROR(INDEX(Turno!$C$3:$V$32,MATCH($C431,Turno!$B$3:$B$32,0),MATCH(DAY($A431),Turno!$C$1:$V$1,0)),""))</f>
        <v/>
      </c>
      <c r="T431" t="str">
        <f>IF(OR($E431="",$S431=""),"",IFERROR(MAX(0,ROUND((INDEX(Config!$D$15:$D$18,MATCH($S431,Config!$B$15:$B$18,0))-$E431)*1440,0)),""))</f>
        <v/>
      </c>
      <c r="U431" s="13" t="str">
        <f>IF(OR($N431="",$T431=""),"",IFERROR(MAX(0,1-($N431+$T431+MAX(0,N($Q431)))/ROUND((INDEX(Config!$D$15:$D$18,MATCH($S431,Config!$B$15:$B$18,0))-INDEX(Config!$C$15:$C$18,MATCH($S431,Config!$B$15:$B$18,0)))*1440,0)),""))</f>
        <v/>
      </c>
      <c r="V431" s="5"/>
    </row>
    <row r="432" spans="1:22" x14ac:dyDescent="0.25">
      <c r="A432" s="11"/>
      <c r="B432" s="5"/>
      <c r="C432" s="6" t="str">
        <f>IFERROR(INDEX(Ejecutivos!$B$2:$B$100,MATCH(B432,Ejecutivos!$A$2:$A$100,0)),"")</f>
        <v/>
      </c>
      <c r="D432" s="12"/>
      <c r="E432" s="12"/>
      <c r="F432" s="12"/>
      <c r="G432" s="12"/>
      <c r="H432" s="5"/>
      <c r="I432" s="5"/>
      <c r="J432" s="5"/>
      <c r="K432" s="5"/>
      <c r="L432" s="18">
        <v>0</v>
      </c>
      <c r="M432" t="str">
        <f t="shared" si="27"/>
        <v/>
      </c>
      <c r="N432" t="str">
        <f>IF(OR($D432="",$S432=""),"",IFERROR(MAX(0,ROUND(($D432-INDEX(Config!$C$15:$C$18,MATCH($S432,Config!$B$15:$B$18,0)))*24*60,0)),""))</f>
        <v/>
      </c>
      <c r="O432" t="str">
        <f t="shared" si="28"/>
        <v/>
      </c>
      <c r="P432" t="str">
        <f t="shared" si="29"/>
        <v/>
      </c>
      <c r="Q432" t="str">
        <f>IF(OR($P432="",$S432=""),"",IFERROR($P432-INDEX(Config!$E$15:$E$18,MATCH($S432,Config!$B$15:$B$18,0)),""))</f>
        <v/>
      </c>
      <c r="R432" t="str">
        <f t="shared" si="30"/>
        <v/>
      </c>
      <c r="S432" s="6" t="str">
        <f>IF(OR($A432="",$C432=""),"",IFERROR(INDEX(Turno!$C$3:$V$32,MATCH($C432,Turno!$B$3:$B$32,0),MATCH(DAY($A432),Turno!$C$1:$V$1,0)),""))</f>
        <v/>
      </c>
      <c r="T432" t="str">
        <f>IF(OR($E432="",$S432=""),"",IFERROR(MAX(0,ROUND((INDEX(Config!$D$15:$D$18,MATCH($S432,Config!$B$15:$B$18,0))-$E432)*1440,0)),""))</f>
        <v/>
      </c>
      <c r="U432" s="13" t="str">
        <f>IF(OR($N432="",$T432=""),"",IFERROR(MAX(0,1-($N432+$T432+MAX(0,N($Q432)))/ROUND((INDEX(Config!$D$15:$D$18,MATCH($S432,Config!$B$15:$B$18,0))-INDEX(Config!$C$15:$C$18,MATCH($S432,Config!$B$15:$B$18,0)))*1440,0)),""))</f>
        <v/>
      </c>
      <c r="V432" s="5"/>
    </row>
    <row r="433" spans="1:22" x14ac:dyDescent="0.25">
      <c r="A433" s="11"/>
      <c r="B433" s="5"/>
      <c r="C433" s="6" t="str">
        <f>IFERROR(INDEX(Ejecutivos!$B$2:$B$100,MATCH(B433,Ejecutivos!$A$2:$A$100,0)),"")</f>
        <v/>
      </c>
      <c r="D433" s="12"/>
      <c r="E433" s="12"/>
      <c r="F433" s="12"/>
      <c r="G433" s="12"/>
      <c r="H433" s="5"/>
      <c r="I433" s="5"/>
      <c r="J433" s="5"/>
      <c r="K433" s="5"/>
      <c r="L433" s="18">
        <v>0</v>
      </c>
      <c r="M433" t="str">
        <f t="shared" si="27"/>
        <v/>
      </c>
      <c r="N433" t="str">
        <f>IF(OR($D433="",$S433=""),"",IFERROR(MAX(0,ROUND(($D433-INDEX(Config!$C$15:$C$18,MATCH($S433,Config!$B$15:$B$18,0)))*24*60,0)),""))</f>
        <v/>
      </c>
      <c r="O433" t="str">
        <f t="shared" si="28"/>
        <v/>
      </c>
      <c r="P433" t="str">
        <f t="shared" si="29"/>
        <v/>
      </c>
      <c r="Q433" t="str">
        <f>IF(OR($P433="",$S433=""),"",IFERROR($P433-INDEX(Config!$E$15:$E$18,MATCH($S433,Config!$B$15:$B$18,0)),""))</f>
        <v/>
      </c>
      <c r="R433" t="str">
        <f t="shared" si="30"/>
        <v/>
      </c>
      <c r="S433" s="6" t="str">
        <f>IF(OR($A433="",$C433=""),"",IFERROR(INDEX(Turno!$C$3:$V$32,MATCH($C433,Turno!$B$3:$B$32,0),MATCH(DAY($A433),Turno!$C$1:$V$1,0)),""))</f>
        <v/>
      </c>
      <c r="T433" t="str">
        <f>IF(OR($E433="",$S433=""),"",IFERROR(MAX(0,ROUND((INDEX(Config!$D$15:$D$18,MATCH($S433,Config!$B$15:$B$18,0))-$E433)*1440,0)),""))</f>
        <v/>
      </c>
      <c r="U433" s="13" t="str">
        <f>IF(OR($N433="",$T433=""),"",IFERROR(MAX(0,1-($N433+$T433+MAX(0,N($Q433)))/ROUND((INDEX(Config!$D$15:$D$18,MATCH($S433,Config!$B$15:$B$18,0))-INDEX(Config!$C$15:$C$18,MATCH($S433,Config!$B$15:$B$18,0)))*1440,0)),""))</f>
        <v/>
      </c>
      <c r="V433" s="5"/>
    </row>
    <row r="434" spans="1:22" x14ac:dyDescent="0.25">
      <c r="A434" s="11"/>
      <c r="B434" s="5"/>
      <c r="C434" s="6" t="str">
        <f>IFERROR(INDEX(Ejecutivos!$B$2:$B$100,MATCH(B434,Ejecutivos!$A$2:$A$100,0)),"")</f>
        <v/>
      </c>
      <c r="D434" s="12"/>
      <c r="E434" s="12"/>
      <c r="F434" s="12"/>
      <c r="G434" s="12"/>
      <c r="H434" s="5"/>
      <c r="I434" s="5"/>
      <c r="J434" s="5"/>
      <c r="K434" s="5"/>
      <c r="L434" s="18">
        <v>0</v>
      </c>
      <c r="M434" t="str">
        <f t="shared" si="27"/>
        <v/>
      </c>
      <c r="N434" t="str">
        <f>IF(OR($D434="",$S434=""),"",IFERROR(MAX(0,ROUND(($D434-INDEX(Config!$C$15:$C$18,MATCH($S434,Config!$B$15:$B$18,0)))*24*60,0)),""))</f>
        <v/>
      </c>
      <c r="O434" t="str">
        <f t="shared" si="28"/>
        <v/>
      </c>
      <c r="P434" t="str">
        <f t="shared" si="29"/>
        <v/>
      </c>
      <c r="Q434" t="str">
        <f>IF(OR($P434="",$S434=""),"",IFERROR($P434-INDEX(Config!$E$15:$E$18,MATCH($S434,Config!$B$15:$B$18,0)),""))</f>
        <v/>
      </c>
      <c r="R434" t="str">
        <f t="shared" si="30"/>
        <v/>
      </c>
      <c r="S434" s="6" t="str">
        <f>IF(OR($A434="",$C434=""),"",IFERROR(INDEX(Turno!$C$3:$V$32,MATCH($C434,Turno!$B$3:$B$32,0),MATCH(DAY($A434),Turno!$C$1:$V$1,0)),""))</f>
        <v/>
      </c>
      <c r="T434" t="str">
        <f>IF(OR($E434="",$S434=""),"",IFERROR(MAX(0,ROUND((INDEX(Config!$D$15:$D$18,MATCH($S434,Config!$B$15:$B$18,0))-$E434)*1440,0)),""))</f>
        <v/>
      </c>
      <c r="U434" s="13" t="str">
        <f>IF(OR($N434="",$T434=""),"",IFERROR(MAX(0,1-($N434+$T434+MAX(0,N($Q434)))/ROUND((INDEX(Config!$D$15:$D$18,MATCH($S434,Config!$B$15:$B$18,0))-INDEX(Config!$C$15:$C$18,MATCH($S434,Config!$B$15:$B$18,0)))*1440,0)),""))</f>
        <v/>
      </c>
      <c r="V434" s="5"/>
    </row>
    <row r="435" spans="1:22" x14ac:dyDescent="0.25">
      <c r="A435" s="11"/>
      <c r="B435" s="5"/>
      <c r="C435" s="6" t="str">
        <f>IFERROR(INDEX(Ejecutivos!$B$2:$B$100,MATCH(B435,Ejecutivos!$A$2:$A$100,0)),"")</f>
        <v/>
      </c>
      <c r="D435" s="12"/>
      <c r="E435" s="12"/>
      <c r="F435" s="12"/>
      <c r="G435" s="12"/>
      <c r="H435" s="5"/>
      <c r="I435" s="5"/>
      <c r="J435" s="5"/>
      <c r="K435" s="5"/>
      <c r="L435" s="18">
        <v>0</v>
      </c>
      <c r="M435" t="str">
        <f t="shared" si="27"/>
        <v/>
      </c>
      <c r="N435" t="str">
        <f>IF(OR($D435="",$S435=""),"",IFERROR(MAX(0,ROUND(($D435-INDEX(Config!$C$15:$C$18,MATCH($S435,Config!$B$15:$B$18,0)))*24*60,0)),""))</f>
        <v/>
      </c>
      <c r="O435" t="str">
        <f t="shared" si="28"/>
        <v/>
      </c>
      <c r="P435" t="str">
        <f t="shared" si="29"/>
        <v/>
      </c>
      <c r="Q435" t="str">
        <f>IF(OR($P435="",$S435=""),"",IFERROR($P435-INDEX(Config!$E$15:$E$18,MATCH($S435,Config!$B$15:$B$18,0)),""))</f>
        <v/>
      </c>
      <c r="R435" t="str">
        <f t="shared" si="30"/>
        <v/>
      </c>
      <c r="S435" s="6" t="str">
        <f>IF(OR($A435="",$C435=""),"",IFERROR(INDEX(Turno!$C$3:$V$32,MATCH($C435,Turno!$B$3:$B$32,0),MATCH(DAY($A435),Turno!$C$1:$V$1,0)),""))</f>
        <v/>
      </c>
      <c r="T435" t="str">
        <f>IF(OR($E435="",$S435=""),"",IFERROR(MAX(0,ROUND((INDEX(Config!$D$15:$D$18,MATCH($S435,Config!$B$15:$B$18,0))-$E435)*1440,0)),""))</f>
        <v/>
      </c>
      <c r="U435" s="13" t="str">
        <f>IF(OR($N435="",$T435=""),"",IFERROR(MAX(0,1-($N435+$T435+MAX(0,N($Q435)))/ROUND((INDEX(Config!$D$15:$D$18,MATCH($S435,Config!$B$15:$B$18,0))-INDEX(Config!$C$15:$C$18,MATCH($S435,Config!$B$15:$B$18,0)))*1440,0)),""))</f>
        <v/>
      </c>
      <c r="V435" s="5"/>
    </row>
    <row r="436" spans="1:22" x14ac:dyDescent="0.25">
      <c r="A436" s="11"/>
      <c r="B436" s="5"/>
      <c r="C436" s="6" t="str">
        <f>IFERROR(INDEX(Ejecutivos!$B$2:$B$100,MATCH(B436,Ejecutivos!$A$2:$A$100,0)),"")</f>
        <v/>
      </c>
      <c r="D436" s="12"/>
      <c r="E436" s="12"/>
      <c r="F436" s="12"/>
      <c r="G436" s="12"/>
      <c r="H436" s="5"/>
      <c r="I436" s="5"/>
      <c r="J436" s="5"/>
      <c r="K436" s="5"/>
      <c r="L436" s="18">
        <v>0</v>
      </c>
      <c r="M436" t="str">
        <f t="shared" si="27"/>
        <v/>
      </c>
      <c r="N436" t="str">
        <f>IF(OR($D436="",$S436=""),"",IFERROR(MAX(0,ROUND(($D436-INDEX(Config!$C$15:$C$18,MATCH($S436,Config!$B$15:$B$18,0)))*24*60,0)),""))</f>
        <v/>
      </c>
      <c r="O436" t="str">
        <f t="shared" si="28"/>
        <v/>
      </c>
      <c r="P436" t="str">
        <f t="shared" si="29"/>
        <v/>
      </c>
      <c r="Q436" t="str">
        <f>IF(OR($P436="",$S436=""),"",IFERROR($P436-INDEX(Config!$E$15:$E$18,MATCH($S436,Config!$B$15:$B$18,0)),""))</f>
        <v/>
      </c>
      <c r="R436" t="str">
        <f t="shared" si="30"/>
        <v/>
      </c>
      <c r="S436" s="6" t="str">
        <f>IF(OR($A436="",$C436=""),"",IFERROR(INDEX(Turno!$C$3:$V$32,MATCH($C436,Turno!$B$3:$B$32,0),MATCH(DAY($A436),Turno!$C$1:$V$1,0)),""))</f>
        <v/>
      </c>
      <c r="T436" t="str">
        <f>IF(OR($E436="",$S436=""),"",IFERROR(MAX(0,ROUND((INDEX(Config!$D$15:$D$18,MATCH($S436,Config!$B$15:$B$18,0))-$E436)*1440,0)),""))</f>
        <v/>
      </c>
      <c r="U436" s="13" t="str">
        <f>IF(OR($N436="",$T436=""),"",IFERROR(MAX(0,1-($N436+$T436+MAX(0,N($Q436)))/ROUND((INDEX(Config!$D$15:$D$18,MATCH($S436,Config!$B$15:$B$18,0))-INDEX(Config!$C$15:$C$18,MATCH($S436,Config!$B$15:$B$18,0)))*1440,0)),""))</f>
        <v/>
      </c>
      <c r="V436" s="5"/>
    </row>
    <row r="437" spans="1:22" x14ac:dyDescent="0.25">
      <c r="A437" s="11"/>
      <c r="B437" s="5"/>
      <c r="C437" s="6" t="str">
        <f>IFERROR(INDEX(Ejecutivos!$B$2:$B$100,MATCH(B437,Ejecutivos!$A$2:$A$100,0)),"")</f>
        <v/>
      </c>
      <c r="D437" s="12"/>
      <c r="E437" s="12"/>
      <c r="F437" s="12"/>
      <c r="G437" s="12"/>
      <c r="H437" s="5"/>
      <c r="I437" s="5"/>
      <c r="J437" s="5"/>
      <c r="K437" s="5"/>
      <c r="L437" s="18">
        <v>0</v>
      </c>
      <c r="M437" t="str">
        <f t="shared" ref="M437:M500" si="31">IF(OR(D437="",E437=""),"",ROUND(((E437-D437)*24)-((G437-F437)*24)-((H437+I437)/60),2))</f>
        <v/>
      </c>
      <c r="N437" t="str">
        <f>IF(OR($D437="",$S437=""),"",IFERROR(MAX(0,ROUND(($D437-INDEX(Config!$C$15:$C$18,MATCH($S437,Config!$B$15:$B$18,0)))*24*60,0)),""))</f>
        <v/>
      </c>
      <c r="O437" t="str">
        <f t="shared" ref="O437:O500" si="32">IF(OR(F437="",G437=""),"",ROUND((G437-F437)*24*60,0))</f>
        <v/>
      </c>
      <c r="P437" t="str">
        <f t="shared" ref="P437:P500" si="33">IF(O437="","",O437+H437+I437)</f>
        <v/>
      </c>
      <c r="Q437" t="str">
        <f>IF(OR($P437="",$S437=""),"",IFERROR($P437-INDEX(Config!$E$15:$E$18,MATCH($S437,Config!$B$15:$B$18,0)),""))</f>
        <v/>
      </c>
      <c r="R437" t="str">
        <f t="shared" ref="R437:R500" si="34">IF($A437="","",IF($D437="","Ausente",IF($N437="","",IF($N437&gt;0,"Atrasado","Puntual"))))</f>
        <v/>
      </c>
      <c r="S437" s="6" t="str">
        <f>IF(OR($A437="",$C437=""),"",IFERROR(INDEX(Turno!$C$3:$V$32,MATCH($C437,Turno!$B$3:$B$32,0),MATCH(DAY($A437),Turno!$C$1:$V$1,0)),""))</f>
        <v/>
      </c>
      <c r="T437" t="str">
        <f>IF(OR($E437="",$S437=""),"",IFERROR(MAX(0,ROUND((INDEX(Config!$D$15:$D$18,MATCH($S437,Config!$B$15:$B$18,0))-$E437)*1440,0)),""))</f>
        <v/>
      </c>
      <c r="U437" s="13" t="str">
        <f>IF(OR($N437="",$T437=""),"",IFERROR(MAX(0,1-($N437+$T437+MAX(0,N($Q437)))/ROUND((INDEX(Config!$D$15:$D$18,MATCH($S437,Config!$B$15:$B$18,0))-INDEX(Config!$C$15:$C$18,MATCH($S437,Config!$B$15:$B$18,0)))*1440,0)),""))</f>
        <v/>
      </c>
      <c r="V437" s="5"/>
    </row>
    <row r="438" spans="1:22" x14ac:dyDescent="0.25">
      <c r="A438" s="11"/>
      <c r="B438" s="5"/>
      <c r="C438" s="6" t="str">
        <f>IFERROR(INDEX(Ejecutivos!$B$2:$B$100,MATCH(B438,Ejecutivos!$A$2:$A$100,0)),"")</f>
        <v/>
      </c>
      <c r="D438" s="12"/>
      <c r="E438" s="12"/>
      <c r="F438" s="12"/>
      <c r="G438" s="12"/>
      <c r="H438" s="5"/>
      <c r="I438" s="5"/>
      <c r="J438" s="5"/>
      <c r="K438" s="5"/>
      <c r="L438" s="18">
        <v>0</v>
      </c>
      <c r="M438" t="str">
        <f t="shared" si="31"/>
        <v/>
      </c>
      <c r="N438" t="str">
        <f>IF(OR($D438="",$S438=""),"",IFERROR(MAX(0,ROUND(($D438-INDEX(Config!$C$15:$C$18,MATCH($S438,Config!$B$15:$B$18,0)))*24*60,0)),""))</f>
        <v/>
      </c>
      <c r="O438" t="str">
        <f t="shared" si="32"/>
        <v/>
      </c>
      <c r="P438" t="str">
        <f t="shared" si="33"/>
        <v/>
      </c>
      <c r="Q438" t="str">
        <f>IF(OR($P438="",$S438=""),"",IFERROR($P438-INDEX(Config!$E$15:$E$18,MATCH($S438,Config!$B$15:$B$18,0)),""))</f>
        <v/>
      </c>
      <c r="R438" t="str">
        <f t="shared" si="34"/>
        <v/>
      </c>
      <c r="S438" s="6" t="str">
        <f>IF(OR($A438="",$C438=""),"",IFERROR(INDEX(Turno!$C$3:$V$32,MATCH($C438,Turno!$B$3:$B$32,0),MATCH(DAY($A438),Turno!$C$1:$V$1,0)),""))</f>
        <v/>
      </c>
      <c r="T438" t="str">
        <f>IF(OR($E438="",$S438=""),"",IFERROR(MAX(0,ROUND((INDEX(Config!$D$15:$D$18,MATCH($S438,Config!$B$15:$B$18,0))-$E438)*1440,0)),""))</f>
        <v/>
      </c>
      <c r="U438" s="13" t="str">
        <f>IF(OR($N438="",$T438=""),"",IFERROR(MAX(0,1-($N438+$T438+MAX(0,N($Q438)))/ROUND((INDEX(Config!$D$15:$D$18,MATCH($S438,Config!$B$15:$B$18,0))-INDEX(Config!$C$15:$C$18,MATCH($S438,Config!$B$15:$B$18,0)))*1440,0)),""))</f>
        <v/>
      </c>
      <c r="V438" s="5"/>
    </row>
    <row r="439" spans="1:22" x14ac:dyDescent="0.25">
      <c r="A439" s="11"/>
      <c r="B439" s="5"/>
      <c r="C439" s="6" t="str">
        <f>IFERROR(INDEX(Ejecutivos!$B$2:$B$100,MATCH(B439,Ejecutivos!$A$2:$A$100,0)),"")</f>
        <v/>
      </c>
      <c r="D439" s="12"/>
      <c r="E439" s="12"/>
      <c r="F439" s="12"/>
      <c r="G439" s="12"/>
      <c r="H439" s="5"/>
      <c r="I439" s="5"/>
      <c r="J439" s="5"/>
      <c r="K439" s="5"/>
      <c r="L439" s="18">
        <v>0</v>
      </c>
      <c r="M439" t="str">
        <f t="shared" si="31"/>
        <v/>
      </c>
      <c r="N439" t="str">
        <f>IF(OR($D439="",$S439=""),"",IFERROR(MAX(0,ROUND(($D439-INDEX(Config!$C$15:$C$18,MATCH($S439,Config!$B$15:$B$18,0)))*24*60,0)),""))</f>
        <v/>
      </c>
      <c r="O439" t="str">
        <f t="shared" si="32"/>
        <v/>
      </c>
      <c r="P439" t="str">
        <f t="shared" si="33"/>
        <v/>
      </c>
      <c r="Q439" t="str">
        <f>IF(OR($P439="",$S439=""),"",IFERROR($P439-INDEX(Config!$E$15:$E$18,MATCH($S439,Config!$B$15:$B$18,0)),""))</f>
        <v/>
      </c>
      <c r="R439" t="str">
        <f t="shared" si="34"/>
        <v/>
      </c>
      <c r="S439" s="6" t="str">
        <f>IF(OR($A439="",$C439=""),"",IFERROR(INDEX(Turno!$C$3:$V$32,MATCH($C439,Turno!$B$3:$B$32,0),MATCH(DAY($A439),Turno!$C$1:$V$1,0)),""))</f>
        <v/>
      </c>
      <c r="T439" t="str">
        <f>IF(OR($E439="",$S439=""),"",IFERROR(MAX(0,ROUND((INDEX(Config!$D$15:$D$18,MATCH($S439,Config!$B$15:$B$18,0))-$E439)*1440,0)),""))</f>
        <v/>
      </c>
      <c r="U439" s="13" t="str">
        <f>IF(OR($N439="",$T439=""),"",IFERROR(MAX(0,1-($N439+$T439+MAX(0,N($Q439)))/ROUND((INDEX(Config!$D$15:$D$18,MATCH($S439,Config!$B$15:$B$18,0))-INDEX(Config!$C$15:$C$18,MATCH($S439,Config!$B$15:$B$18,0)))*1440,0)),""))</f>
        <v/>
      </c>
      <c r="V439" s="5"/>
    </row>
    <row r="440" spans="1:22" x14ac:dyDescent="0.25">
      <c r="A440" s="11"/>
      <c r="B440" s="5"/>
      <c r="C440" s="6" t="str">
        <f>IFERROR(INDEX(Ejecutivos!$B$2:$B$100,MATCH(B440,Ejecutivos!$A$2:$A$100,0)),"")</f>
        <v/>
      </c>
      <c r="D440" s="12"/>
      <c r="E440" s="12"/>
      <c r="F440" s="12"/>
      <c r="G440" s="12"/>
      <c r="H440" s="5"/>
      <c r="I440" s="5"/>
      <c r="J440" s="5"/>
      <c r="K440" s="5"/>
      <c r="L440" s="18">
        <v>0</v>
      </c>
      <c r="M440" t="str">
        <f t="shared" si="31"/>
        <v/>
      </c>
      <c r="N440" t="str">
        <f>IF(OR($D440="",$S440=""),"",IFERROR(MAX(0,ROUND(($D440-INDEX(Config!$C$15:$C$18,MATCH($S440,Config!$B$15:$B$18,0)))*24*60,0)),""))</f>
        <v/>
      </c>
      <c r="O440" t="str">
        <f t="shared" si="32"/>
        <v/>
      </c>
      <c r="P440" t="str">
        <f t="shared" si="33"/>
        <v/>
      </c>
      <c r="Q440" t="str">
        <f>IF(OR($P440="",$S440=""),"",IFERROR($P440-INDEX(Config!$E$15:$E$18,MATCH($S440,Config!$B$15:$B$18,0)),""))</f>
        <v/>
      </c>
      <c r="R440" t="str">
        <f t="shared" si="34"/>
        <v/>
      </c>
      <c r="S440" s="6" t="str">
        <f>IF(OR($A440="",$C440=""),"",IFERROR(INDEX(Turno!$C$3:$V$32,MATCH($C440,Turno!$B$3:$B$32,0),MATCH(DAY($A440),Turno!$C$1:$V$1,0)),""))</f>
        <v/>
      </c>
      <c r="T440" t="str">
        <f>IF(OR($E440="",$S440=""),"",IFERROR(MAX(0,ROUND((INDEX(Config!$D$15:$D$18,MATCH($S440,Config!$B$15:$B$18,0))-$E440)*1440,0)),""))</f>
        <v/>
      </c>
      <c r="U440" s="13" t="str">
        <f>IF(OR($N440="",$T440=""),"",IFERROR(MAX(0,1-($N440+$T440+MAX(0,N($Q440)))/ROUND((INDEX(Config!$D$15:$D$18,MATCH($S440,Config!$B$15:$B$18,0))-INDEX(Config!$C$15:$C$18,MATCH($S440,Config!$B$15:$B$18,0)))*1440,0)),""))</f>
        <v/>
      </c>
      <c r="V440" s="5"/>
    </row>
    <row r="441" spans="1:22" x14ac:dyDescent="0.25">
      <c r="A441" s="11"/>
      <c r="B441" s="5"/>
      <c r="C441" s="6" t="str">
        <f>IFERROR(INDEX(Ejecutivos!$B$2:$B$100,MATCH(B441,Ejecutivos!$A$2:$A$100,0)),"")</f>
        <v/>
      </c>
      <c r="D441" s="12"/>
      <c r="E441" s="12"/>
      <c r="F441" s="12"/>
      <c r="G441" s="12"/>
      <c r="H441" s="5"/>
      <c r="I441" s="5"/>
      <c r="J441" s="5"/>
      <c r="K441" s="5"/>
      <c r="L441" s="18">
        <v>0</v>
      </c>
      <c r="M441" t="str">
        <f t="shared" si="31"/>
        <v/>
      </c>
      <c r="N441" t="str">
        <f>IF(OR($D441="",$S441=""),"",IFERROR(MAX(0,ROUND(($D441-INDEX(Config!$C$15:$C$18,MATCH($S441,Config!$B$15:$B$18,0)))*24*60,0)),""))</f>
        <v/>
      </c>
      <c r="O441" t="str">
        <f t="shared" si="32"/>
        <v/>
      </c>
      <c r="P441" t="str">
        <f t="shared" si="33"/>
        <v/>
      </c>
      <c r="Q441" t="str">
        <f>IF(OR($P441="",$S441=""),"",IFERROR($P441-INDEX(Config!$E$15:$E$18,MATCH($S441,Config!$B$15:$B$18,0)),""))</f>
        <v/>
      </c>
      <c r="R441" t="str">
        <f t="shared" si="34"/>
        <v/>
      </c>
      <c r="S441" s="6" t="str">
        <f>IF(OR($A441="",$C441=""),"",IFERROR(INDEX(Turno!$C$3:$V$32,MATCH($C441,Turno!$B$3:$B$32,0),MATCH(DAY($A441),Turno!$C$1:$V$1,0)),""))</f>
        <v/>
      </c>
      <c r="T441" t="str">
        <f>IF(OR($E441="",$S441=""),"",IFERROR(MAX(0,ROUND((INDEX(Config!$D$15:$D$18,MATCH($S441,Config!$B$15:$B$18,0))-$E441)*1440,0)),""))</f>
        <v/>
      </c>
      <c r="U441" s="13" t="str">
        <f>IF(OR($N441="",$T441=""),"",IFERROR(MAX(0,1-($N441+$T441+MAX(0,N($Q441)))/ROUND((INDEX(Config!$D$15:$D$18,MATCH($S441,Config!$B$15:$B$18,0))-INDEX(Config!$C$15:$C$18,MATCH($S441,Config!$B$15:$B$18,0)))*1440,0)),""))</f>
        <v/>
      </c>
      <c r="V441" s="5"/>
    </row>
    <row r="442" spans="1:22" x14ac:dyDescent="0.25">
      <c r="A442" s="11"/>
      <c r="B442" s="5"/>
      <c r="C442" s="6" t="str">
        <f>IFERROR(INDEX(Ejecutivos!$B$2:$B$100,MATCH(B442,Ejecutivos!$A$2:$A$100,0)),"")</f>
        <v/>
      </c>
      <c r="D442" s="12"/>
      <c r="E442" s="12"/>
      <c r="F442" s="12"/>
      <c r="G442" s="12"/>
      <c r="H442" s="5"/>
      <c r="I442" s="5"/>
      <c r="J442" s="5"/>
      <c r="K442" s="5"/>
      <c r="L442" s="18">
        <v>0</v>
      </c>
      <c r="M442" t="str">
        <f t="shared" si="31"/>
        <v/>
      </c>
      <c r="N442" t="str">
        <f>IF(OR($D442="",$S442=""),"",IFERROR(MAX(0,ROUND(($D442-INDEX(Config!$C$15:$C$18,MATCH($S442,Config!$B$15:$B$18,0)))*24*60,0)),""))</f>
        <v/>
      </c>
      <c r="O442" t="str">
        <f t="shared" si="32"/>
        <v/>
      </c>
      <c r="P442" t="str">
        <f t="shared" si="33"/>
        <v/>
      </c>
      <c r="Q442" t="str">
        <f>IF(OR($P442="",$S442=""),"",IFERROR($P442-INDEX(Config!$E$15:$E$18,MATCH($S442,Config!$B$15:$B$18,0)),""))</f>
        <v/>
      </c>
      <c r="R442" t="str">
        <f t="shared" si="34"/>
        <v/>
      </c>
      <c r="S442" s="6" t="str">
        <f>IF(OR($A442="",$C442=""),"",IFERROR(INDEX(Turno!$C$3:$V$32,MATCH($C442,Turno!$B$3:$B$32,0),MATCH(DAY($A442),Turno!$C$1:$V$1,0)),""))</f>
        <v/>
      </c>
      <c r="T442" t="str">
        <f>IF(OR($E442="",$S442=""),"",IFERROR(MAX(0,ROUND((INDEX(Config!$D$15:$D$18,MATCH($S442,Config!$B$15:$B$18,0))-$E442)*1440,0)),""))</f>
        <v/>
      </c>
      <c r="U442" s="13" t="str">
        <f>IF(OR($N442="",$T442=""),"",IFERROR(MAX(0,1-($N442+$T442+MAX(0,N($Q442)))/ROUND((INDEX(Config!$D$15:$D$18,MATCH($S442,Config!$B$15:$B$18,0))-INDEX(Config!$C$15:$C$18,MATCH($S442,Config!$B$15:$B$18,0)))*1440,0)),""))</f>
        <v/>
      </c>
      <c r="V442" s="5"/>
    </row>
    <row r="443" spans="1:22" x14ac:dyDescent="0.25">
      <c r="A443" s="11"/>
      <c r="B443" s="5"/>
      <c r="C443" s="6" t="str">
        <f>IFERROR(INDEX(Ejecutivos!$B$2:$B$100,MATCH(B443,Ejecutivos!$A$2:$A$100,0)),"")</f>
        <v/>
      </c>
      <c r="D443" s="12"/>
      <c r="E443" s="12"/>
      <c r="F443" s="12"/>
      <c r="G443" s="12"/>
      <c r="H443" s="5"/>
      <c r="I443" s="5"/>
      <c r="J443" s="5"/>
      <c r="K443" s="5"/>
      <c r="L443" s="18">
        <v>0</v>
      </c>
      <c r="M443" t="str">
        <f t="shared" si="31"/>
        <v/>
      </c>
      <c r="N443" t="str">
        <f>IF(OR($D443="",$S443=""),"",IFERROR(MAX(0,ROUND(($D443-INDEX(Config!$C$15:$C$18,MATCH($S443,Config!$B$15:$B$18,0)))*24*60,0)),""))</f>
        <v/>
      </c>
      <c r="O443" t="str">
        <f t="shared" si="32"/>
        <v/>
      </c>
      <c r="P443" t="str">
        <f t="shared" si="33"/>
        <v/>
      </c>
      <c r="Q443" t="str">
        <f>IF(OR($P443="",$S443=""),"",IFERROR($P443-INDEX(Config!$E$15:$E$18,MATCH($S443,Config!$B$15:$B$18,0)),""))</f>
        <v/>
      </c>
      <c r="R443" t="str">
        <f t="shared" si="34"/>
        <v/>
      </c>
      <c r="S443" s="6" t="str">
        <f>IF(OR($A443="",$C443=""),"",IFERROR(INDEX(Turno!$C$3:$V$32,MATCH($C443,Turno!$B$3:$B$32,0),MATCH(DAY($A443),Turno!$C$1:$V$1,0)),""))</f>
        <v/>
      </c>
      <c r="T443" t="str">
        <f>IF(OR($E443="",$S443=""),"",IFERROR(MAX(0,ROUND((INDEX(Config!$D$15:$D$18,MATCH($S443,Config!$B$15:$B$18,0))-$E443)*1440,0)),""))</f>
        <v/>
      </c>
      <c r="U443" s="13" t="str">
        <f>IF(OR($N443="",$T443=""),"",IFERROR(MAX(0,1-($N443+$T443+MAX(0,N($Q443)))/ROUND((INDEX(Config!$D$15:$D$18,MATCH($S443,Config!$B$15:$B$18,0))-INDEX(Config!$C$15:$C$18,MATCH($S443,Config!$B$15:$B$18,0)))*1440,0)),""))</f>
        <v/>
      </c>
      <c r="V443" s="5"/>
    </row>
    <row r="444" spans="1:22" x14ac:dyDescent="0.25">
      <c r="A444" s="11"/>
      <c r="B444" s="5"/>
      <c r="C444" s="6" t="str">
        <f>IFERROR(INDEX(Ejecutivos!$B$2:$B$100,MATCH(B444,Ejecutivos!$A$2:$A$100,0)),"")</f>
        <v/>
      </c>
      <c r="D444" s="12"/>
      <c r="E444" s="12"/>
      <c r="F444" s="12"/>
      <c r="G444" s="12"/>
      <c r="H444" s="5"/>
      <c r="I444" s="5"/>
      <c r="J444" s="5"/>
      <c r="K444" s="5"/>
      <c r="L444" s="18">
        <v>0</v>
      </c>
      <c r="M444" t="str">
        <f t="shared" si="31"/>
        <v/>
      </c>
      <c r="N444" t="str">
        <f>IF(OR($D444="",$S444=""),"",IFERROR(MAX(0,ROUND(($D444-INDEX(Config!$C$15:$C$18,MATCH($S444,Config!$B$15:$B$18,0)))*24*60,0)),""))</f>
        <v/>
      </c>
      <c r="O444" t="str">
        <f t="shared" si="32"/>
        <v/>
      </c>
      <c r="P444" t="str">
        <f t="shared" si="33"/>
        <v/>
      </c>
      <c r="Q444" t="str">
        <f>IF(OR($P444="",$S444=""),"",IFERROR($P444-INDEX(Config!$E$15:$E$18,MATCH($S444,Config!$B$15:$B$18,0)),""))</f>
        <v/>
      </c>
      <c r="R444" t="str">
        <f t="shared" si="34"/>
        <v/>
      </c>
      <c r="S444" s="6" t="str">
        <f>IF(OR($A444="",$C444=""),"",IFERROR(INDEX(Turno!$C$3:$V$32,MATCH($C444,Turno!$B$3:$B$32,0),MATCH(DAY($A444),Turno!$C$1:$V$1,0)),""))</f>
        <v/>
      </c>
      <c r="T444" t="str">
        <f>IF(OR($E444="",$S444=""),"",IFERROR(MAX(0,ROUND((INDEX(Config!$D$15:$D$18,MATCH($S444,Config!$B$15:$B$18,0))-$E444)*1440,0)),""))</f>
        <v/>
      </c>
      <c r="U444" s="13" t="str">
        <f>IF(OR($N444="",$T444=""),"",IFERROR(MAX(0,1-($N444+$T444+MAX(0,N($Q444)))/ROUND((INDEX(Config!$D$15:$D$18,MATCH($S444,Config!$B$15:$B$18,0))-INDEX(Config!$C$15:$C$18,MATCH($S444,Config!$B$15:$B$18,0)))*1440,0)),""))</f>
        <v/>
      </c>
      <c r="V444" s="5"/>
    </row>
    <row r="445" spans="1:22" x14ac:dyDescent="0.25">
      <c r="A445" s="11"/>
      <c r="B445" s="5"/>
      <c r="C445" s="6" t="str">
        <f>IFERROR(INDEX(Ejecutivos!$B$2:$B$100,MATCH(B445,Ejecutivos!$A$2:$A$100,0)),"")</f>
        <v/>
      </c>
      <c r="D445" s="12"/>
      <c r="E445" s="12"/>
      <c r="F445" s="12"/>
      <c r="G445" s="12"/>
      <c r="H445" s="5"/>
      <c r="I445" s="5"/>
      <c r="J445" s="5"/>
      <c r="K445" s="5"/>
      <c r="L445" s="18">
        <v>0</v>
      </c>
      <c r="M445" t="str">
        <f t="shared" si="31"/>
        <v/>
      </c>
      <c r="N445" t="str">
        <f>IF(OR($D445="",$S445=""),"",IFERROR(MAX(0,ROUND(($D445-INDEX(Config!$C$15:$C$18,MATCH($S445,Config!$B$15:$B$18,0)))*24*60,0)),""))</f>
        <v/>
      </c>
      <c r="O445" t="str">
        <f t="shared" si="32"/>
        <v/>
      </c>
      <c r="P445" t="str">
        <f t="shared" si="33"/>
        <v/>
      </c>
      <c r="Q445" t="str">
        <f>IF(OR($P445="",$S445=""),"",IFERROR($P445-INDEX(Config!$E$15:$E$18,MATCH($S445,Config!$B$15:$B$18,0)),""))</f>
        <v/>
      </c>
      <c r="R445" t="str">
        <f t="shared" si="34"/>
        <v/>
      </c>
      <c r="S445" s="6" t="str">
        <f>IF(OR($A445="",$C445=""),"",IFERROR(INDEX(Turno!$C$3:$V$32,MATCH($C445,Turno!$B$3:$B$32,0),MATCH(DAY($A445),Turno!$C$1:$V$1,0)),""))</f>
        <v/>
      </c>
      <c r="T445" t="str">
        <f>IF(OR($E445="",$S445=""),"",IFERROR(MAX(0,ROUND((INDEX(Config!$D$15:$D$18,MATCH($S445,Config!$B$15:$B$18,0))-$E445)*1440,0)),""))</f>
        <v/>
      </c>
      <c r="U445" s="13" t="str">
        <f>IF(OR($N445="",$T445=""),"",IFERROR(MAX(0,1-($N445+$T445+MAX(0,N($Q445)))/ROUND((INDEX(Config!$D$15:$D$18,MATCH($S445,Config!$B$15:$B$18,0))-INDEX(Config!$C$15:$C$18,MATCH($S445,Config!$B$15:$B$18,0)))*1440,0)),""))</f>
        <v/>
      </c>
      <c r="V445" s="5"/>
    </row>
    <row r="446" spans="1:22" x14ac:dyDescent="0.25">
      <c r="A446" s="11"/>
      <c r="B446" s="5"/>
      <c r="C446" s="6" t="str">
        <f>IFERROR(INDEX(Ejecutivos!$B$2:$B$100,MATCH(B446,Ejecutivos!$A$2:$A$100,0)),"")</f>
        <v/>
      </c>
      <c r="D446" s="12"/>
      <c r="E446" s="12"/>
      <c r="F446" s="12"/>
      <c r="G446" s="12"/>
      <c r="H446" s="5"/>
      <c r="I446" s="5"/>
      <c r="J446" s="5"/>
      <c r="K446" s="5"/>
      <c r="L446" s="18">
        <v>0</v>
      </c>
      <c r="M446" t="str">
        <f t="shared" si="31"/>
        <v/>
      </c>
      <c r="N446" t="str">
        <f>IF(OR($D446="",$S446=""),"",IFERROR(MAX(0,ROUND(($D446-INDEX(Config!$C$15:$C$18,MATCH($S446,Config!$B$15:$B$18,0)))*24*60,0)),""))</f>
        <v/>
      </c>
      <c r="O446" t="str">
        <f t="shared" si="32"/>
        <v/>
      </c>
      <c r="P446" t="str">
        <f t="shared" si="33"/>
        <v/>
      </c>
      <c r="Q446" t="str">
        <f>IF(OR($P446="",$S446=""),"",IFERROR($P446-INDEX(Config!$E$15:$E$18,MATCH($S446,Config!$B$15:$B$18,0)),""))</f>
        <v/>
      </c>
      <c r="R446" t="str">
        <f t="shared" si="34"/>
        <v/>
      </c>
      <c r="S446" s="6" t="str">
        <f>IF(OR($A446="",$C446=""),"",IFERROR(INDEX(Turno!$C$3:$V$32,MATCH($C446,Turno!$B$3:$B$32,0),MATCH(DAY($A446),Turno!$C$1:$V$1,0)),""))</f>
        <v/>
      </c>
      <c r="T446" t="str">
        <f>IF(OR($E446="",$S446=""),"",IFERROR(MAX(0,ROUND((INDEX(Config!$D$15:$D$18,MATCH($S446,Config!$B$15:$B$18,0))-$E446)*1440,0)),""))</f>
        <v/>
      </c>
      <c r="U446" s="13" t="str">
        <f>IF(OR($N446="",$T446=""),"",IFERROR(MAX(0,1-($N446+$T446+MAX(0,N($Q446)))/ROUND((INDEX(Config!$D$15:$D$18,MATCH($S446,Config!$B$15:$B$18,0))-INDEX(Config!$C$15:$C$18,MATCH($S446,Config!$B$15:$B$18,0)))*1440,0)),""))</f>
        <v/>
      </c>
      <c r="V446" s="5"/>
    </row>
    <row r="447" spans="1:22" x14ac:dyDescent="0.25">
      <c r="A447" s="11"/>
      <c r="B447" s="5"/>
      <c r="C447" s="6" t="str">
        <f>IFERROR(INDEX(Ejecutivos!$B$2:$B$100,MATCH(B447,Ejecutivos!$A$2:$A$100,0)),"")</f>
        <v/>
      </c>
      <c r="D447" s="12"/>
      <c r="E447" s="12"/>
      <c r="F447" s="12"/>
      <c r="G447" s="12"/>
      <c r="H447" s="5"/>
      <c r="I447" s="5"/>
      <c r="J447" s="5"/>
      <c r="K447" s="5"/>
      <c r="L447" s="18">
        <v>0</v>
      </c>
      <c r="M447" t="str">
        <f t="shared" si="31"/>
        <v/>
      </c>
      <c r="N447" t="str">
        <f>IF(OR($D447="",$S447=""),"",IFERROR(MAX(0,ROUND(($D447-INDEX(Config!$C$15:$C$18,MATCH($S447,Config!$B$15:$B$18,0)))*24*60,0)),""))</f>
        <v/>
      </c>
      <c r="O447" t="str">
        <f t="shared" si="32"/>
        <v/>
      </c>
      <c r="P447" t="str">
        <f t="shared" si="33"/>
        <v/>
      </c>
      <c r="Q447" t="str">
        <f>IF(OR($P447="",$S447=""),"",IFERROR($P447-INDEX(Config!$E$15:$E$18,MATCH($S447,Config!$B$15:$B$18,0)),""))</f>
        <v/>
      </c>
      <c r="R447" t="str">
        <f t="shared" si="34"/>
        <v/>
      </c>
      <c r="S447" s="6" t="str">
        <f>IF(OR($A447="",$C447=""),"",IFERROR(INDEX(Turno!$C$3:$V$32,MATCH($C447,Turno!$B$3:$B$32,0),MATCH(DAY($A447),Turno!$C$1:$V$1,0)),""))</f>
        <v/>
      </c>
      <c r="T447" t="str">
        <f>IF(OR($E447="",$S447=""),"",IFERROR(MAX(0,ROUND((INDEX(Config!$D$15:$D$18,MATCH($S447,Config!$B$15:$B$18,0))-$E447)*1440,0)),""))</f>
        <v/>
      </c>
      <c r="U447" s="13" t="str">
        <f>IF(OR($N447="",$T447=""),"",IFERROR(MAX(0,1-($N447+$T447+MAX(0,N($Q447)))/ROUND((INDEX(Config!$D$15:$D$18,MATCH($S447,Config!$B$15:$B$18,0))-INDEX(Config!$C$15:$C$18,MATCH($S447,Config!$B$15:$B$18,0)))*1440,0)),""))</f>
        <v/>
      </c>
      <c r="V447" s="5"/>
    </row>
    <row r="448" spans="1:22" x14ac:dyDescent="0.25">
      <c r="A448" s="11"/>
      <c r="B448" s="5"/>
      <c r="C448" s="6" t="str">
        <f>IFERROR(INDEX(Ejecutivos!$B$2:$B$100,MATCH(B448,Ejecutivos!$A$2:$A$100,0)),"")</f>
        <v/>
      </c>
      <c r="D448" s="12"/>
      <c r="E448" s="12"/>
      <c r="F448" s="12"/>
      <c r="G448" s="12"/>
      <c r="H448" s="5"/>
      <c r="I448" s="5"/>
      <c r="J448" s="5"/>
      <c r="K448" s="5"/>
      <c r="L448" s="18">
        <v>0</v>
      </c>
      <c r="M448" t="str">
        <f t="shared" si="31"/>
        <v/>
      </c>
      <c r="N448" t="str">
        <f>IF(OR($D448="",$S448=""),"",IFERROR(MAX(0,ROUND(($D448-INDEX(Config!$C$15:$C$18,MATCH($S448,Config!$B$15:$B$18,0)))*24*60,0)),""))</f>
        <v/>
      </c>
      <c r="O448" t="str">
        <f t="shared" si="32"/>
        <v/>
      </c>
      <c r="P448" t="str">
        <f t="shared" si="33"/>
        <v/>
      </c>
      <c r="Q448" t="str">
        <f>IF(OR($P448="",$S448=""),"",IFERROR($P448-INDEX(Config!$E$15:$E$18,MATCH($S448,Config!$B$15:$B$18,0)),""))</f>
        <v/>
      </c>
      <c r="R448" t="str">
        <f t="shared" si="34"/>
        <v/>
      </c>
      <c r="S448" s="6" t="str">
        <f>IF(OR($A448="",$C448=""),"",IFERROR(INDEX(Turno!$C$3:$V$32,MATCH($C448,Turno!$B$3:$B$32,0),MATCH(DAY($A448),Turno!$C$1:$V$1,0)),""))</f>
        <v/>
      </c>
      <c r="T448" t="str">
        <f>IF(OR($E448="",$S448=""),"",IFERROR(MAX(0,ROUND((INDEX(Config!$D$15:$D$18,MATCH($S448,Config!$B$15:$B$18,0))-$E448)*1440,0)),""))</f>
        <v/>
      </c>
      <c r="U448" s="13" t="str">
        <f>IF(OR($N448="",$T448=""),"",IFERROR(MAX(0,1-($N448+$T448+MAX(0,N($Q448)))/ROUND((INDEX(Config!$D$15:$D$18,MATCH($S448,Config!$B$15:$B$18,0))-INDEX(Config!$C$15:$C$18,MATCH($S448,Config!$B$15:$B$18,0)))*1440,0)),""))</f>
        <v/>
      </c>
      <c r="V448" s="5"/>
    </row>
    <row r="449" spans="1:22" x14ac:dyDescent="0.25">
      <c r="A449" s="11"/>
      <c r="B449" s="5"/>
      <c r="C449" s="6" t="str">
        <f>IFERROR(INDEX(Ejecutivos!$B$2:$B$100,MATCH(B449,Ejecutivos!$A$2:$A$100,0)),"")</f>
        <v/>
      </c>
      <c r="D449" s="12"/>
      <c r="E449" s="12"/>
      <c r="F449" s="12"/>
      <c r="G449" s="12"/>
      <c r="H449" s="5"/>
      <c r="I449" s="5"/>
      <c r="J449" s="5"/>
      <c r="K449" s="5"/>
      <c r="L449" s="18">
        <v>0</v>
      </c>
      <c r="M449" t="str">
        <f t="shared" si="31"/>
        <v/>
      </c>
      <c r="N449" t="str">
        <f>IF(OR($D449="",$S449=""),"",IFERROR(MAX(0,ROUND(($D449-INDEX(Config!$C$15:$C$18,MATCH($S449,Config!$B$15:$B$18,0)))*24*60,0)),""))</f>
        <v/>
      </c>
      <c r="O449" t="str">
        <f t="shared" si="32"/>
        <v/>
      </c>
      <c r="P449" t="str">
        <f t="shared" si="33"/>
        <v/>
      </c>
      <c r="Q449" t="str">
        <f>IF(OR($P449="",$S449=""),"",IFERROR($P449-INDEX(Config!$E$15:$E$18,MATCH($S449,Config!$B$15:$B$18,0)),""))</f>
        <v/>
      </c>
      <c r="R449" t="str">
        <f t="shared" si="34"/>
        <v/>
      </c>
      <c r="S449" s="6" t="str">
        <f>IF(OR($A449="",$C449=""),"",IFERROR(INDEX(Turno!$C$3:$V$32,MATCH($C449,Turno!$B$3:$B$32,0),MATCH(DAY($A449),Turno!$C$1:$V$1,0)),""))</f>
        <v/>
      </c>
      <c r="T449" t="str">
        <f>IF(OR($E449="",$S449=""),"",IFERROR(MAX(0,ROUND((INDEX(Config!$D$15:$D$18,MATCH($S449,Config!$B$15:$B$18,0))-$E449)*1440,0)),""))</f>
        <v/>
      </c>
      <c r="U449" s="13" t="str">
        <f>IF(OR($N449="",$T449=""),"",IFERROR(MAX(0,1-($N449+$T449+MAX(0,N($Q449)))/ROUND((INDEX(Config!$D$15:$D$18,MATCH($S449,Config!$B$15:$B$18,0))-INDEX(Config!$C$15:$C$18,MATCH($S449,Config!$B$15:$B$18,0)))*1440,0)),""))</f>
        <v/>
      </c>
      <c r="V449" s="5"/>
    </row>
    <row r="450" spans="1:22" x14ac:dyDescent="0.25">
      <c r="A450" s="11"/>
      <c r="B450" s="5"/>
      <c r="C450" s="6" t="str">
        <f>IFERROR(INDEX(Ejecutivos!$B$2:$B$100,MATCH(B450,Ejecutivos!$A$2:$A$100,0)),"")</f>
        <v/>
      </c>
      <c r="D450" s="12"/>
      <c r="E450" s="12"/>
      <c r="F450" s="12"/>
      <c r="G450" s="12"/>
      <c r="H450" s="5"/>
      <c r="I450" s="5"/>
      <c r="J450" s="5"/>
      <c r="K450" s="5"/>
      <c r="L450" s="18">
        <v>0</v>
      </c>
      <c r="M450" t="str">
        <f t="shared" si="31"/>
        <v/>
      </c>
      <c r="N450" t="str">
        <f>IF(OR($D450="",$S450=""),"",IFERROR(MAX(0,ROUND(($D450-INDEX(Config!$C$15:$C$18,MATCH($S450,Config!$B$15:$B$18,0)))*24*60,0)),""))</f>
        <v/>
      </c>
      <c r="O450" t="str">
        <f t="shared" si="32"/>
        <v/>
      </c>
      <c r="P450" t="str">
        <f t="shared" si="33"/>
        <v/>
      </c>
      <c r="Q450" t="str">
        <f>IF(OR($P450="",$S450=""),"",IFERROR($P450-INDEX(Config!$E$15:$E$18,MATCH($S450,Config!$B$15:$B$18,0)),""))</f>
        <v/>
      </c>
      <c r="R450" t="str">
        <f t="shared" si="34"/>
        <v/>
      </c>
      <c r="S450" s="6" t="str">
        <f>IF(OR($A450="",$C450=""),"",IFERROR(INDEX(Turno!$C$3:$V$32,MATCH($C450,Turno!$B$3:$B$32,0),MATCH(DAY($A450),Turno!$C$1:$V$1,0)),""))</f>
        <v/>
      </c>
      <c r="T450" t="str">
        <f>IF(OR($E450="",$S450=""),"",IFERROR(MAX(0,ROUND((INDEX(Config!$D$15:$D$18,MATCH($S450,Config!$B$15:$B$18,0))-$E450)*1440,0)),""))</f>
        <v/>
      </c>
      <c r="U450" s="13" t="str">
        <f>IF(OR($N450="",$T450=""),"",IFERROR(MAX(0,1-($N450+$T450+MAX(0,N($Q450)))/ROUND((INDEX(Config!$D$15:$D$18,MATCH($S450,Config!$B$15:$B$18,0))-INDEX(Config!$C$15:$C$18,MATCH($S450,Config!$B$15:$B$18,0)))*1440,0)),""))</f>
        <v/>
      </c>
      <c r="V450" s="5"/>
    </row>
    <row r="451" spans="1:22" x14ac:dyDescent="0.25">
      <c r="A451" s="11"/>
      <c r="B451" s="5"/>
      <c r="C451" s="6" t="str">
        <f>IFERROR(INDEX(Ejecutivos!$B$2:$B$100,MATCH(B451,Ejecutivos!$A$2:$A$100,0)),"")</f>
        <v/>
      </c>
      <c r="D451" s="12"/>
      <c r="E451" s="12"/>
      <c r="F451" s="12"/>
      <c r="G451" s="12"/>
      <c r="H451" s="5"/>
      <c r="I451" s="5"/>
      <c r="J451" s="5"/>
      <c r="K451" s="5"/>
      <c r="L451" s="18">
        <v>0</v>
      </c>
      <c r="M451" t="str">
        <f t="shared" si="31"/>
        <v/>
      </c>
      <c r="N451" t="str">
        <f>IF(OR($D451="",$S451=""),"",IFERROR(MAX(0,ROUND(($D451-INDEX(Config!$C$15:$C$18,MATCH($S451,Config!$B$15:$B$18,0)))*24*60,0)),""))</f>
        <v/>
      </c>
      <c r="O451" t="str">
        <f t="shared" si="32"/>
        <v/>
      </c>
      <c r="P451" t="str">
        <f t="shared" si="33"/>
        <v/>
      </c>
      <c r="Q451" t="str">
        <f>IF(OR($P451="",$S451=""),"",IFERROR($P451-INDEX(Config!$E$15:$E$18,MATCH($S451,Config!$B$15:$B$18,0)),""))</f>
        <v/>
      </c>
      <c r="R451" t="str">
        <f t="shared" si="34"/>
        <v/>
      </c>
      <c r="S451" s="6" t="str">
        <f>IF(OR($A451="",$C451=""),"",IFERROR(INDEX(Turno!$C$3:$V$32,MATCH($C451,Turno!$B$3:$B$32,0),MATCH(DAY($A451),Turno!$C$1:$V$1,0)),""))</f>
        <v/>
      </c>
      <c r="T451" t="str">
        <f>IF(OR($E451="",$S451=""),"",IFERROR(MAX(0,ROUND((INDEX(Config!$D$15:$D$18,MATCH($S451,Config!$B$15:$B$18,0))-$E451)*1440,0)),""))</f>
        <v/>
      </c>
      <c r="U451" s="13" t="str">
        <f>IF(OR($N451="",$T451=""),"",IFERROR(MAX(0,1-($N451+$T451+MAX(0,N($Q451)))/ROUND((INDEX(Config!$D$15:$D$18,MATCH($S451,Config!$B$15:$B$18,0))-INDEX(Config!$C$15:$C$18,MATCH($S451,Config!$B$15:$B$18,0)))*1440,0)),""))</f>
        <v/>
      </c>
      <c r="V451" s="5"/>
    </row>
    <row r="452" spans="1:22" x14ac:dyDescent="0.25">
      <c r="A452" s="11"/>
      <c r="B452" s="5"/>
      <c r="C452" s="6" t="str">
        <f>IFERROR(INDEX(Ejecutivos!$B$2:$B$100,MATCH(B452,Ejecutivos!$A$2:$A$100,0)),"")</f>
        <v/>
      </c>
      <c r="D452" s="12"/>
      <c r="E452" s="12"/>
      <c r="F452" s="12"/>
      <c r="G452" s="12"/>
      <c r="H452" s="5"/>
      <c r="I452" s="5"/>
      <c r="J452" s="5"/>
      <c r="K452" s="5"/>
      <c r="L452" s="18">
        <v>0</v>
      </c>
      <c r="M452" t="str">
        <f t="shared" si="31"/>
        <v/>
      </c>
      <c r="N452" t="str">
        <f>IF(OR($D452="",$S452=""),"",IFERROR(MAX(0,ROUND(($D452-INDEX(Config!$C$15:$C$18,MATCH($S452,Config!$B$15:$B$18,0)))*24*60,0)),""))</f>
        <v/>
      </c>
      <c r="O452" t="str">
        <f t="shared" si="32"/>
        <v/>
      </c>
      <c r="P452" t="str">
        <f t="shared" si="33"/>
        <v/>
      </c>
      <c r="Q452" t="str">
        <f>IF(OR($P452="",$S452=""),"",IFERROR($P452-INDEX(Config!$E$15:$E$18,MATCH($S452,Config!$B$15:$B$18,0)),""))</f>
        <v/>
      </c>
      <c r="R452" t="str">
        <f t="shared" si="34"/>
        <v/>
      </c>
      <c r="S452" s="6" t="str">
        <f>IF(OR($A452="",$C452=""),"",IFERROR(INDEX(Turno!$C$3:$V$32,MATCH($C452,Turno!$B$3:$B$32,0),MATCH(DAY($A452),Turno!$C$1:$V$1,0)),""))</f>
        <v/>
      </c>
      <c r="T452" t="str">
        <f>IF(OR($E452="",$S452=""),"",IFERROR(MAX(0,ROUND((INDEX(Config!$D$15:$D$18,MATCH($S452,Config!$B$15:$B$18,0))-$E452)*1440,0)),""))</f>
        <v/>
      </c>
      <c r="U452" s="13" t="str">
        <f>IF(OR($N452="",$T452=""),"",IFERROR(MAX(0,1-($N452+$T452+MAX(0,N($Q452)))/ROUND((INDEX(Config!$D$15:$D$18,MATCH($S452,Config!$B$15:$B$18,0))-INDEX(Config!$C$15:$C$18,MATCH($S452,Config!$B$15:$B$18,0)))*1440,0)),""))</f>
        <v/>
      </c>
      <c r="V452" s="5"/>
    </row>
    <row r="453" spans="1:22" x14ac:dyDescent="0.25">
      <c r="A453" s="11"/>
      <c r="B453" s="5"/>
      <c r="C453" s="6" t="str">
        <f>IFERROR(INDEX(Ejecutivos!$B$2:$B$100,MATCH(B453,Ejecutivos!$A$2:$A$100,0)),"")</f>
        <v/>
      </c>
      <c r="D453" s="12"/>
      <c r="E453" s="12"/>
      <c r="F453" s="12"/>
      <c r="G453" s="12"/>
      <c r="H453" s="5"/>
      <c r="I453" s="5"/>
      <c r="J453" s="5"/>
      <c r="K453" s="5"/>
      <c r="L453" s="18">
        <v>0</v>
      </c>
      <c r="M453" t="str">
        <f t="shared" si="31"/>
        <v/>
      </c>
      <c r="N453" t="str">
        <f>IF(OR($D453="",$S453=""),"",IFERROR(MAX(0,ROUND(($D453-INDEX(Config!$C$15:$C$18,MATCH($S453,Config!$B$15:$B$18,0)))*24*60,0)),""))</f>
        <v/>
      </c>
      <c r="O453" t="str">
        <f t="shared" si="32"/>
        <v/>
      </c>
      <c r="P453" t="str">
        <f t="shared" si="33"/>
        <v/>
      </c>
      <c r="Q453" t="str">
        <f>IF(OR($P453="",$S453=""),"",IFERROR($P453-INDEX(Config!$E$15:$E$18,MATCH($S453,Config!$B$15:$B$18,0)),""))</f>
        <v/>
      </c>
      <c r="R453" t="str">
        <f t="shared" si="34"/>
        <v/>
      </c>
      <c r="S453" s="6" t="str">
        <f>IF(OR($A453="",$C453=""),"",IFERROR(INDEX(Turno!$C$3:$V$32,MATCH($C453,Turno!$B$3:$B$32,0),MATCH(DAY($A453),Turno!$C$1:$V$1,0)),""))</f>
        <v/>
      </c>
      <c r="T453" t="str">
        <f>IF(OR($E453="",$S453=""),"",IFERROR(MAX(0,ROUND((INDEX(Config!$D$15:$D$18,MATCH($S453,Config!$B$15:$B$18,0))-$E453)*1440,0)),""))</f>
        <v/>
      </c>
      <c r="U453" s="13" t="str">
        <f>IF(OR($N453="",$T453=""),"",IFERROR(MAX(0,1-($N453+$T453+MAX(0,N($Q453)))/ROUND((INDEX(Config!$D$15:$D$18,MATCH($S453,Config!$B$15:$B$18,0))-INDEX(Config!$C$15:$C$18,MATCH($S453,Config!$B$15:$B$18,0)))*1440,0)),""))</f>
        <v/>
      </c>
      <c r="V453" s="5"/>
    </row>
    <row r="454" spans="1:22" x14ac:dyDescent="0.25">
      <c r="A454" s="11"/>
      <c r="B454" s="5"/>
      <c r="C454" s="6" t="str">
        <f>IFERROR(INDEX(Ejecutivos!$B$2:$B$100,MATCH(B454,Ejecutivos!$A$2:$A$100,0)),"")</f>
        <v/>
      </c>
      <c r="D454" s="12"/>
      <c r="E454" s="12"/>
      <c r="F454" s="12"/>
      <c r="G454" s="12"/>
      <c r="H454" s="5"/>
      <c r="I454" s="5"/>
      <c r="J454" s="5"/>
      <c r="K454" s="5"/>
      <c r="L454" s="18">
        <v>0</v>
      </c>
      <c r="M454" t="str">
        <f t="shared" si="31"/>
        <v/>
      </c>
      <c r="N454" t="str">
        <f>IF(OR($D454="",$S454=""),"",IFERROR(MAX(0,ROUND(($D454-INDEX(Config!$C$15:$C$18,MATCH($S454,Config!$B$15:$B$18,0)))*24*60,0)),""))</f>
        <v/>
      </c>
      <c r="O454" t="str">
        <f t="shared" si="32"/>
        <v/>
      </c>
      <c r="P454" t="str">
        <f t="shared" si="33"/>
        <v/>
      </c>
      <c r="Q454" t="str">
        <f>IF(OR($P454="",$S454=""),"",IFERROR($P454-INDEX(Config!$E$15:$E$18,MATCH($S454,Config!$B$15:$B$18,0)),""))</f>
        <v/>
      </c>
      <c r="R454" t="str">
        <f t="shared" si="34"/>
        <v/>
      </c>
      <c r="S454" s="6" t="str">
        <f>IF(OR($A454="",$C454=""),"",IFERROR(INDEX(Turno!$C$3:$V$32,MATCH($C454,Turno!$B$3:$B$32,0),MATCH(DAY($A454),Turno!$C$1:$V$1,0)),""))</f>
        <v/>
      </c>
      <c r="T454" t="str">
        <f>IF(OR($E454="",$S454=""),"",IFERROR(MAX(0,ROUND((INDEX(Config!$D$15:$D$18,MATCH($S454,Config!$B$15:$B$18,0))-$E454)*1440,0)),""))</f>
        <v/>
      </c>
      <c r="U454" s="13" t="str">
        <f>IF(OR($N454="",$T454=""),"",IFERROR(MAX(0,1-($N454+$T454+MAX(0,N($Q454)))/ROUND((INDEX(Config!$D$15:$D$18,MATCH($S454,Config!$B$15:$B$18,0))-INDEX(Config!$C$15:$C$18,MATCH($S454,Config!$B$15:$B$18,0)))*1440,0)),""))</f>
        <v/>
      </c>
      <c r="V454" s="5"/>
    </row>
    <row r="455" spans="1:22" x14ac:dyDescent="0.25">
      <c r="A455" s="11"/>
      <c r="B455" s="5"/>
      <c r="C455" s="6" t="str">
        <f>IFERROR(INDEX(Ejecutivos!$B$2:$B$100,MATCH(B455,Ejecutivos!$A$2:$A$100,0)),"")</f>
        <v/>
      </c>
      <c r="D455" s="12"/>
      <c r="E455" s="12"/>
      <c r="F455" s="12"/>
      <c r="G455" s="12"/>
      <c r="H455" s="5"/>
      <c r="I455" s="5"/>
      <c r="J455" s="5"/>
      <c r="K455" s="5"/>
      <c r="L455" s="18">
        <v>0</v>
      </c>
      <c r="M455" t="str">
        <f t="shared" si="31"/>
        <v/>
      </c>
      <c r="N455" t="str">
        <f>IF(OR($D455="",$S455=""),"",IFERROR(MAX(0,ROUND(($D455-INDEX(Config!$C$15:$C$18,MATCH($S455,Config!$B$15:$B$18,0)))*24*60,0)),""))</f>
        <v/>
      </c>
      <c r="O455" t="str">
        <f t="shared" si="32"/>
        <v/>
      </c>
      <c r="P455" t="str">
        <f t="shared" si="33"/>
        <v/>
      </c>
      <c r="Q455" t="str">
        <f>IF(OR($P455="",$S455=""),"",IFERROR($P455-INDEX(Config!$E$15:$E$18,MATCH($S455,Config!$B$15:$B$18,0)),""))</f>
        <v/>
      </c>
      <c r="R455" t="str">
        <f t="shared" si="34"/>
        <v/>
      </c>
      <c r="S455" s="6" t="str">
        <f>IF(OR($A455="",$C455=""),"",IFERROR(INDEX(Turno!$C$3:$V$32,MATCH($C455,Turno!$B$3:$B$32,0),MATCH(DAY($A455),Turno!$C$1:$V$1,0)),""))</f>
        <v/>
      </c>
      <c r="T455" t="str">
        <f>IF(OR($E455="",$S455=""),"",IFERROR(MAX(0,ROUND((INDEX(Config!$D$15:$D$18,MATCH($S455,Config!$B$15:$B$18,0))-$E455)*1440,0)),""))</f>
        <v/>
      </c>
      <c r="U455" s="13" t="str">
        <f>IF(OR($N455="",$T455=""),"",IFERROR(MAX(0,1-($N455+$T455+MAX(0,N($Q455)))/ROUND((INDEX(Config!$D$15:$D$18,MATCH($S455,Config!$B$15:$B$18,0))-INDEX(Config!$C$15:$C$18,MATCH($S455,Config!$B$15:$B$18,0)))*1440,0)),""))</f>
        <v/>
      </c>
      <c r="V455" s="5"/>
    </row>
    <row r="456" spans="1:22" x14ac:dyDescent="0.25">
      <c r="A456" s="11"/>
      <c r="B456" s="5"/>
      <c r="C456" s="6" t="str">
        <f>IFERROR(INDEX(Ejecutivos!$B$2:$B$100,MATCH(B456,Ejecutivos!$A$2:$A$100,0)),"")</f>
        <v/>
      </c>
      <c r="D456" s="12"/>
      <c r="E456" s="12"/>
      <c r="F456" s="12"/>
      <c r="G456" s="12"/>
      <c r="H456" s="5"/>
      <c r="I456" s="5"/>
      <c r="J456" s="5"/>
      <c r="K456" s="5"/>
      <c r="L456" s="18">
        <v>0</v>
      </c>
      <c r="M456" t="str">
        <f t="shared" si="31"/>
        <v/>
      </c>
      <c r="N456" t="str">
        <f>IF(OR($D456="",$S456=""),"",IFERROR(MAX(0,ROUND(($D456-INDEX(Config!$C$15:$C$18,MATCH($S456,Config!$B$15:$B$18,0)))*24*60,0)),""))</f>
        <v/>
      </c>
      <c r="O456" t="str">
        <f t="shared" si="32"/>
        <v/>
      </c>
      <c r="P456" t="str">
        <f t="shared" si="33"/>
        <v/>
      </c>
      <c r="Q456" t="str">
        <f>IF(OR($P456="",$S456=""),"",IFERROR($P456-INDEX(Config!$E$15:$E$18,MATCH($S456,Config!$B$15:$B$18,0)),""))</f>
        <v/>
      </c>
      <c r="R456" t="str">
        <f t="shared" si="34"/>
        <v/>
      </c>
      <c r="S456" s="6" t="str">
        <f>IF(OR($A456="",$C456=""),"",IFERROR(INDEX(Turno!$C$3:$V$32,MATCH($C456,Turno!$B$3:$B$32,0),MATCH(DAY($A456),Turno!$C$1:$V$1,0)),""))</f>
        <v/>
      </c>
      <c r="T456" t="str">
        <f>IF(OR($E456="",$S456=""),"",IFERROR(MAX(0,ROUND((INDEX(Config!$D$15:$D$18,MATCH($S456,Config!$B$15:$B$18,0))-$E456)*1440,0)),""))</f>
        <v/>
      </c>
      <c r="U456" s="13" t="str">
        <f>IF(OR($N456="",$T456=""),"",IFERROR(MAX(0,1-($N456+$T456+MAX(0,N($Q456)))/ROUND((INDEX(Config!$D$15:$D$18,MATCH($S456,Config!$B$15:$B$18,0))-INDEX(Config!$C$15:$C$18,MATCH($S456,Config!$B$15:$B$18,0)))*1440,0)),""))</f>
        <v/>
      </c>
      <c r="V456" s="5"/>
    </row>
    <row r="457" spans="1:22" x14ac:dyDescent="0.25">
      <c r="A457" s="11"/>
      <c r="B457" s="5"/>
      <c r="C457" s="6" t="str">
        <f>IFERROR(INDEX(Ejecutivos!$B$2:$B$100,MATCH(B457,Ejecutivos!$A$2:$A$100,0)),"")</f>
        <v/>
      </c>
      <c r="D457" s="12"/>
      <c r="E457" s="12"/>
      <c r="F457" s="12"/>
      <c r="G457" s="12"/>
      <c r="H457" s="5"/>
      <c r="I457" s="5"/>
      <c r="J457" s="5"/>
      <c r="K457" s="5"/>
      <c r="L457" s="18">
        <v>0</v>
      </c>
      <c r="M457" t="str">
        <f t="shared" si="31"/>
        <v/>
      </c>
      <c r="N457" t="str">
        <f>IF(OR($D457="",$S457=""),"",IFERROR(MAX(0,ROUND(($D457-INDEX(Config!$C$15:$C$18,MATCH($S457,Config!$B$15:$B$18,0)))*24*60,0)),""))</f>
        <v/>
      </c>
      <c r="O457" t="str">
        <f t="shared" si="32"/>
        <v/>
      </c>
      <c r="P457" t="str">
        <f t="shared" si="33"/>
        <v/>
      </c>
      <c r="Q457" t="str">
        <f>IF(OR($P457="",$S457=""),"",IFERROR($P457-INDEX(Config!$E$15:$E$18,MATCH($S457,Config!$B$15:$B$18,0)),""))</f>
        <v/>
      </c>
      <c r="R457" t="str">
        <f t="shared" si="34"/>
        <v/>
      </c>
      <c r="S457" s="6" t="str">
        <f>IF(OR($A457="",$C457=""),"",IFERROR(INDEX(Turno!$C$3:$V$32,MATCH($C457,Turno!$B$3:$B$32,0),MATCH(DAY($A457),Turno!$C$1:$V$1,0)),""))</f>
        <v/>
      </c>
      <c r="T457" t="str">
        <f>IF(OR($E457="",$S457=""),"",IFERROR(MAX(0,ROUND((INDEX(Config!$D$15:$D$18,MATCH($S457,Config!$B$15:$B$18,0))-$E457)*1440,0)),""))</f>
        <v/>
      </c>
      <c r="U457" s="13" t="str">
        <f>IF(OR($N457="",$T457=""),"",IFERROR(MAX(0,1-($N457+$T457+MAX(0,N($Q457)))/ROUND((INDEX(Config!$D$15:$D$18,MATCH($S457,Config!$B$15:$B$18,0))-INDEX(Config!$C$15:$C$18,MATCH($S457,Config!$B$15:$B$18,0)))*1440,0)),""))</f>
        <v/>
      </c>
      <c r="V457" s="5"/>
    </row>
    <row r="458" spans="1:22" x14ac:dyDescent="0.25">
      <c r="A458" s="11"/>
      <c r="B458" s="5"/>
      <c r="C458" s="6" t="str">
        <f>IFERROR(INDEX(Ejecutivos!$B$2:$B$100,MATCH(B458,Ejecutivos!$A$2:$A$100,0)),"")</f>
        <v/>
      </c>
      <c r="D458" s="12"/>
      <c r="E458" s="12"/>
      <c r="F458" s="12"/>
      <c r="G458" s="12"/>
      <c r="H458" s="5"/>
      <c r="I458" s="5"/>
      <c r="J458" s="5"/>
      <c r="K458" s="5"/>
      <c r="L458" s="18">
        <v>0</v>
      </c>
      <c r="M458" t="str">
        <f t="shared" si="31"/>
        <v/>
      </c>
      <c r="N458" t="str">
        <f>IF(OR($D458="",$S458=""),"",IFERROR(MAX(0,ROUND(($D458-INDEX(Config!$C$15:$C$18,MATCH($S458,Config!$B$15:$B$18,0)))*24*60,0)),""))</f>
        <v/>
      </c>
      <c r="O458" t="str">
        <f t="shared" si="32"/>
        <v/>
      </c>
      <c r="P458" t="str">
        <f t="shared" si="33"/>
        <v/>
      </c>
      <c r="Q458" t="str">
        <f>IF(OR($P458="",$S458=""),"",IFERROR($P458-INDEX(Config!$E$15:$E$18,MATCH($S458,Config!$B$15:$B$18,0)),""))</f>
        <v/>
      </c>
      <c r="R458" t="str">
        <f t="shared" si="34"/>
        <v/>
      </c>
      <c r="S458" s="6" t="str">
        <f>IF(OR($A458="",$C458=""),"",IFERROR(INDEX(Turno!$C$3:$V$32,MATCH($C458,Turno!$B$3:$B$32,0),MATCH(DAY($A458),Turno!$C$1:$V$1,0)),""))</f>
        <v/>
      </c>
      <c r="T458" t="str">
        <f>IF(OR($E458="",$S458=""),"",IFERROR(MAX(0,ROUND((INDEX(Config!$D$15:$D$18,MATCH($S458,Config!$B$15:$B$18,0))-$E458)*1440,0)),""))</f>
        <v/>
      </c>
      <c r="U458" s="13" t="str">
        <f>IF(OR($N458="",$T458=""),"",IFERROR(MAX(0,1-($N458+$T458+MAX(0,N($Q458)))/ROUND((INDEX(Config!$D$15:$D$18,MATCH($S458,Config!$B$15:$B$18,0))-INDEX(Config!$C$15:$C$18,MATCH($S458,Config!$B$15:$B$18,0)))*1440,0)),""))</f>
        <v/>
      </c>
      <c r="V458" s="5"/>
    </row>
    <row r="459" spans="1:22" x14ac:dyDescent="0.25">
      <c r="A459" s="11"/>
      <c r="B459" s="5"/>
      <c r="C459" s="6" t="str">
        <f>IFERROR(INDEX(Ejecutivos!$B$2:$B$100,MATCH(B459,Ejecutivos!$A$2:$A$100,0)),"")</f>
        <v/>
      </c>
      <c r="D459" s="12"/>
      <c r="E459" s="12"/>
      <c r="F459" s="12"/>
      <c r="G459" s="12"/>
      <c r="H459" s="5"/>
      <c r="I459" s="5"/>
      <c r="J459" s="5"/>
      <c r="K459" s="5"/>
      <c r="L459" s="18">
        <v>0</v>
      </c>
      <c r="M459" t="str">
        <f t="shared" si="31"/>
        <v/>
      </c>
      <c r="N459" t="str">
        <f>IF(OR($D459="",$S459=""),"",IFERROR(MAX(0,ROUND(($D459-INDEX(Config!$C$15:$C$18,MATCH($S459,Config!$B$15:$B$18,0)))*24*60,0)),""))</f>
        <v/>
      </c>
      <c r="O459" t="str">
        <f t="shared" si="32"/>
        <v/>
      </c>
      <c r="P459" t="str">
        <f t="shared" si="33"/>
        <v/>
      </c>
      <c r="Q459" t="str">
        <f>IF(OR($P459="",$S459=""),"",IFERROR($P459-INDEX(Config!$E$15:$E$18,MATCH($S459,Config!$B$15:$B$18,0)),""))</f>
        <v/>
      </c>
      <c r="R459" t="str">
        <f t="shared" si="34"/>
        <v/>
      </c>
      <c r="S459" s="6" t="str">
        <f>IF(OR($A459="",$C459=""),"",IFERROR(INDEX(Turno!$C$3:$V$32,MATCH($C459,Turno!$B$3:$B$32,0),MATCH(DAY($A459),Turno!$C$1:$V$1,0)),""))</f>
        <v/>
      </c>
      <c r="T459" t="str">
        <f>IF(OR($E459="",$S459=""),"",IFERROR(MAX(0,ROUND((INDEX(Config!$D$15:$D$18,MATCH($S459,Config!$B$15:$B$18,0))-$E459)*1440,0)),""))</f>
        <v/>
      </c>
      <c r="U459" s="13" t="str">
        <f>IF(OR($N459="",$T459=""),"",IFERROR(MAX(0,1-($N459+$T459+MAX(0,N($Q459)))/ROUND((INDEX(Config!$D$15:$D$18,MATCH($S459,Config!$B$15:$B$18,0))-INDEX(Config!$C$15:$C$18,MATCH($S459,Config!$B$15:$B$18,0)))*1440,0)),""))</f>
        <v/>
      </c>
      <c r="V459" s="5"/>
    </row>
    <row r="460" spans="1:22" x14ac:dyDescent="0.25">
      <c r="A460" s="11"/>
      <c r="B460" s="5"/>
      <c r="C460" s="6" t="str">
        <f>IFERROR(INDEX(Ejecutivos!$B$2:$B$100,MATCH(B460,Ejecutivos!$A$2:$A$100,0)),"")</f>
        <v/>
      </c>
      <c r="D460" s="12"/>
      <c r="E460" s="12"/>
      <c r="F460" s="12"/>
      <c r="G460" s="12"/>
      <c r="H460" s="5"/>
      <c r="I460" s="5"/>
      <c r="J460" s="5"/>
      <c r="K460" s="5"/>
      <c r="L460" s="18">
        <v>0</v>
      </c>
      <c r="M460" t="str">
        <f t="shared" si="31"/>
        <v/>
      </c>
      <c r="N460" t="str">
        <f>IF(OR($D460="",$S460=""),"",IFERROR(MAX(0,ROUND(($D460-INDEX(Config!$C$15:$C$18,MATCH($S460,Config!$B$15:$B$18,0)))*24*60,0)),""))</f>
        <v/>
      </c>
      <c r="O460" t="str">
        <f t="shared" si="32"/>
        <v/>
      </c>
      <c r="P460" t="str">
        <f t="shared" si="33"/>
        <v/>
      </c>
      <c r="Q460" t="str">
        <f>IF(OR($P460="",$S460=""),"",IFERROR($P460-INDEX(Config!$E$15:$E$18,MATCH($S460,Config!$B$15:$B$18,0)),""))</f>
        <v/>
      </c>
      <c r="R460" t="str">
        <f t="shared" si="34"/>
        <v/>
      </c>
      <c r="S460" s="6" t="str">
        <f>IF(OR($A460="",$C460=""),"",IFERROR(INDEX(Turno!$C$3:$V$32,MATCH($C460,Turno!$B$3:$B$32,0),MATCH(DAY($A460),Turno!$C$1:$V$1,0)),""))</f>
        <v/>
      </c>
      <c r="T460" t="str">
        <f>IF(OR($E460="",$S460=""),"",IFERROR(MAX(0,ROUND((INDEX(Config!$D$15:$D$18,MATCH($S460,Config!$B$15:$B$18,0))-$E460)*1440,0)),""))</f>
        <v/>
      </c>
      <c r="U460" s="13" t="str">
        <f>IF(OR($N460="",$T460=""),"",IFERROR(MAX(0,1-($N460+$T460+MAX(0,N($Q460)))/ROUND((INDEX(Config!$D$15:$D$18,MATCH($S460,Config!$B$15:$B$18,0))-INDEX(Config!$C$15:$C$18,MATCH($S460,Config!$B$15:$B$18,0)))*1440,0)),""))</f>
        <v/>
      </c>
      <c r="V460" s="5"/>
    </row>
    <row r="461" spans="1:22" x14ac:dyDescent="0.25">
      <c r="A461" s="11"/>
      <c r="B461" s="5"/>
      <c r="C461" s="6" t="str">
        <f>IFERROR(INDEX(Ejecutivos!$B$2:$B$100,MATCH(B461,Ejecutivos!$A$2:$A$100,0)),"")</f>
        <v/>
      </c>
      <c r="D461" s="12"/>
      <c r="E461" s="12"/>
      <c r="F461" s="12"/>
      <c r="G461" s="12"/>
      <c r="H461" s="5"/>
      <c r="I461" s="5"/>
      <c r="J461" s="5"/>
      <c r="K461" s="5"/>
      <c r="L461" s="18">
        <v>0</v>
      </c>
      <c r="M461" t="str">
        <f t="shared" si="31"/>
        <v/>
      </c>
      <c r="N461" t="str">
        <f>IF(OR($D461="",$S461=""),"",IFERROR(MAX(0,ROUND(($D461-INDEX(Config!$C$15:$C$18,MATCH($S461,Config!$B$15:$B$18,0)))*24*60,0)),""))</f>
        <v/>
      </c>
      <c r="O461" t="str">
        <f t="shared" si="32"/>
        <v/>
      </c>
      <c r="P461" t="str">
        <f t="shared" si="33"/>
        <v/>
      </c>
      <c r="Q461" t="str">
        <f>IF(OR($P461="",$S461=""),"",IFERROR($P461-INDEX(Config!$E$15:$E$18,MATCH($S461,Config!$B$15:$B$18,0)),""))</f>
        <v/>
      </c>
      <c r="R461" t="str">
        <f t="shared" si="34"/>
        <v/>
      </c>
      <c r="S461" s="6" t="str">
        <f>IF(OR($A461="",$C461=""),"",IFERROR(INDEX(Turno!$C$3:$V$32,MATCH($C461,Turno!$B$3:$B$32,0),MATCH(DAY($A461),Turno!$C$1:$V$1,0)),""))</f>
        <v/>
      </c>
      <c r="T461" t="str">
        <f>IF(OR($E461="",$S461=""),"",IFERROR(MAX(0,ROUND((INDEX(Config!$D$15:$D$18,MATCH($S461,Config!$B$15:$B$18,0))-$E461)*1440,0)),""))</f>
        <v/>
      </c>
      <c r="U461" s="13" t="str">
        <f>IF(OR($N461="",$T461=""),"",IFERROR(MAX(0,1-($N461+$T461+MAX(0,N($Q461)))/ROUND((INDEX(Config!$D$15:$D$18,MATCH($S461,Config!$B$15:$B$18,0))-INDEX(Config!$C$15:$C$18,MATCH($S461,Config!$B$15:$B$18,0)))*1440,0)),""))</f>
        <v/>
      </c>
      <c r="V461" s="5"/>
    </row>
    <row r="462" spans="1:22" x14ac:dyDescent="0.25">
      <c r="A462" s="11"/>
      <c r="B462" s="5"/>
      <c r="C462" s="6" t="str">
        <f>IFERROR(INDEX(Ejecutivos!$B$2:$B$100,MATCH(B462,Ejecutivos!$A$2:$A$100,0)),"")</f>
        <v/>
      </c>
      <c r="D462" s="12"/>
      <c r="E462" s="12"/>
      <c r="F462" s="12"/>
      <c r="G462" s="12"/>
      <c r="H462" s="5"/>
      <c r="I462" s="5"/>
      <c r="J462" s="5"/>
      <c r="K462" s="5"/>
      <c r="L462" s="18">
        <v>0</v>
      </c>
      <c r="M462" t="str">
        <f t="shared" si="31"/>
        <v/>
      </c>
      <c r="N462" t="str">
        <f>IF(OR($D462="",$S462=""),"",IFERROR(MAX(0,ROUND(($D462-INDEX(Config!$C$15:$C$18,MATCH($S462,Config!$B$15:$B$18,0)))*24*60,0)),""))</f>
        <v/>
      </c>
      <c r="O462" t="str">
        <f t="shared" si="32"/>
        <v/>
      </c>
      <c r="P462" t="str">
        <f t="shared" si="33"/>
        <v/>
      </c>
      <c r="Q462" t="str">
        <f>IF(OR($P462="",$S462=""),"",IFERROR($P462-INDEX(Config!$E$15:$E$18,MATCH($S462,Config!$B$15:$B$18,0)),""))</f>
        <v/>
      </c>
      <c r="R462" t="str">
        <f t="shared" si="34"/>
        <v/>
      </c>
      <c r="S462" s="6" t="str">
        <f>IF(OR($A462="",$C462=""),"",IFERROR(INDEX(Turno!$C$3:$V$32,MATCH($C462,Turno!$B$3:$B$32,0),MATCH(DAY($A462),Turno!$C$1:$V$1,0)),""))</f>
        <v/>
      </c>
      <c r="T462" t="str">
        <f>IF(OR($E462="",$S462=""),"",IFERROR(MAX(0,ROUND((INDEX(Config!$D$15:$D$18,MATCH($S462,Config!$B$15:$B$18,0))-$E462)*1440,0)),""))</f>
        <v/>
      </c>
      <c r="U462" s="13" t="str">
        <f>IF(OR($N462="",$T462=""),"",IFERROR(MAX(0,1-($N462+$T462+MAX(0,N($Q462)))/ROUND((INDEX(Config!$D$15:$D$18,MATCH($S462,Config!$B$15:$B$18,0))-INDEX(Config!$C$15:$C$18,MATCH($S462,Config!$B$15:$B$18,0)))*1440,0)),""))</f>
        <v/>
      </c>
      <c r="V462" s="5"/>
    </row>
    <row r="463" spans="1:22" x14ac:dyDescent="0.25">
      <c r="A463" s="11"/>
      <c r="B463" s="5"/>
      <c r="C463" s="6" t="str">
        <f>IFERROR(INDEX(Ejecutivos!$B$2:$B$100,MATCH(B463,Ejecutivos!$A$2:$A$100,0)),"")</f>
        <v/>
      </c>
      <c r="D463" s="12"/>
      <c r="E463" s="12"/>
      <c r="F463" s="12"/>
      <c r="G463" s="12"/>
      <c r="H463" s="5"/>
      <c r="I463" s="5"/>
      <c r="J463" s="5"/>
      <c r="K463" s="5"/>
      <c r="L463" s="18">
        <v>0</v>
      </c>
      <c r="M463" t="str">
        <f t="shared" si="31"/>
        <v/>
      </c>
      <c r="N463" t="str">
        <f>IF(OR($D463="",$S463=""),"",IFERROR(MAX(0,ROUND(($D463-INDEX(Config!$C$15:$C$18,MATCH($S463,Config!$B$15:$B$18,0)))*24*60,0)),""))</f>
        <v/>
      </c>
      <c r="O463" t="str">
        <f t="shared" si="32"/>
        <v/>
      </c>
      <c r="P463" t="str">
        <f t="shared" si="33"/>
        <v/>
      </c>
      <c r="Q463" t="str">
        <f>IF(OR($P463="",$S463=""),"",IFERROR($P463-INDEX(Config!$E$15:$E$18,MATCH($S463,Config!$B$15:$B$18,0)),""))</f>
        <v/>
      </c>
      <c r="R463" t="str">
        <f t="shared" si="34"/>
        <v/>
      </c>
      <c r="S463" s="6" t="str">
        <f>IF(OR($A463="",$C463=""),"",IFERROR(INDEX(Turno!$C$3:$V$32,MATCH($C463,Turno!$B$3:$B$32,0),MATCH(DAY($A463),Turno!$C$1:$V$1,0)),""))</f>
        <v/>
      </c>
      <c r="T463" t="str">
        <f>IF(OR($E463="",$S463=""),"",IFERROR(MAX(0,ROUND((INDEX(Config!$D$15:$D$18,MATCH($S463,Config!$B$15:$B$18,0))-$E463)*1440,0)),""))</f>
        <v/>
      </c>
      <c r="U463" s="13" t="str">
        <f>IF(OR($N463="",$T463=""),"",IFERROR(MAX(0,1-($N463+$T463+MAX(0,N($Q463)))/ROUND((INDEX(Config!$D$15:$D$18,MATCH($S463,Config!$B$15:$B$18,0))-INDEX(Config!$C$15:$C$18,MATCH($S463,Config!$B$15:$B$18,0)))*1440,0)),""))</f>
        <v/>
      </c>
      <c r="V463" s="5"/>
    </row>
    <row r="464" spans="1:22" x14ac:dyDescent="0.25">
      <c r="A464" s="11"/>
      <c r="B464" s="5"/>
      <c r="C464" s="6" t="str">
        <f>IFERROR(INDEX(Ejecutivos!$B$2:$B$100,MATCH(B464,Ejecutivos!$A$2:$A$100,0)),"")</f>
        <v/>
      </c>
      <c r="D464" s="12"/>
      <c r="E464" s="12"/>
      <c r="F464" s="12"/>
      <c r="G464" s="12"/>
      <c r="H464" s="5"/>
      <c r="I464" s="5"/>
      <c r="J464" s="5"/>
      <c r="K464" s="5"/>
      <c r="L464" s="18">
        <v>0</v>
      </c>
      <c r="M464" t="str">
        <f t="shared" si="31"/>
        <v/>
      </c>
      <c r="N464" t="str">
        <f>IF(OR($D464="",$S464=""),"",IFERROR(MAX(0,ROUND(($D464-INDEX(Config!$C$15:$C$18,MATCH($S464,Config!$B$15:$B$18,0)))*24*60,0)),""))</f>
        <v/>
      </c>
      <c r="O464" t="str">
        <f t="shared" si="32"/>
        <v/>
      </c>
      <c r="P464" t="str">
        <f t="shared" si="33"/>
        <v/>
      </c>
      <c r="Q464" t="str">
        <f>IF(OR($P464="",$S464=""),"",IFERROR($P464-INDEX(Config!$E$15:$E$18,MATCH($S464,Config!$B$15:$B$18,0)),""))</f>
        <v/>
      </c>
      <c r="R464" t="str">
        <f t="shared" si="34"/>
        <v/>
      </c>
      <c r="S464" s="6" t="str">
        <f>IF(OR($A464="",$C464=""),"",IFERROR(INDEX(Turno!$C$3:$V$32,MATCH($C464,Turno!$B$3:$B$32,0),MATCH(DAY($A464),Turno!$C$1:$V$1,0)),""))</f>
        <v/>
      </c>
      <c r="T464" t="str">
        <f>IF(OR($E464="",$S464=""),"",IFERROR(MAX(0,ROUND((INDEX(Config!$D$15:$D$18,MATCH($S464,Config!$B$15:$B$18,0))-$E464)*1440,0)),""))</f>
        <v/>
      </c>
      <c r="U464" s="13" t="str">
        <f>IF(OR($N464="",$T464=""),"",IFERROR(MAX(0,1-($N464+$T464+MAX(0,N($Q464)))/ROUND((INDEX(Config!$D$15:$D$18,MATCH($S464,Config!$B$15:$B$18,0))-INDEX(Config!$C$15:$C$18,MATCH($S464,Config!$B$15:$B$18,0)))*1440,0)),""))</f>
        <v/>
      </c>
      <c r="V464" s="5"/>
    </row>
    <row r="465" spans="1:22" x14ac:dyDescent="0.25">
      <c r="A465" s="11"/>
      <c r="B465" s="5"/>
      <c r="C465" s="6" t="str">
        <f>IFERROR(INDEX(Ejecutivos!$B$2:$B$100,MATCH(B465,Ejecutivos!$A$2:$A$100,0)),"")</f>
        <v/>
      </c>
      <c r="D465" s="12"/>
      <c r="E465" s="12"/>
      <c r="F465" s="12"/>
      <c r="G465" s="12"/>
      <c r="H465" s="5"/>
      <c r="I465" s="5"/>
      <c r="J465" s="5"/>
      <c r="K465" s="5"/>
      <c r="L465" s="18">
        <v>0</v>
      </c>
      <c r="M465" t="str">
        <f t="shared" si="31"/>
        <v/>
      </c>
      <c r="N465" t="str">
        <f>IF(OR($D465="",$S465=""),"",IFERROR(MAX(0,ROUND(($D465-INDEX(Config!$C$15:$C$18,MATCH($S465,Config!$B$15:$B$18,0)))*24*60,0)),""))</f>
        <v/>
      </c>
      <c r="O465" t="str">
        <f t="shared" si="32"/>
        <v/>
      </c>
      <c r="P465" t="str">
        <f t="shared" si="33"/>
        <v/>
      </c>
      <c r="Q465" t="str">
        <f>IF(OR($P465="",$S465=""),"",IFERROR($P465-INDEX(Config!$E$15:$E$18,MATCH($S465,Config!$B$15:$B$18,0)),""))</f>
        <v/>
      </c>
      <c r="R465" t="str">
        <f t="shared" si="34"/>
        <v/>
      </c>
      <c r="S465" s="6" t="str">
        <f>IF(OR($A465="",$C465=""),"",IFERROR(INDEX(Turno!$C$3:$V$32,MATCH($C465,Turno!$B$3:$B$32,0),MATCH(DAY($A465),Turno!$C$1:$V$1,0)),""))</f>
        <v/>
      </c>
      <c r="T465" t="str">
        <f>IF(OR($E465="",$S465=""),"",IFERROR(MAX(0,ROUND((INDEX(Config!$D$15:$D$18,MATCH($S465,Config!$B$15:$B$18,0))-$E465)*1440,0)),""))</f>
        <v/>
      </c>
      <c r="U465" s="13" t="str">
        <f>IF(OR($N465="",$T465=""),"",IFERROR(MAX(0,1-($N465+$T465+MAX(0,N($Q465)))/ROUND((INDEX(Config!$D$15:$D$18,MATCH($S465,Config!$B$15:$B$18,0))-INDEX(Config!$C$15:$C$18,MATCH($S465,Config!$B$15:$B$18,0)))*1440,0)),""))</f>
        <v/>
      </c>
      <c r="V465" s="5"/>
    </row>
    <row r="466" spans="1:22" x14ac:dyDescent="0.25">
      <c r="A466" s="11"/>
      <c r="B466" s="5"/>
      <c r="C466" s="6" t="str">
        <f>IFERROR(INDEX(Ejecutivos!$B$2:$B$100,MATCH(B466,Ejecutivos!$A$2:$A$100,0)),"")</f>
        <v/>
      </c>
      <c r="D466" s="12"/>
      <c r="E466" s="12"/>
      <c r="F466" s="12"/>
      <c r="G466" s="12"/>
      <c r="H466" s="5"/>
      <c r="I466" s="5"/>
      <c r="J466" s="5"/>
      <c r="K466" s="5"/>
      <c r="L466" s="18">
        <v>0</v>
      </c>
      <c r="M466" t="str">
        <f t="shared" si="31"/>
        <v/>
      </c>
      <c r="N466" t="str">
        <f>IF(OR($D466="",$S466=""),"",IFERROR(MAX(0,ROUND(($D466-INDEX(Config!$C$15:$C$18,MATCH($S466,Config!$B$15:$B$18,0)))*24*60,0)),""))</f>
        <v/>
      </c>
      <c r="O466" t="str">
        <f t="shared" si="32"/>
        <v/>
      </c>
      <c r="P466" t="str">
        <f t="shared" si="33"/>
        <v/>
      </c>
      <c r="Q466" t="str">
        <f>IF(OR($P466="",$S466=""),"",IFERROR($P466-INDEX(Config!$E$15:$E$18,MATCH($S466,Config!$B$15:$B$18,0)),""))</f>
        <v/>
      </c>
      <c r="R466" t="str">
        <f t="shared" si="34"/>
        <v/>
      </c>
      <c r="S466" s="6" t="str">
        <f>IF(OR($A466="",$C466=""),"",IFERROR(INDEX(Turno!$C$3:$V$32,MATCH($C466,Turno!$B$3:$B$32,0),MATCH(DAY($A466),Turno!$C$1:$V$1,0)),""))</f>
        <v/>
      </c>
      <c r="T466" t="str">
        <f>IF(OR($E466="",$S466=""),"",IFERROR(MAX(0,ROUND((INDEX(Config!$D$15:$D$18,MATCH($S466,Config!$B$15:$B$18,0))-$E466)*1440,0)),""))</f>
        <v/>
      </c>
      <c r="U466" s="13" t="str">
        <f>IF(OR($N466="",$T466=""),"",IFERROR(MAX(0,1-($N466+$T466+MAX(0,N($Q466)))/ROUND((INDEX(Config!$D$15:$D$18,MATCH($S466,Config!$B$15:$B$18,0))-INDEX(Config!$C$15:$C$18,MATCH($S466,Config!$B$15:$B$18,0)))*1440,0)),""))</f>
        <v/>
      </c>
      <c r="V466" s="5"/>
    </row>
    <row r="467" spans="1:22" x14ac:dyDescent="0.25">
      <c r="A467" s="11"/>
      <c r="B467" s="5"/>
      <c r="C467" s="6" t="str">
        <f>IFERROR(INDEX(Ejecutivos!$B$2:$B$100,MATCH(B467,Ejecutivos!$A$2:$A$100,0)),"")</f>
        <v/>
      </c>
      <c r="D467" s="12"/>
      <c r="E467" s="12"/>
      <c r="F467" s="12"/>
      <c r="G467" s="12"/>
      <c r="H467" s="5"/>
      <c r="I467" s="5"/>
      <c r="J467" s="5"/>
      <c r="K467" s="5"/>
      <c r="L467" s="18">
        <v>0</v>
      </c>
      <c r="M467" t="str">
        <f t="shared" si="31"/>
        <v/>
      </c>
      <c r="N467" t="str">
        <f>IF(OR($D467="",$S467=""),"",IFERROR(MAX(0,ROUND(($D467-INDEX(Config!$C$15:$C$18,MATCH($S467,Config!$B$15:$B$18,0)))*24*60,0)),""))</f>
        <v/>
      </c>
      <c r="O467" t="str">
        <f t="shared" si="32"/>
        <v/>
      </c>
      <c r="P467" t="str">
        <f t="shared" si="33"/>
        <v/>
      </c>
      <c r="Q467" t="str">
        <f>IF(OR($P467="",$S467=""),"",IFERROR($P467-INDEX(Config!$E$15:$E$18,MATCH($S467,Config!$B$15:$B$18,0)),""))</f>
        <v/>
      </c>
      <c r="R467" t="str">
        <f t="shared" si="34"/>
        <v/>
      </c>
      <c r="S467" s="6" t="str">
        <f>IF(OR($A467="",$C467=""),"",IFERROR(INDEX(Turno!$C$3:$V$32,MATCH($C467,Turno!$B$3:$B$32,0),MATCH(DAY($A467),Turno!$C$1:$V$1,0)),""))</f>
        <v/>
      </c>
      <c r="T467" t="str">
        <f>IF(OR($E467="",$S467=""),"",IFERROR(MAX(0,ROUND((INDEX(Config!$D$15:$D$18,MATCH($S467,Config!$B$15:$B$18,0))-$E467)*1440,0)),""))</f>
        <v/>
      </c>
      <c r="U467" s="13" t="str">
        <f>IF(OR($N467="",$T467=""),"",IFERROR(MAX(0,1-($N467+$T467+MAX(0,N($Q467)))/ROUND((INDEX(Config!$D$15:$D$18,MATCH($S467,Config!$B$15:$B$18,0))-INDEX(Config!$C$15:$C$18,MATCH($S467,Config!$B$15:$B$18,0)))*1440,0)),""))</f>
        <v/>
      </c>
      <c r="V467" s="5"/>
    </row>
    <row r="468" spans="1:22" x14ac:dyDescent="0.25">
      <c r="A468" s="11"/>
      <c r="B468" s="5"/>
      <c r="C468" s="6" t="str">
        <f>IFERROR(INDEX(Ejecutivos!$B$2:$B$100,MATCH(B468,Ejecutivos!$A$2:$A$100,0)),"")</f>
        <v/>
      </c>
      <c r="D468" s="12"/>
      <c r="E468" s="12"/>
      <c r="F468" s="12"/>
      <c r="G468" s="12"/>
      <c r="H468" s="5"/>
      <c r="I468" s="5"/>
      <c r="J468" s="5"/>
      <c r="K468" s="5"/>
      <c r="L468" s="18">
        <v>0</v>
      </c>
      <c r="M468" t="str">
        <f t="shared" si="31"/>
        <v/>
      </c>
      <c r="N468" t="str">
        <f>IF(OR($D468="",$S468=""),"",IFERROR(MAX(0,ROUND(($D468-INDEX(Config!$C$15:$C$18,MATCH($S468,Config!$B$15:$B$18,0)))*24*60,0)),""))</f>
        <v/>
      </c>
      <c r="O468" t="str">
        <f t="shared" si="32"/>
        <v/>
      </c>
      <c r="P468" t="str">
        <f t="shared" si="33"/>
        <v/>
      </c>
      <c r="Q468" t="str">
        <f>IF(OR($P468="",$S468=""),"",IFERROR($P468-INDEX(Config!$E$15:$E$18,MATCH($S468,Config!$B$15:$B$18,0)),""))</f>
        <v/>
      </c>
      <c r="R468" t="str">
        <f t="shared" si="34"/>
        <v/>
      </c>
      <c r="S468" s="6" t="str">
        <f>IF(OR($A468="",$C468=""),"",IFERROR(INDEX(Turno!$C$3:$V$32,MATCH($C468,Turno!$B$3:$B$32,0),MATCH(DAY($A468),Turno!$C$1:$V$1,0)),""))</f>
        <v/>
      </c>
      <c r="T468" t="str">
        <f>IF(OR($E468="",$S468=""),"",IFERROR(MAX(0,ROUND((INDEX(Config!$D$15:$D$18,MATCH($S468,Config!$B$15:$B$18,0))-$E468)*1440,0)),""))</f>
        <v/>
      </c>
      <c r="U468" s="13" t="str">
        <f>IF(OR($N468="",$T468=""),"",IFERROR(MAX(0,1-($N468+$T468+MAX(0,N($Q468)))/ROUND((INDEX(Config!$D$15:$D$18,MATCH($S468,Config!$B$15:$B$18,0))-INDEX(Config!$C$15:$C$18,MATCH($S468,Config!$B$15:$B$18,0)))*1440,0)),""))</f>
        <v/>
      </c>
      <c r="V468" s="5"/>
    </row>
    <row r="469" spans="1:22" x14ac:dyDescent="0.25">
      <c r="A469" s="11"/>
      <c r="B469" s="5"/>
      <c r="C469" s="6" t="str">
        <f>IFERROR(INDEX(Ejecutivos!$B$2:$B$100,MATCH(B469,Ejecutivos!$A$2:$A$100,0)),"")</f>
        <v/>
      </c>
      <c r="D469" s="12"/>
      <c r="E469" s="12"/>
      <c r="F469" s="12"/>
      <c r="G469" s="12"/>
      <c r="H469" s="5"/>
      <c r="I469" s="5"/>
      <c r="J469" s="5"/>
      <c r="K469" s="5"/>
      <c r="L469" s="18">
        <v>0</v>
      </c>
      <c r="M469" t="str">
        <f t="shared" si="31"/>
        <v/>
      </c>
      <c r="N469" t="str">
        <f>IF(OR($D469="",$S469=""),"",IFERROR(MAX(0,ROUND(($D469-INDEX(Config!$C$15:$C$18,MATCH($S469,Config!$B$15:$B$18,0)))*24*60,0)),""))</f>
        <v/>
      </c>
      <c r="O469" t="str">
        <f t="shared" si="32"/>
        <v/>
      </c>
      <c r="P469" t="str">
        <f t="shared" si="33"/>
        <v/>
      </c>
      <c r="Q469" t="str">
        <f>IF(OR($P469="",$S469=""),"",IFERROR($P469-INDEX(Config!$E$15:$E$18,MATCH($S469,Config!$B$15:$B$18,0)),""))</f>
        <v/>
      </c>
      <c r="R469" t="str">
        <f t="shared" si="34"/>
        <v/>
      </c>
      <c r="S469" s="6" t="str">
        <f>IF(OR($A469="",$C469=""),"",IFERROR(INDEX(Turno!$C$3:$V$32,MATCH($C469,Turno!$B$3:$B$32,0),MATCH(DAY($A469),Turno!$C$1:$V$1,0)),""))</f>
        <v/>
      </c>
      <c r="T469" t="str">
        <f>IF(OR($E469="",$S469=""),"",IFERROR(MAX(0,ROUND((INDEX(Config!$D$15:$D$18,MATCH($S469,Config!$B$15:$B$18,0))-$E469)*1440,0)),""))</f>
        <v/>
      </c>
      <c r="U469" s="13" t="str">
        <f>IF(OR($N469="",$T469=""),"",IFERROR(MAX(0,1-($N469+$T469+MAX(0,N($Q469)))/ROUND((INDEX(Config!$D$15:$D$18,MATCH($S469,Config!$B$15:$B$18,0))-INDEX(Config!$C$15:$C$18,MATCH($S469,Config!$B$15:$B$18,0)))*1440,0)),""))</f>
        <v/>
      </c>
      <c r="V469" s="5"/>
    </row>
    <row r="470" spans="1:22" x14ac:dyDescent="0.25">
      <c r="A470" s="11"/>
      <c r="B470" s="5"/>
      <c r="C470" s="6" t="str">
        <f>IFERROR(INDEX(Ejecutivos!$B$2:$B$100,MATCH(B470,Ejecutivos!$A$2:$A$100,0)),"")</f>
        <v/>
      </c>
      <c r="D470" s="12"/>
      <c r="E470" s="12"/>
      <c r="F470" s="12"/>
      <c r="G470" s="12"/>
      <c r="H470" s="5"/>
      <c r="I470" s="5"/>
      <c r="J470" s="5"/>
      <c r="K470" s="5"/>
      <c r="L470" s="18">
        <v>0</v>
      </c>
      <c r="M470" t="str">
        <f t="shared" si="31"/>
        <v/>
      </c>
      <c r="N470" t="str">
        <f>IF(OR($D470="",$S470=""),"",IFERROR(MAX(0,ROUND(($D470-INDEX(Config!$C$15:$C$18,MATCH($S470,Config!$B$15:$B$18,0)))*24*60,0)),""))</f>
        <v/>
      </c>
      <c r="O470" t="str">
        <f t="shared" si="32"/>
        <v/>
      </c>
      <c r="P470" t="str">
        <f t="shared" si="33"/>
        <v/>
      </c>
      <c r="Q470" t="str">
        <f>IF(OR($P470="",$S470=""),"",IFERROR($P470-INDEX(Config!$E$15:$E$18,MATCH($S470,Config!$B$15:$B$18,0)),""))</f>
        <v/>
      </c>
      <c r="R470" t="str">
        <f t="shared" si="34"/>
        <v/>
      </c>
      <c r="S470" s="6" t="str">
        <f>IF(OR($A470="",$C470=""),"",IFERROR(INDEX(Turno!$C$3:$V$32,MATCH($C470,Turno!$B$3:$B$32,0),MATCH(DAY($A470),Turno!$C$1:$V$1,0)),""))</f>
        <v/>
      </c>
      <c r="T470" t="str">
        <f>IF(OR($E470="",$S470=""),"",IFERROR(MAX(0,ROUND((INDEX(Config!$D$15:$D$18,MATCH($S470,Config!$B$15:$B$18,0))-$E470)*1440,0)),""))</f>
        <v/>
      </c>
      <c r="U470" s="13" t="str">
        <f>IF(OR($N470="",$T470=""),"",IFERROR(MAX(0,1-($N470+$T470+MAX(0,N($Q470)))/ROUND((INDEX(Config!$D$15:$D$18,MATCH($S470,Config!$B$15:$B$18,0))-INDEX(Config!$C$15:$C$18,MATCH($S470,Config!$B$15:$B$18,0)))*1440,0)),""))</f>
        <v/>
      </c>
      <c r="V470" s="5"/>
    </row>
    <row r="471" spans="1:22" x14ac:dyDescent="0.25">
      <c r="A471" s="11"/>
      <c r="B471" s="5"/>
      <c r="C471" s="6" t="str">
        <f>IFERROR(INDEX(Ejecutivos!$B$2:$B$100,MATCH(B471,Ejecutivos!$A$2:$A$100,0)),"")</f>
        <v/>
      </c>
      <c r="D471" s="12"/>
      <c r="E471" s="12"/>
      <c r="F471" s="12"/>
      <c r="G471" s="12"/>
      <c r="H471" s="5"/>
      <c r="I471" s="5"/>
      <c r="J471" s="5"/>
      <c r="K471" s="5"/>
      <c r="L471" s="18">
        <v>0</v>
      </c>
      <c r="M471" t="str">
        <f t="shared" si="31"/>
        <v/>
      </c>
      <c r="N471" t="str">
        <f>IF(OR($D471="",$S471=""),"",IFERROR(MAX(0,ROUND(($D471-INDEX(Config!$C$15:$C$18,MATCH($S471,Config!$B$15:$B$18,0)))*24*60,0)),""))</f>
        <v/>
      </c>
      <c r="O471" t="str">
        <f t="shared" si="32"/>
        <v/>
      </c>
      <c r="P471" t="str">
        <f t="shared" si="33"/>
        <v/>
      </c>
      <c r="Q471" t="str">
        <f>IF(OR($P471="",$S471=""),"",IFERROR($P471-INDEX(Config!$E$15:$E$18,MATCH($S471,Config!$B$15:$B$18,0)),""))</f>
        <v/>
      </c>
      <c r="R471" t="str">
        <f t="shared" si="34"/>
        <v/>
      </c>
      <c r="S471" s="6" t="str">
        <f>IF(OR($A471="",$C471=""),"",IFERROR(INDEX(Turno!$C$3:$V$32,MATCH($C471,Turno!$B$3:$B$32,0),MATCH(DAY($A471),Turno!$C$1:$V$1,0)),""))</f>
        <v/>
      </c>
      <c r="T471" t="str">
        <f>IF(OR($E471="",$S471=""),"",IFERROR(MAX(0,ROUND((INDEX(Config!$D$15:$D$18,MATCH($S471,Config!$B$15:$B$18,0))-$E471)*1440,0)),""))</f>
        <v/>
      </c>
      <c r="U471" s="13" t="str">
        <f>IF(OR($N471="",$T471=""),"",IFERROR(MAX(0,1-($N471+$T471+MAX(0,N($Q471)))/ROUND((INDEX(Config!$D$15:$D$18,MATCH($S471,Config!$B$15:$B$18,0))-INDEX(Config!$C$15:$C$18,MATCH($S471,Config!$B$15:$B$18,0)))*1440,0)),""))</f>
        <v/>
      </c>
      <c r="V471" s="5"/>
    </row>
    <row r="472" spans="1:22" x14ac:dyDescent="0.25">
      <c r="A472" s="11"/>
      <c r="B472" s="5"/>
      <c r="C472" s="6" t="str">
        <f>IFERROR(INDEX(Ejecutivos!$B$2:$B$100,MATCH(B472,Ejecutivos!$A$2:$A$100,0)),"")</f>
        <v/>
      </c>
      <c r="D472" s="12"/>
      <c r="E472" s="12"/>
      <c r="F472" s="12"/>
      <c r="G472" s="12"/>
      <c r="H472" s="5"/>
      <c r="I472" s="5"/>
      <c r="J472" s="5"/>
      <c r="K472" s="5"/>
      <c r="L472" s="18">
        <v>0</v>
      </c>
      <c r="M472" t="str">
        <f t="shared" si="31"/>
        <v/>
      </c>
      <c r="N472" t="str">
        <f>IF(OR($D472="",$S472=""),"",IFERROR(MAX(0,ROUND(($D472-INDEX(Config!$C$15:$C$18,MATCH($S472,Config!$B$15:$B$18,0)))*24*60,0)),""))</f>
        <v/>
      </c>
      <c r="O472" t="str">
        <f t="shared" si="32"/>
        <v/>
      </c>
      <c r="P472" t="str">
        <f t="shared" si="33"/>
        <v/>
      </c>
      <c r="Q472" t="str">
        <f>IF(OR($P472="",$S472=""),"",IFERROR($P472-INDEX(Config!$E$15:$E$18,MATCH($S472,Config!$B$15:$B$18,0)),""))</f>
        <v/>
      </c>
      <c r="R472" t="str">
        <f t="shared" si="34"/>
        <v/>
      </c>
      <c r="S472" s="6" t="str">
        <f>IF(OR($A472="",$C472=""),"",IFERROR(INDEX(Turno!$C$3:$V$32,MATCH($C472,Turno!$B$3:$B$32,0),MATCH(DAY($A472),Turno!$C$1:$V$1,0)),""))</f>
        <v/>
      </c>
      <c r="T472" t="str">
        <f>IF(OR($E472="",$S472=""),"",IFERROR(MAX(0,ROUND((INDEX(Config!$D$15:$D$18,MATCH($S472,Config!$B$15:$B$18,0))-$E472)*1440,0)),""))</f>
        <v/>
      </c>
      <c r="U472" s="13" t="str">
        <f>IF(OR($N472="",$T472=""),"",IFERROR(MAX(0,1-($N472+$T472+MAX(0,N($Q472)))/ROUND((INDEX(Config!$D$15:$D$18,MATCH($S472,Config!$B$15:$B$18,0))-INDEX(Config!$C$15:$C$18,MATCH($S472,Config!$B$15:$B$18,0)))*1440,0)),""))</f>
        <v/>
      </c>
      <c r="V472" s="5"/>
    </row>
    <row r="473" spans="1:22" x14ac:dyDescent="0.25">
      <c r="A473" s="11"/>
      <c r="B473" s="5"/>
      <c r="C473" s="6" t="str">
        <f>IFERROR(INDEX(Ejecutivos!$B$2:$B$100,MATCH(B473,Ejecutivos!$A$2:$A$100,0)),"")</f>
        <v/>
      </c>
      <c r="D473" s="12"/>
      <c r="E473" s="12"/>
      <c r="F473" s="12"/>
      <c r="G473" s="12"/>
      <c r="H473" s="5"/>
      <c r="I473" s="5"/>
      <c r="J473" s="5"/>
      <c r="K473" s="5"/>
      <c r="L473" s="18">
        <v>0</v>
      </c>
      <c r="M473" t="str">
        <f t="shared" si="31"/>
        <v/>
      </c>
      <c r="N473" t="str">
        <f>IF(OR($D473="",$S473=""),"",IFERROR(MAX(0,ROUND(($D473-INDEX(Config!$C$15:$C$18,MATCH($S473,Config!$B$15:$B$18,0)))*24*60,0)),""))</f>
        <v/>
      </c>
      <c r="O473" t="str">
        <f t="shared" si="32"/>
        <v/>
      </c>
      <c r="P473" t="str">
        <f t="shared" si="33"/>
        <v/>
      </c>
      <c r="Q473" t="str">
        <f>IF(OR($P473="",$S473=""),"",IFERROR($P473-INDEX(Config!$E$15:$E$18,MATCH($S473,Config!$B$15:$B$18,0)),""))</f>
        <v/>
      </c>
      <c r="R473" t="str">
        <f t="shared" si="34"/>
        <v/>
      </c>
      <c r="S473" s="6" t="str">
        <f>IF(OR($A473="",$C473=""),"",IFERROR(INDEX(Turno!$C$3:$V$32,MATCH($C473,Turno!$B$3:$B$32,0),MATCH(DAY($A473),Turno!$C$1:$V$1,0)),""))</f>
        <v/>
      </c>
      <c r="T473" t="str">
        <f>IF(OR($E473="",$S473=""),"",IFERROR(MAX(0,ROUND((INDEX(Config!$D$15:$D$18,MATCH($S473,Config!$B$15:$B$18,0))-$E473)*1440,0)),""))</f>
        <v/>
      </c>
      <c r="U473" s="13" t="str">
        <f>IF(OR($N473="",$T473=""),"",IFERROR(MAX(0,1-($N473+$T473+MAX(0,N($Q473)))/ROUND((INDEX(Config!$D$15:$D$18,MATCH($S473,Config!$B$15:$B$18,0))-INDEX(Config!$C$15:$C$18,MATCH($S473,Config!$B$15:$B$18,0)))*1440,0)),""))</f>
        <v/>
      </c>
      <c r="V473" s="5"/>
    </row>
    <row r="474" spans="1:22" x14ac:dyDescent="0.25">
      <c r="A474" s="11"/>
      <c r="B474" s="5"/>
      <c r="C474" s="6" t="str">
        <f>IFERROR(INDEX(Ejecutivos!$B$2:$B$100,MATCH(B474,Ejecutivos!$A$2:$A$100,0)),"")</f>
        <v/>
      </c>
      <c r="D474" s="12"/>
      <c r="E474" s="12"/>
      <c r="F474" s="12"/>
      <c r="G474" s="12"/>
      <c r="H474" s="5"/>
      <c r="I474" s="5"/>
      <c r="J474" s="5"/>
      <c r="K474" s="5"/>
      <c r="L474" s="18">
        <v>0</v>
      </c>
      <c r="M474" t="str">
        <f t="shared" si="31"/>
        <v/>
      </c>
      <c r="N474" t="str">
        <f>IF(OR($D474="",$S474=""),"",IFERROR(MAX(0,ROUND(($D474-INDEX(Config!$C$15:$C$18,MATCH($S474,Config!$B$15:$B$18,0)))*24*60,0)),""))</f>
        <v/>
      </c>
      <c r="O474" t="str">
        <f t="shared" si="32"/>
        <v/>
      </c>
      <c r="P474" t="str">
        <f t="shared" si="33"/>
        <v/>
      </c>
      <c r="Q474" t="str">
        <f>IF(OR($P474="",$S474=""),"",IFERROR($P474-INDEX(Config!$E$15:$E$18,MATCH($S474,Config!$B$15:$B$18,0)),""))</f>
        <v/>
      </c>
      <c r="R474" t="str">
        <f t="shared" si="34"/>
        <v/>
      </c>
      <c r="S474" s="6" t="str">
        <f>IF(OR($A474="",$C474=""),"",IFERROR(INDEX(Turno!$C$3:$V$32,MATCH($C474,Turno!$B$3:$B$32,0),MATCH(DAY($A474),Turno!$C$1:$V$1,0)),""))</f>
        <v/>
      </c>
      <c r="T474" t="str">
        <f>IF(OR($E474="",$S474=""),"",IFERROR(MAX(0,ROUND((INDEX(Config!$D$15:$D$18,MATCH($S474,Config!$B$15:$B$18,0))-$E474)*1440,0)),""))</f>
        <v/>
      </c>
      <c r="U474" s="13" t="str">
        <f>IF(OR($N474="",$T474=""),"",IFERROR(MAX(0,1-($N474+$T474+MAX(0,N($Q474)))/ROUND((INDEX(Config!$D$15:$D$18,MATCH($S474,Config!$B$15:$B$18,0))-INDEX(Config!$C$15:$C$18,MATCH($S474,Config!$B$15:$B$18,0)))*1440,0)),""))</f>
        <v/>
      </c>
      <c r="V474" s="5"/>
    </row>
    <row r="475" spans="1:22" x14ac:dyDescent="0.25">
      <c r="A475" s="11"/>
      <c r="B475" s="5"/>
      <c r="C475" s="6" t="str">
        <f>IFERROR(INDEX(Ejecutivos!$B$2:$B$100,MATCH(B475,Ejecutivos!$A$2:$A$100,0)),"")</f>
        <v/>
      </c>
      <c r="D475" s="12"/>
      <c r="E475" s="12"/>
      <c r="F475" s="12"/>
      <c r="G475" s="12"/>
      <c r="H475" s="5"/>
      <c r="I475" s="5"/>
      <c r="J475" s="5"/>
      <c r="K475" s="5"/>
      <c r="L475" s="18">
        <v>0</v>
      </c>
      <c r="M475" t="str">
        <f t="shared" si="31"/>
        <v/>
      </c>
      <c r="N475" t="str">
        <f>IF(OR($D475="",$S475=""),"",IFERROR(MAX(0,ROUND(($D475-INDEX(Config!$C$15:$C$18,MATCH($S475,Config!$B$15:$B$18,0)))*24*60,0)),""))</f>
        <v/>
      </c>
      <c r="O475" t="str">
        <f t="shared" si="32"/>
        <v/>
      </c>
      <c r="P475" t="str">
        <f t="shared" si="33"/>
        <v/>
      </c>
      <c r="Q475" t="str">
        <f>IF(OR($P475="",$S475=""),"",IFERROR($P475-INDEX(Config!$E$15:$E$18,MATCH($S475,Config!$B$15:$B$18,0)),""))</f>
        <v/>
      </c>
      <c r="R475" t="str">
        <f t="shared" si="34"/>
        <v/>
      </c>
      <c r="S475" s="6" t="str">
        <f>IF(OR($A475="",$C475=""),"",IFERROR(INDEX(Turno!$C$3:$V$32,MATCH($C475,Turno!$B$3:$B$32,0),MATCH(DAY($A475),Turno!$C$1:$V$1,0)),""))</f>
        <v/>
      </c>
      <c r="T475" t="str">
        <f>IF(OR($E475="",$S475=""),"",IFERROR(MAX(0,ROUND((INDEX(Config!$D$15:$D$18,MATCH($S475,Config!$B$15:$B$18,0))-$E475)*1440,0)),""))</f>
        <v/>
      </c>
      <c r="U475" s="13" t="str">
        <f>IF(OR($N475="",$T475=""),"",IFERROR(MAX(0,1-($N475+$T475+MAX(0,N($Q475)))/ROUND((INDEX(Config!$D$15:$D$18,MATCH($S475,Config!$B$15:$B$18,0))-INDEX(Config!$C$15:$C$18,MATCH($S475,Config!$B$15:$B$18,0)))*1440,0)),""))</f>
        <v/>
      </c>
      <c r="V475" s="5"/>
    </row>
    <row r="476" spans="1:22" x14ac:dyDescent="0.25">
      <c r="A476" s="11"/>
      <c r="B476" s="5"/>
      <c r="C476" s="6" t="str">
        <f>IFERROR(INDEX(Ejecutivos!$B$2:$B$100,MATCH(B476,Ejecutivos!$A$2:$A$100,0)),"")</f>
        <v/>
      </c>
      <c r="D476" s="12"/>
      <c r="E476" s="12"/>
      <c r="F476" s="12"/>
      <c r="G476" s="12"/>
      <c r="H476" s="5"/>
      <c r="I476" s="5"/>
      <c r="J476" s="5"/>
      <c r="K476" s="5"/>
      <c r="L476" s="18">
        <v>0</v>
      </c>
      <c r="M476" t="str">
        <f t="shared" si="31"/>
        <v/>
      </c>
      <c r="N476" t="str">
        <f>IF(OR($D476="",$S476=""),"",IFERROR(MAX(0,ROUND(($D476-INDEX(Config!$C$15:$C$18,MATCH($S476,Config!$B$15:$B$18,0)))*24*60,0)),""))</f>
        <v/>
      </c>
      <c r="O476" t="str">
        <f t="shared" si="32"/>
        <v/>
      </c>
      <c r="P476" t="str">
        <f t="shared" si="33"/>
        <v/>
      </c>
      <c r="Q476" t="str">
        <f>IF(OR($P476="",$S476=""),"",IFERROR($P476-INDEX(Config!$E$15:$E$18,MATCH($S476,Config!$B$15:$B$18,0)),""))</f>
        <v/>
      </c>
      <c r="R476" t="str">
        <f t="shared" si="34"/>
        <v/>
      </c>
      <c r="S476" s="6" t="str">
        <f>IF(OR($A476="",$C476=""),"",IFERROR(INDEX(Turno!$C$3:$V$32,MATCH($C476,Turno!$B$3:$B$32,0),MATCH(DAY($A476),Turno!$C$1:$V$1,0)),""))</f>
        <v/>
      </c>
      <c r="T476" t="str">
        <f>IF(OR($E476="",$S476=""),"",IFERROR(MAX(0,ROUND((INDEX(Config!$D$15:$D$18,MATCH($S476,Config!$B$15:$B$18,0))-$E476)*1440,0)),""))</f>
        <v/>
      </c>
      <c r="U476" s="13" t="str">
        <f>IF(OR($N476="",$T476=""),"",IFERROR(MAX(0,1-($N476+$T476+MAX(0,N($Q476)))/ROUND((INDEX(Config!$D$15:$D$18,MATCH($S476,Config!$B$15:$B$18,0))-INDEX(Config!$C$15:$C$18,MATCH($S476,Config!$B$15:$B$18,0)))*1440,0)),""))</f>
        <v/>
      </c>
      <c r="V476" s="5"/>
    </row>
    <row r="477" spans="1:22" x14ac:dyDescent="0.25">
      <c r="A477" s="11"/>
      <c r="B477" s="5"/>
      <c r="C477" s="6" t="str">
        <f>IFERROR(INDEX(Ejecutivos!$B$2:$B$100,MATCH(B477,Ejecutivos!$A$2:$A$100,0)),"")</f>
        <v/>
      </c>
      <c r="D477" s="12"/>
      <c r="E477" s="12"/>
      <c r="F477" s="12"/>
      <c r="G477" s="12"/>
      <c r="H477" s="5"/>
      <c r="I477" s="5"/>
      <c r="J477" s="5"/>
      <c r="K477" s="5"/>
      <c r="L477" s="18">
        <v>0</v>
      </c>
      <c r="M477" t="str">
        <f t="shared" si="31"/>
        <v/>
      </c>
      <c r="N477" t="str">
        <f>IF(OR($D477="",$S477=""),"",IFERROR(MAX(0,ROUND(($D477-INDEX(Config!$C$15:$C$18,MATCH($S477,Config!$B$15:$B$18,0)))*24*60,0)),""))</f>
        <v/>
      </c>
      <c r="O477" t="str">
        <f t="shared" si="32"/>
        <v/>
      </c>
      <c r="P477" t="str">
        <f t="shared" si="33"/>
        <v/>
      </c>
      <c r="Q477" t="str">
        <f>IF(OR($P477="",$S477=""),"",IFERROR($P477-INDEX(Config!$E$15:$E$18,MATCH($S477,Config!$B$15:$B$18,0)),""))</f>
        <v/>
      </c>
      <c r="R477" t="str">
        <f t="shared" si="34"/>
        <v/>
      </c>
      <c r="S477" s="6" t="str">
        <f>IF(OR($A477="",$C477=""),"",IFERROR(INDEX(Turno!$C$3:$V$32,MATCH($C477,Turno!$B$3:$B$32,0),MATCH(DAY($A477),Turno!$C$1:$V$1,0)),""))</f>
        <v/>
      </c>
      <c r="T477" t="str">
        <f>IF(OR($E477="",$S477=""),"",IFERROR(MAX(0,ROUND((INDEX(Config!$D$15:$D$18,MATCH($S477,Config!$B$15:$B$18,0))-$E477)*1440,0)),""))</f>
        <v/>
      </c>
      <c r="U477" s="13" t="str">
        <f>IF(OR($N477="",$T477=""),"",IFERROR(MAX(0,1-($N477+$T477+MAX(0,N($Q477)))/ROUND((INDEX(Config!$D$15:$D$18,MATCH($S477,Config!$B$15:$B$18,0))-INDEX(Config!$C$15:$C$18,MATCH($S477,Config!$B$15:$B$18,0)))*1440,0)),""))</f>
        <v/>
      </c>
      <c r="V477" s="5"/>
    </row>
    <row r="478" spans="1:22" x14ac:dyDescent="0.25">
      <c r="A478" s="11"/>
      <c r="B478" s="5"/>
      <c r="C478" s="6" t="str">
        <f>IFERROR(INDEX(Ejecutivos!$B$2:$B$100,MATCH(B478,Ejecutivos!$A$2:$A$100,0)),"")</f>
        <v/>
      </c>
      <c r="D478" s="12"/>
      <c r="E478" s="12"/>
      <c r="F478" s="12"/>
      <c r="G478" s="12"/>
      <c r="H478" s="5"/>
      <c r="I478" s="5"/>
      <c r="J478" s="5"/>
      <c r="K478" s="5"/>
      <c r="L478" s="18">
        <v>0</v>
      </c>
      <c r="M478" t="str">
        <f t="shared" si="31"/>
        <v/>
      </c>
      <c r="N478" t="str">
        <f>IF(OR($D478="",$S478=""),"",IFERROR(MAX(0,ROUND(($D478-INDEX(Config!$C$15:$C$18,MATCH($S478,Config!$B$15:$B$18,0)))*24*60,0)),""))</f>
        <v/>
      </c>
      <c r="O478" t="str">
        <f t="shared" si="32"/>
        <v/>
      </c>
      <c r="P478" t="str">
        <f t="shared" si="33"/>
        <v/>
      </c>
      <c r="Q478" t="str">
        <f>IF(OR($P478="",$S478=""),"",IFERROR($P478-INDEX(Config!$E$15:$E$18,MATCH($S478,Config!$B$15:$B$18,0)),""))</f>
        <v/>
      </c>
      <c r="R478" t="str">
        <f t="shared" si="34"/>
        <v/>
      </c>
      <c r="S478" s="6" t="str">
        <f>IF(OR($A478="",$C478=""),"",IFERROR(INDEX(Turno!$C$3:$V$32,MATCH($C478,Turno!$B$3:$B$32,0),MATCH(DAY($A478),Turno!$C$1:$V$1,0)),""))</f>
        <v/>
      </c>
      <c r="T478" t="str">
        <f>IF(OR($E478="",$S478=""),"",IFERROR(MAX(0,ROUND((INDEX(Config!$D$15:$D$18,MATCH($S478,Config!$B$15:$B$18,0))-$E478)*1440,0)),""))</f>
        <v/>
      </c>
      <c r="U478" s="13" t="str">
        <f>IF(OR($N478="",$T478=""),"",IFERROR(MAX(0,1-($N478+$T478+MAX(0,N($Q478)))/ROUND((INDEX(Config!$D$15:$D$18,MATCH($S478,Config!$B$15:$B$18,0))-INDEX(Config!$C$15:$C$18,MATCH($S478,Config!$B$15:$B$18,0)))*1440,0)),""))</f>
        <v/>
      </c>
      <c r="V478" s="5"/>
    </row>
    <row r="479" spans="1:22" x14ac:dyDescent="0.25">
      <c r="A479" s="11"/>
      <c r="B479" s="5"/>
      <c r="C479" s="6" t="str">
        <f>IFERROR(INDEX(Ejecutivos!$B$2:$B$100,MATCH(B479,Ejecutivos!$A$2:$A$100,0)),"")</f>
        <v/>
      </c>
      <c r="D479" s="12"/>
      <c r="E479" s="12"/>
      <c r="F479" s="12"/>
      <c r="G479" s="12"/>
      <c r="H479" s="5"/>
      <c r="I479" s="5"/>
      <c r="J479" s="5"/>
      <c r="K479" s="5"/>
      <c r="L479" s="18">
        <v>0</v>
      </c>
      <c r="M479" t="str">
        <f t="shared" si="31"/>
        <v/>
      </c>
      <c r="N479" t="str">
        <f>IF(OR($D479="",$S479=""),"",IFERROR(MAX(0,ROUND(($D479-INDEX(Config!$C$15:$C$18,MATCH($S479,Config!$B$15:$B$18,0)))*24*60,0)),""))</f>
        <v/>
      </c>
      <c r="O479" t="str">
        <f t="shared" si="32"/>
        <v/>
      </c>
      <c r="P479" t="str">
        <f t="shared" si="33"/>
        <v/>
      </c>
      <c r="Q479" t="str">
        <f>IF(OR($P479="",$S479=""),"",IFERROR($P479-INDEX(Config!$E$15:$E$18,MATCH($S479,Config!$B$15:$B$18,0)),""))</f>
        <v/>
      </c>
      <c r="R479" t="str">
        <f t="shared" si="34"/>
        <v/>
      </c>
      <c r="S479" s="6" t="str">
        <f>IF(OR($A479="",$C479=""),"",IFERROR(INDEX(Turno!$C$3:$V$32,MATCH($C479,Turno!$B$3:$B$32,0),MATCH(DAY($A479),Turno!$C$1:$V$1,0)),""))</f>
        <v/>
      </c>
      <c r="T479" t="str">
        <f>IF(OR($E479="",$S479=""),"",IFERROR(MAX(0,ROUND((INDEX(Config!$D$15:$D$18,MATCH($S479,Config!$B$15:$B$18,0))-$E479)*1440,0)),""))</f>
        <v/>
      </c>
      <c r="U479" s="13" t="str">
        <f>IF(OR($N479="",$T479=""),"",IFERROR(MAX(0,1-($N479+$T479+MAX(0,N($Q479)))/ROUND((INDEX(Config!$D$15:$D$18,MATCH($S479,Config!$B$15:$B$18,0))-INDEX(Config!$C$15:$C$18,MATCH($S479,Config!$B$15:$B$18,0)))*1440,0)),""))</f>
        <v/>
      </c>
      <c r="V479" s="5"/>
    </row>
    <row r="480" spans="1:22" x14ac:dyDescent="0.25">
      <c r="A480" s="11"/>
      <c r="B480" s="5"/>
      <c r="C480" s="6" t="str">
        <f>IFERROR(INDEX(Ejecutivos!$B$2:$B$100,MATCH(B480,Ejecutivos!$A$2:$A$100,0)),"")</f>
        <v/>
      </c>
      <c r="D480" s="12"/>
      <c r="E480" s="12"/>
      <c r="F480" s="12"/>
      <c r="G480" s="12"/>
      <c r="H480" s="5"/>
      <c r="I480" s="5"/>
      <c r="J480" s="5"/>
      <c r="K480" s="5"/>
      <c r="L480" s="18">
        <v>0</v>
      </c>
      <c r="M480" t="str">
        <f t="shared" si="31"/>
        <v/>
      </c>
      <c r="N480" t="str">
        <f>IF(OR($D480="",$S480=""),"",IFERROR(MAX(0,ROUND(($D480-INDEX(Config!$C$15:$C$18,MATCH($S480,Config!$B$15:$B$18,0)))*24*60,0)),""))</f>
        <v/>
      </c>
      <c r="O480" t="str">
        <f t="shared" si="32"/>
        <v/>
      </c>
      <c r="P480" t="str">
        <f t="shared" si="33"/>
        <v/>
      </c>
      <c r="Q480" t="str">
        <f>IF(OR($P480="",$S480=""),"",IFERROR($P480-INDEX(Config!$E$15:$E$18,MATCH($S480,Config!$B$15:$B$18,0)),""))</f>
        <v/>
      </c>
      <c r="R480" t="str">
        <f t="shared" si="34"/>
        <v/>
      </c>
      <c r="S480" s="6" t="str">
        <f>IF(OR($A480="",$C480=""),"",IFERROR(INDEX(Turno!$C$3:$V$32,MATCH($C480,Turno!$B$3:$B$32,0),MATCH(DAY($A480),Turno!$C$1:$V$1,0)),""))</f>
        <v/>
      </c>
      <c r="T480" t="str">
        <f>IF(OR($E480="",$S480=""),"",IFERROR(MAX(0,ROUND((INDEX(Config!$D$15:$D$18,MATCH($S480,Config!$B$15:$B$18,0))-$E480)*1440,0)),""))</f>
        <v/>
      </c>
      <c r="U480" s="13" t="str">
        <f>IF(OR($N480="",$T480=""),"",IFERROR(MAX(0,1-($N480+$T480+MAX(0,N($Q480)))/ROUND((INDEX(Config!$D$15:$D$18,MATCH($S480,Config!$B$15:$B$18,0))-INDEX(Config!$C$15:$C$18,MATCH($S480,Config!$B$15:$B$18,0)))*1440,0)),""))</f>
        <v/>
      </c>
      <c r="V480" s="5"/>
    </row>
    <row r="481" spans="1:22" x14ac:dyDescent="0.25">
      <c r="A481" s="11"/>
      <c r="B481" s="5"/>
      <c r="C481" s="6" t="str">
        <f>IFERROR(INDEX(Ejecutivos!$B$2:$B$100,MATCH(B481,Ejecutivos!$A$2:$A$100,0)),"")</f>
        <v/>
      </c>
      <c r="D481" s="12"/>
      <c r="E481" s="12"/>
      <c r="F481" s="12"/>
      <c r="G481" s="12"/>
      <c r="H481" s="5"/>
      <c r="I481" s="5"/>
      <c r="J481" s="5"/>
      <c r="K481" s="5"/>
      <c r="L481" s="18">
        <v>0</v>
      </c>
      <c r="M481" t="str">
        <f t="shared" si="31"/>
        <v/>
      </c>
      <c r="N481" t="str">
        <f>IF(OR($D481="",$S481=""),"",IFERROR(MAX(0,ROUND(($D481-INDEX(Config!$C$15:$C$18,MATCH($S481,Config!$B$15:$B$18,0)))*24*60,0)),""))</f>
        <v/>
      </c>
      <c r="O481" t="str">
        <f t="shared" si="32"/>
        <v/>
      </c>
      <c r="P481" t="str">
        <f t="shared" si="33"/>
        <v/>
      </c>
      <c r="Q481" t="str">
        <f>IF(OR($P481="",$S481=""),"",IFERROR($P481-INDEX(Config!$E$15:$E$18,MATCH($S481,Config!$B$15:$B$18,0)),""))</f>
        <v/>
      </c>
      <c r="R481" t="str">
        <f t="shared" si="34"/>
        <v/>
      </c>
      <c r="S481" s="6" t="str">
        <f>IF(OR($A481="",$C481=""),"",IFERROR(INDEX(Turno!$C$3:$V$32,MATCH($C481,Turno!$B$3:$B$32,0),MATCH(DAY($A481),Turno!$C$1:$V$1,0)),""))</f>
        <v/>
      </c>
      <c r="T481" t="str">
        <f>IF(OR($E481="",$S481=""),"",IFERROR(MAX(0,ROUND((INDEX(Config!$D$15:$D$18,MATCH($S481,Config!$B$15:$B$18,0))-$E481)*1440,0)),""))</f>
        <v/>
      </c>
      <c r="U481" s="13" t="str">
        <f>IF(OR($N481="",$T481=""),"",IFERROR(MAX(0,1-($N481+$T481+MAX(0,N($Q481)))/ROUND((INDEX(Config!$D$15:$D$18,MATCH($S481,Config!$B$15:$B$18,0))-INDEX(Config!$C$15:$C$18,MATCH($S481,Config!$B$15:$B$18,0)))*1440,0)),""))</f>
        <v/>
      </c>
      <c r="V481" s="5"/>
    </row>
    <row r="482" spans="1:22" x14ac:dyDescent="0.25">
      <c r="A482" s="11"/>
      <c r="B482" s="5"/>
      <c r="C482" s="6" t="str">
        <f>IFERROR(INDEX(Ejecutivos!$B$2:$B$100,MATCH(B482,Ejecutivos!$A$2:$A$100,0)),"")</f>
        <v/>
      </c>
      <c r="D482" s="12"/>
      <c r="E482" s="12"/>
      <c r="F482" s="12"/>
      <c r="G482" s="12"/>
      <c r="H482" s="5"/>
      <c r="I482" s="5"/>
      <c r="J482" s="5"/>
      <c r="K482" s="5"/>
      <c r="L482" s="18">
        <v>0</v>
      </c>
      <c r="M482" t="str">
        <f t="shared" si="31"/>
        <v/>
      </c>
      <c r="N482" t="str">
        <f>IF(OR($D482="",$S482=""),"",IFERROR(MAX(0,ROUND(($D482-INDEX(Config!$C$15:$C$18,MATCH($S482,Config!$B$15:$B$18,0)))*24*60,0)),""))</f>
        <v/>
      </c>
      <c r="O482" t="str">
        <f t="shared" si="32"/>
        <v/>
      </c>
      <c r="P482" t="str">
        <f t="shared" si="33"/>
        <v/>
      </c>
      <c r="Q482" t="str">
        <f>IF(OR($P482="",$S482=""),"",IFERROR($P482-INDEX(Config!$E$15:$E$18,MATCH($S482,Config!$B$15:$B$18,0)),""))</f>
        <v/>
      </c>
      <c r="R482" t="str">
        <f t="shared" si="34"/>
        <v/>
      </c>
      <c r="S482" s="6" t="str">
        <f>IF(OR($A482="",$C482=""),"",IFERROR(INDEX(Turno!$C$3:$V$32,MATCH($C482,Turno!$B$3:$B$32,0),MATCH(DAY($A482),Turno!$C$1:$V$1,0)),""))</f>
        <v/>
      </c>
      <c r="T482" t="str">
        <f>IF(OR($E482="",$S482=""),"",IFERROR(MAX(0,ROUND((INDEX(Config!$D$15:$D$18,MATCH($S482,Config!$B$15:$B$18,0))-$E482)*1440,0)),""))</f>
        <v/>
      </c>
      <c r="U482" s="13" t="str">
        <f>IF(OR($N482="",$T482=""),"",IFERROR(MAX(0,1-($N482+$T482+MAX(0,N($Q482)))/ROUND((INDEX(Config!$D$15:$D$18,MATCH($S482,Config!$B$15:$B$18,0))-INDEX(Config!$C$15:$C$18,MATCH($S482,Config!$B$15:$B$18,0)))*1440,0)),""))</f>
        <v/>
      </c>
      <c r="V482" s="5"/>
    </row>
    <row r="483" spans="1:22" x14ac:dyDescent="0.25">
      <c r="A483" s="11"/>
      <c r="B483" s="5"/>
      <c r="C483" s="6" t="str">
        <f>IFERROR(INDEX(Ejecutivos!$B$2:$B$100,MATCH(B483,Ejecutivos!$A$2:$A$100,0)),"")</f>
        <v/>
      </c>
      <c r="D483" s="12"/>
      <c r="E483" s="12"/>
      <c r="F483" s="12"/>
      <c r="G483" s="12"/>
      <c r="H483" s="5"/>
      <c r="I483" s="5"/>
      <c r="J483" s="5"/>
      <c r="K483" s="5"/>
      <c r="L483" s="18">
        <v>0</v>
      </c>
      <c r="M483" t="str">
        <f t="shared" si="31"/>
        <v/>
      </c>
      <c r="N483" t="str">
        <f>IF(OR($D483="",$S483=""),"",IFERROR(MAX(0,ROUND(($D483-INDEX(Config!$C$15:$C$18,MATCH($S483,Config!$B$15:$B$18,0)))*24*60,0)),""))</f>
        <v/>
      </c>
      <c r="O483" t="str">
        <f t="shared" si="32"/>
        <v/>
      </c>
      <c r="P483" t="str">
        <f t="shared" si="33"/>
        <v/>
      </c>
      <c r="Q483" t="str">
        <f>IF(OR($P483="",$S483=""),"",IFERROR($P483-INDEX(Config!$E$15:$E$18,MATCH($S483,Config!$B$15:$B$18,0)),""))</f>
        <v/>
      </c>
      <c r="R483" t="str">
        <f t="shared" si="34"/>
        <v/>
      </c>
      <c r="S483" s="6" t="str">
        <f>IF(OR($A483="",$C483=""),"",IFERROR(INDEX(Turno!$C$3:$V$32,MATCH($C483,Turno!$B$3:$B$32,0),MATCH(DAY($A483),Turno!$C$1:$V$1,0)),""))</f>
        <v/>
      </c>
      <c r="T483" t="str">
        <f>IF(OR($E483="",$S483=""),"",IFERROR(MAX(0,ROUND((INDEX(Config!$D$15:$D$18,MATCH($S483,Config!$B$15:$B$18,0))-$E483)*1440,0)),""))</f>
        <v/>
      </c>
      <c r="U483" s="13" t="str">
        <f>IF(OR($N483="",$T483=""),"",IFERROR(MAX(0,1-($N483+$T483+MAX(0,N($Q483)))/ROUND((INDEX(Config!$D$15:$D$18,MATCH($S483,Config!$B$15:$B$18,0))-INDEX(Config!$C$15:$C$18,MATCH($S483,Config!$B$15:$B$18,0)))*1440,0)),""))</f>
        <v/>
      </c>
      <c r="V483" s="5"/>
    </row>
    <row r="484" spans="1:22" x14ac:dyDescent="0.25">
      <c r="A484" s="11"/>
      <c r="B484" s="5"/>
      <c r="C484" s="6" t="str">
        <f>IFERROR(INDEX(Ejecutivos!$B$2:$B$100,MATCH(B484,Ejecutivos!$A$2:$A$100,0)),"")</f>
        <v/>
      </c>
      <c r="D484" s="12"/>
      <c r="E484" s="12"/>
      <c r="F484" s="12"/>
      <c r="G484" s="12"/>
      <c r="H484" s="5"/>
      <c r="I484" s="5"/>
      <c r="J484" s="5"/>
      <c r="K484" s="5"/>
      <c r="L484" s="18">
        <v>0</v>
      </c>
      <c r="M484" t="str">
        <f t="shared" si="31"/>
        <v/>
      </c>
      <c r="N484" t="str">
        <f>IF(OR($D484="",$S484=""),"",IFERROR(MAX(0,ROUND(($D484-INDEX(Config!$C$15:$C$18,MATCH($S484,Config!$B$15:$B$18,0)))*24*60,0)),""))</f>
        <v/>
      </c>
      <c r="O484" t="str">
        <f t="shared" si="32"/>
        <v/>
      </c>
      <c r="P484" t="str">
        <f t="shared" si="33"/>
        <v/>
      </c>
      <c r="Q484" t="str">
        <f>IF(OR($P484="",$S484=""),"",IFERROR($P484-INDEX(Config!$E$15:$E$18,MATCH($S484,Config!$B$15:$B$18,0)),""))</f>
        <v/>
      </c>
      <c r="R484" t="str">
        <f t="shared" si="34"/>
        <v/>
      </c>
      <c r="S484" s="6" t="str">
        <f>IF(OR($A484="",$C484=""),"",IFERROR(INDEX(Turno!$C$3:$V$32,MATCH($C484,Turno!$B$3:$B$32,0),MATCH(DAY($A484),Turno!$C$1:$V$1,0)),""))</f>
        <v/>
      </c>
      <c r="T484" t="str">
        <f>IF(OR($E484="",$S484=""),"",IFERROR(MAX(0,ROUND((INDEX(Config!$D$15:$D$18,MATCH($S484,Config!$B$15:$B$18,0))-$E484)*1440,0)),""))</f>
        <v/>
      </c>
      <c r="U484" s="13" t="str">
        <f>IF(OR($N484="",$T484=""),"",IFERROR(MAX(0,1-($N484+$T484+MAX(0,N($Q484)))/ROUND((INDEX(Config!$D$15:$D$18,MATCH($S484,Config!$B$15:$B$18,0))-INDEX(Config!$C$15:$C$18,MATCH($S484,Config!$B$15:$B$18,0)))*1440,0)),""))</f>
        <v/>
      </c>
      <c r="V484" s="5"/>
    </row>
    <row r="485" spans="1:22" x14ac:dyDescent="0.25">
      <c r="A485" s="11"/>
      <c r="B485" s="5"/>
      <c r="C485" s="6" t="str">
        <f>IFERROR(INDEX(Ejecutivos!$B$2:$B$100,MATCH(B485,Ejecutivos!$A$2:$A$100,0)),"")</f>
        <v/>
      </c>
      <c r="D485" s="12"/>
      <c r="E485" s="12"/>
      <c r="F485" s="12"/>
      <c r="G485" s="12"/>
      <c r="H485" s="5"/>
      <c r="I485" s="5"/>
      <c r="J485" s="5"/>
      <c r="K485" s="5"/>
      <c r="L485" s="18">
        <v>0</v>
      </c>
      <c r="M485" t="str">
        <f t="shared" si="31"/>
        <v/>
      </c>
      <c r="N485" t="str">
        <f>IF(OR($D485="",$S485=""),"",IFERROR(MAX(0,ROUND(($D485-INDEX(Config!$C$15:$C$18,MATCH($S485,Config!$B$15:$B$18,0)))*24*60,0)),""))</f>
        <v/>
      </c>
      <c r="O485" t="str">
        <f t="shared" si="32"/>
        <v/>
      </c>
      <c r="P485" t="str">
        <f t="shared" si="33"/>
        <v/>
      </c>
      <c r="Q485" t="str">
        <f>IF(OR($P485="",$S485=""),"",IFERROR($P485-INDEX(Config!$E$15:$E$18,MATCH($S485,Config!$B$15:$B$18,0)),""))</f>
        <v/>
      </c>
      <c r="R485" t="str">
        <f t="shared" si="34"/>
        <v/>
      </c>
      <c r="S485" s="6" t="str">
        <f>IF(OR($A485="",$C485=""),"",IFERROR(INDEX(Turno!$C$3:$V$32,MATCH($C485,Turno!$B$3:$B$32,0),MATCH(DAY($A485),Turno!$C$1:$V$1,0)),""))</f>
        <v/>
      </c>
      <c r="T485" t="str">
        <f>IF(OR($E485="",$S485=""),"",IFERROR(MAX(0,ROUND((INDEX(Config!$D$15:$D$18,MATCH($S485,Config!$B$15:$B$18,0))-$E485)*1440,0)),""))</f>
        <v/>
      </c>
      <c r="U485" s="13" t="str">
        <f>IF(OR($N485="",$T485=""),"",IFERROR(MAX(0,1-($N485+$T485+MAX(0,N($Q485)))/ROUND((INDEX(Config!$D$15:$D$18,MATCH($S485,Config!$B$15:$B$18,0))-INDEX(Config!$C$15:$C$18,MATCH($S485,Config!$B$15:$B$18,0)))*1440,0)),""))</f>
        <v/>
      </c>
      <c r="V485" s="5"/>
    </row>
    <row r="486" spans="1:22" x14ac:dyDescent="0.25">
      <c r="A486" s="11"/>
      <c r="B486" s="5"/>
      <c r="C486" s="6" t="str">
        <f>IFERROR(INDEX(Ejecutivos!$B$2:$B$100,MATCH(B486,Ejecutivos!$A$2:$A$100,0)),"")</f>
        <v/>
      </c>
      <c r="D486" s="12"/>
      <c r="E486" s="12"/>
      <c r="F486" s="12"/>
      <c r="G486" s="12"/>
      <c r="H486" s="5"/>
      <c r="I486" s="5"/>
      <c r="J486" s="5"/>
      <c r="K486" s="5"/>
      <c r="L486" s="18">
        <v>0</v>
      </c>
      <c r="M486" t="str">
        <f t="shared" si="31"/>
        <v/>
      </c>
      <c r="N486" t="str">
        <f>IF(OR($D486="",$S486=""),"",IFERROR(MAX(0,ROUND(($D486-INDEX(Config!$C$15:$C$18,MATCH($S486,Config!$B$15:$B$18,0)))*24*60,0)),""))</f>
        <v/>
      </c>
      <c r="O486" t="str">
        <f t="shared" si="32"/>
        <v/>
      </c>
      <c r="P486" t="str">
        <f t="shared" si="33"/>
        <v/>
      </c>
      <c r="Q486" t="str">
        <f>IF(OR($P486="",$S486=""),"",IFERROR($P486-INDEX(Config!$E$15:$E$18,MATCH($S486,Config!$B$15:$B$18,0)),""))</f>
        <v/>
      </c>
      <c r="R486" t="str">
        <f t="shared" si="34"/>
        <v/>
      </c>
      <c r="S486" s="6" t="str">
        <f>IF(OR($A486="",$C486=""),"",IFERROR(INDEX(Turno!$C$3:$V$32,MATCH($C486,Turno!$B$3:$B$32,0),MATCH(DAY($A486),Turno!$C$1:$V$1,0)),""))</f>
        <v/>
      </c>
      <c r="T486" t="str">
        <f>IF(OR($E486="",$S486=""),"",IFERROR(MAX(0,ROUND((INDEX(Config!$D$15:$D$18,MATCH($S486,Config!$B$15:$B$18,0))-$E486)*1440,0)),""))</f>
        <v/>
      </c>
      <c r="U486" s="13" t="str">
        <f>IF(OR($N486="",$T486=""),"",IFERROR(MAX(0,1-($N486+$T486+MAX(0,N($Q486)))/ROUND((INDEX(Config!$D$15:$D$18,MATCH($S486,Config!$B$15:$B$18,0))-INDEX(Config!$C$15:$C$18,MATCH($S486,Config!$B$15:$B$18,0)))*1440,0)),""))</f>
        <v/>
      </c>
      <c r="V486" s="5"/>
    </row>
    <row r="487" spans="1:22" x14ac:dyDescent="0.25">
      <c r="A487" s="11"/>
      <c r="B487" s="5"/>
      <c r="C487" s="6" t="str">
        <f>IFERROR(INDEX(Ejecutivos!$B$2:$B$100,MATCH(B487,Ejecutivos!$A$2:$A$100,0)),"")</f>
        <v/>
      </c>
      <c r="D487" s="12"/>
      <c r="E487" s="12"/>
      <c r="F487" s="12"/>
      <c r="G487" s="12"/>
      <c r="H487" s="5"/>
      <c r="I487" s="5"/>
      <c r="J487" s="5"/>
      <c r="K487" s="5"/>
      <c r="L487" s="18">
        <v>0</v>
      </c>
      <c r="M487" t="str">
        <f t="shared" si="31"/>
        <v/>
      </c>
      <c r="N487" t="str">
        <f>IF(OR($D487="",$S487=""),"",IFERROR(MAX(0,ROUND(($D487-INDEX(Config!$C$15:$C$18,MATCH($S487,Config!$B$15:$B$18,0)))*24*60,0)),""))</f>
        <v/>
      </c>
      <c r="O487" t="str">
        <f t="shared" si="32"/>
        <v/>
      </c>
      <c r="P487" t="str">
        <f t="shared" si="33"/>
        <v/>
      </c>
      <c r="Q487" t="str">
        <f>IF(OR($P487="",$S487=""),"",IFERROR($P487-INDEX(Config!$E$15:$E$18,MATCH($S487,Config!$B$15:$B$18,0)),""))</f>
        <v/>
      </c>
      <c r="R487" t="str">
        <f t="shared" si="34"/>
        <v/>
      </c>
      <c r="S487" s="6" t="str">
        <f>IF(OR($A487="",$C487=""),"",IFERROR(INDEX(Turno!$C$3:$V$32,MATCH($C487,Turno!$B$3:$B$32,0),MATCH(DAY($A487),Turno!$C$1:$V$1,0)),""))</f>
        <v/>
      </c>
      <c r="T487" t="str">
        <f>IF(OR($E487="",$S487=""),"",IFERROR(MAX(0,ROUND((INDEX(Config!$D$15:$D$18,MATCH($S487,Config!$B$15:$B$18,0))-$E487)*1440,0)),""))</f>
        <v/>
      </c>
      <c r="U487" s="13" t="str">
        <f>IF(OR($N487="",$T487=""),"",IFERROR(MAX(0,1-($N487+$T487+MAX(0,N($Q487)))/ROUND((INDEX(Config!$D$15:$D$18,MATCH($S487,Config!$B$15:$B$18,0))-INDEX(Config!$C$15:$C$18,MATCH($S487,Config!$B$15:$B$18,0)))*1440,0)),""))</f>
        <v/>
      </c>
      <c r="V487" s="5"/>
    </row>
    <row r="488" spans="1:22" x14ac:dyDescent="0.25">
      <c r="A488" s="11"/>
      <c r="B488" s="5"/>
      <c r="C488" s="6" t="str">
        <f>IFERROR(INDEX(Ejecutivos!$B$2:$B$100,MATCH(B488,Ejecutivos!$A$2:$A$100,0)),"")</f>
        <v/>
      </c>
      <c r="D488" s="12"/>
      <c r="E488" s="12"/>
      <c r="F488" s="12"/>
      <c r="G488" s="12"/>
      <c r="H488" s="5"/>
      <c r="I488" s="5"/>
      <c r="J488" s="5"/>
      <c r="K488" s="5"/>
      <c r="L488" s="18">
        <v>0</v>
      </c>
      <c r="M488" t="str">
        <f t="shared" si="31"/>
        <v/>
      </c>
      <c r="N488" t="str">
        <f>IF(OR($D488="",$S488=""),"",IFERROR(MAX(0,ROUND(($D488-INDEX(Config!$C$15:$C$18,MATCH($S488,Config!$B$15:$B$18,0)))*24*60,0)),""))</f>
        <v/>
      </c>
      <c r="O488" t="str">
        <f t="shared" si="32"/>
        <v/>
      </c>
      <c r="P488" t="str">
        <f t="shared" si="33"/>
        <v/>
      </c>
      <c r="Q488" t="str">
        <f>IF(OR($P488="",$S488=""),"",IFERROR($P488-INDEX(Config!$E$15:$E$18,MATCH($S488,Config!$B$15:$B$18,0)),""))</f>
        <v/>
      </c>
      <c r="R488" t="str">
        <f t="shared" si="34"/>
        <v/>
      </c>
      <c r="S488" s="6" t="str">
        <f>IF(OR($A488="",$C488=""),"",IFERROR(INDEX(Turno!$C$3:$V$32,MATCH($C488,Turno!$B$3:$B$32,0),MATCH(DAY($A488),Turno!$C$1:$V$1,0)),""))</f>
        <v/>
      </c>
      <c r="T488" t="str">
        <f>IF(OR($E488="",$S488=""),"",IFERROR(MAX(0,ROUND((INDEX(Config!$D$15:$D$18,MATCH($S488,Config!$B$15:$B$18,0))-$E488)*1440,0)),""))</f>
        <v/>
      </c>
      <c r="U488" s="13" t="str">
        <f>IF(OR($N488="",$T488=""),"",IFERROR(MAX(0,1-($N488+$T488+MAX(0,N($Q488)))/ROUND((INDEX(Config!$D$15:$D$18,MATCH($S488,Config!$B$15:$B$18,0))-INDEX(Config!$C$15:$C$18,MATCH($S488,Config!$B$15:$B$18,0)))*1440,0)),""))</f>
        <v/>
      </c>
      <c r="V488" s="5"/>
    </row>
    <row r="489" spans="1:22" x14ac:dyDescent="0.25">
      <c r="A489" s="11"/>
      <c r="B489" s="5"/>
      <c r="C489" s="6" t="str">
        <f>IFERROR(INDEX(Ejecutivos!$B$2:$B$100,MATCH(B489,Ejecutivos!$A$2:$A$100,0)),"")</f>
        <v/>
      </c>
      <c r="D489" s="12"/>
      <c r="E489" s="12"/>
      <c r="F489" s="12"/>
      <c r="G489" s="12"/>
      <c r="H489" s="5"/>
      <c r="I489" s="5"/>
      <c r="J489" s="5"/>
      <c r="K489" s="5"/>
      <c r="L489" s="18">
        <v>0</v>
      </c>
      <c r="M489" t="str">
        <f t="shared" si="31"/>
        <v/>
      </c>
      <c r="N489" t="str">
        <f>IF(OR($D489="",$S489=""),"",IFERROR(MAX(0,ROUND(($D489-INDEX(Config!$C$15:$C$18,MATCH($S489,Config!$B$15:$B$18,0)))*24*60,0)),""))</f>
        <v/>
      </c>
      <c r="O489" t="str">
        <f t="shared" si="32"/>
        <v/>
      </c>
      <c r="P489" t="str">
        <f t="shared" si="33"/>
        <v/>
      </c>
      <c r="Q489" t="str">
        <f>IF(OR($P489="",$S489=""),"",IFERROR($P489-INDEX(Config!$E$15:$E$18,MATCH($S489,Config!$B$15:$B$18,0)),""))</f>
        <v/>
      </c>
      <c r="R489" t="str">
        <f t="shared" si="34"/>
        <v/>
      </c>
      <c r="S489" s="6" t="str">
        <f>IF(OR($A489="",$C489=""),"",IFERROR(INDEX(Turno!$C$3:$V$32,MATCH($C489,Turno!$B$3:$B$32,0),MATCH(DAY($A489),Turno!$C$1:$V$1,0)),""))</f>
        <v/>
      </c>
      <c r="T489" t="str">
        <f>IF(OR($E489="",$S489=""),"",IFERROR(MAX(0,ROUND((INDEX(Config!$D$15:$D$18,MATCH($S489,Config!$B$15:$B$18,0))-$E489)*1440,0)),""))</f>
        <v/>
      </c>
      <c r="U489" s="13" t="str">
        <f>IF(OR($N489="",$T489=""),"",IFERROR(MAX(0,1-($N489+$T489+MAX(0,N($Q489)))/ROUND((INDEX(Config!$D$15:$D$18,MATCH($S489,Config!$B$15:$B$18,0))-INDEX(Config!$C$15:$C$18,MATCH($S489,Config!$B$15:$B$18,0)))*1440,0)),""))</f>
        <v/>
      </c>
      <c r="V489" s="5"/>
    </row>
    <row r="490" spans="1:22" x14ac:dyDescent="0.25">
      <c r="A490" s="11"/>
      <c r="B490" s="5"/>
      <c r="C490" s="6" t="str">
        <f>IFERROR(INDEX(Ejecutivos!$B$2:$B$100,MATCH(B490,Ejecutivos!$A$2:$A$100,0)),"")</f>
        <v/>
      </c>
      <c r="D490" s="12"/>
      <c r="E490" s="12"/>
      <c r="F490" s="12"/>
      <c r="G490" s="12"/>
      <c r="H490" s="5"/>
      <c r="I490" s="5"/>
      <c r="J490" s="5"/>
      <c r="K490" s="5"/>
      <c r="L490" s="18">
        <v>0</v>
      </c>
      <c r="M490" t="str">
        <f t="shared" si="31"/>
        <v/>
      </c>
      <c r="N490" t="str">
        <f>IF(OR($D490="",$S490=""),"",IFERROR(MAX(0,ROUND(($D490-INDEX(Config!$C$15:$C$18,MATCH($S490,Config!$B$15:$B$18,0)))*24*60,0)),""))</f>
        <v/>
      </c>
      <c r="O490" t="str">
        <f t="shared" si="32"/>
        <v/>
      </c>
      <c r="P490" t="str">
        <f t="shared" si="33"/>
        <v/>
      </c>
      <c r="Q490" t="str">
        <f>IF(OR($P490="",$S490=""),"",IFERROR($P490-INDEX(Config!$E$15:$E$18,MATCH($S490,Config!$B$15:$B$18,0)),""))</f>
        <v/>
      </c>
      <c r="R490" t="str">
        <f t="shared" si="34"/>
        <v/>
      </c>
      <c r="S490" s="6" t="str">
        <f>IF(OR($A490="",$C490=""),"",IFERROR(INDEX(Turno!$C$3:$V$32,MATCH($C490,Turno!$B$3:$B$32,0),MATCH(DAY($A490),Turno!$C$1:$V$1,0)),""))</f>
        <v/>
      </c>
      <c r="T490" t="str">
        <f>IF(OR($E490="",$S490=""),"",IFERROR(MAX(0,ROUND((INDEX(Config!$D$15:$D$18,MATCH($S490,Config!$B$15:$B$18,0))-$E490)*1440,0)),""))</f>
        <v/>
      </c>
      <c r="U490" s="13" t="str">
        <f>IF(OR($N490="",$T490=""),"",IFERROR(MAX(0,1-($N490+$T490+MAX(0,N($Q490)))/ROUND((INDEX(Config!$D$15:$D$18,MATCH($S490,Config!$B$15:$B$18,0))-INDEX(Config!$C$15:$C$18,MATCH($S490,Config!$B$15:$B$18,0)))*1440,0)),""))</f>
        <v/>
      </c>
      <c r="V490" s="5"/>
    </row>
    <row r="491" spans="1:22" x14ac:dyDescent="0.25">
      <c r="A491" s="11"/>
      <c r="B491" s="5"/>
      <c r="C491" s="6" t="str">
        <f>IFERROR(INDEX(Ejecutivos!$B$2:$B$100,MATCH(B491,Ejecutivos!$A$2:$A$100,0)),"")</f>
        <v/>
      </c>
      <c r="D491" s="12"/>
      <c r="E491" s="12"/>
      <c r="F491" s="12"/>
      <c r="G491" s="12"/>
      <c r="H491" s="5"/>
      <c r="I491" s="5"/>
      <c r="J491" s="5"/>
      <c r="K491" s="5"/>
      <c r="L491" s="18">
        <v>0</v>
      </c>
      <c r="M491" t="str">
        <f t="shared" si="31"/>
        <v/>
      </c>
      <c r="N491" t="str">
        <f>IF(OR($D491="",$S491=""),"",IFERROR(MAX(0,ROUND(($D491-INDEX(Config!$C$15:$C$18,MATCH($S491,Config!$B$15:$B$18,0)))*24*60,0)),""))</f>
        <v/>
      </c>
      <c r="O491" t="str">
        <f t="shared" si="32"/>
        <v/>
      </c>
      <c r="P491" t="str">
        <f t="shared" si="33"/>
        <v/>
      </c>
      <c r="Q491" t="str">
        <f>IF(OR($P491="",$S491=""),"",IFERROR($P491-INDEX(Config!$E$15:$E$18,MATCH($S491,Config!$B$15:$B$18,0)),""))</f>
        <v/>
      </c>
      <c r="R491" t="str">
        <f t="shared" si="34"/>
        <v/>
      </c>
      <c r="S491" s="6" t="str">
        <f>IF(OR($A491="",$C491=""),"",IFERROR(INDEX(Turno!$C$3:$V$32,MATCH($C491,Turno!$B$3:$B$32,0),MATCH(DAY($A491),Turno!$C$1:$V$1,0)),""))</f>
        <v/>
      </c>
      <c r="T491" t="str">
        <f>IF(OR($E491="",$S491=""),"",IFERROR(MAX(0,ROUND((INDEX(Config!$D$15:$D$18,MATCH($S491,Config!$B$15:$B$18,0))-$E491)*1440,0)),""))</f>
        <v/>
      </c>
      <c r="U491" s="13" t="str">
        <f>IF(OR($N491="",$T491=""),"",IFERROR(MAX(0,1-($N491+$T491+MAX(0,N($Q491)))/ROUND((INDEX(Config!$D$15:$D$18,MATCH($S491,Config!$B$15:$B$18,0))-INDEX(Config!$C$15:$C$18,MATCH($S491,Config!$B$15:$B$18,0)))*1440,0)),""))</f>
        <v/>
      </c>
      <c r="V491" s="5"/>
    </row>
    <row r="492" spans="1:22" x14ac:dyDescent="0.25">
      <c r="A492" s="11"/>
      <c r="B492" s="5"/>
      <c r="C492" s="6" t="str">
        <f>IFERROR(INDEX(Ejecutivos!$B$2:$B$100,MATCH(B492,Ejecutivos!$A$2:$A$100,0)),"")</f>
        <v/>
      </c>
      <c r="D492" s="12"/>
      <c r="E492" s="12"/>
      <c r="F492" s="12"/>
      <c r="G492" s="12"/>
      <c r="H492" s="5"/>
      <c r="I492" s="5"/>
      <c r="J492" s="5"/>
      <c r="K492" s="5"/>
      <c r="L492" s="18">
        <v>0</v>
      </c>
      <c r="M492" t="str">
        <f t="shared" si="31"/>
        <v/>
      </c>
      <c r="N492" t="str">
        <f>IF(OR($D492="",$S492=""),"",IFERROR(MAX(0,ROUND(($D492-INDEX(Config!$C$15:$C$18,MATCH($S492,Config!$B$15:$B$18,0)))*24*60,0)),""))</f>
        <v/>
      </c>
      <c r="O492" t="str">
        <f t="shared" si="32"/>
        <v/>
      </c>
      <c r="P492" t="str">
        <f t="shared" si="33"/>
        <v/>
      </c>
      <c r="Q492" t="str">
        <f>IF(OR($P492="",$S492=""),"",IFERROR($P492-INDEX(Config!$E$15:$E$18,MATCH($S492,Config!$B$15:$B$18,0)),""))</f>
        <v/>
      </c>
      <c r="R492" t="str">
        <f t="shared" si="34"/>
        <v/>
      </c>
      <c r="S492" s="6" t="str">
        <f>IF(OR($A492="",$C492=""),"",IFERROR(INDEX(Turno!$C$3:$V$32,MATCH($C492,Turno!$B$3:$B$32,0),MATCH(DAY($A492),Turno!$C$1:$V$1,0)),""))</f>
        <v/>
      </c>
      <c r="T492" t="str">
        <f>IF(OR($E492="",$S492=""),"",IFERROR(MAX(0,ROUND((INDEX(Config!$D$15:$D$18,MATCH($S492,Config!$B$15:$B$18,0))-$E492)*1440,0)),""))</f>
        <v/>
      </c>
      <c r="U492" s="13" t="str">
        <f>IF(OR($N492="",$T492=""),"",IFERROR(MAX(0,1-($N492+$T492+MAX(0,N($Q492)))/ROUND((INDEX(Config!$D$15:$D$18,MATCH($S492,Config!$B$15:$B$18,0))-INDEX(Config!$C$15:$C$18,MATCH($S492,Config!$B$15:$B$18,0)))*1440,0)),""))</f>
        <v/>
      </c>
      <c r="V492" s="5"/>
    </row>
    <row r="493" spans="1:22" x14ac:dyDescent="0.25">
      <c r="A493" s="11"/>
      <c r="B493" s="5"/>
      <c r="C493" s="6" t="str">
        <f>IFERROR(INDEX(Ejecutivos!$B$2:$B$100,MATCH(B493,Ejecutivos!$A$2:$A$100,0)),"")</f>
        <v/>
      </c>
      <c r="D493" s="12"/>
      <c r="E493" s="12"/>
      <c r="F493" s="12"/>
      <c r="G493" s="12"/>
      <c r="H493" s="5"/>
      <c r="I493" s="5"/>
      <c r="J493" s="5"/>
      <c r="K493" s="5"/>
      <c r="L493" s="18">
        <v>0</v>
      </c>
      <c r="M493" t="str">
        <f t="shared" si="31"/>
        <v/>
      </c>
      <c r="N493" t="str">
        <f>IF(OR($D493="",$S493=""),"",IFERROR(MAX(0,ROUND(($D493-INDEX(Config!$C$15:$C$18,MATCH($S493,Config!$B$15:$B$18,0)))*24*60,0)),""))</f>
        <v/>
      </c>
      <c r="O493" t="str">
        <f t="shared" si="32"/>
        <v/>
      </c>
      <c r="P493" t="str">
        <f t="shared" si="33"/>
        <v/>
      </c>
      <c r="Q493" t="str">
        <f>IF(OR($P493="",$S493=""),"",IFERROR($P493-INDEX(Config!$E$15:$E$18,MATCH($S493,Config!$B$15:$B$18,0)),""))</f>
        <v/>
      </c>
      <c r="R493" t="str">
        <f t="shared" si="34"/>
        <v/>
      </c>
      <c r="S493" s="6" t="str">
        <f>IF(OR($A493="",$C493=""),"",IFERROR(INDEX(Turno!$C$3:$V$32,MATCH($C493,Turno!$B$3:$B$32,0),MATCH(DAY($A493),Turno!$C$1:$V$1,0)),""))</f>
        <v/>
      </c>
      <c r="T493" t="str">
        <f>IF(OR($E493="",$S493=""),"",IFERROR(MAX(0,ROUND((INDEX(Config!$D$15:$D$18,MATCH($S493,Config!$B$15:$B$18,0))-$E493)*1440,0)),""))</f>
        <v/>
      </c>
      <c r="U493" s="13" t="str">
        <f>IF(OR($N493="",$T493=""),"",IFERROR(MAX(0,1-($N493+$T493+MAX(0,N($Q493)))/ROUND((INDEX(Config!$D$15:$D$18,MATCH($S493,Config!$B$15:$B$18,0))-INDEX(Config!$C$15:$C$18,MATCH($S493,Config!$B$15:$B$18,0)))*1440,0)),""))</f>
        <v/>
      </c>
      <c r="V493" s="5"/>
    </row>
    <row r="494" spans="1:22" x14ac:dyDescent="0.25">
      <c r="A494" s="11"/>
      <c r="B494" s="5"/>
      <c r="C494" s="6" t="str">
        <f>IFERROR(INDEX(Ejecutivos!$B$2:$B$100,MATCH(B494,Ejecutivos!$A$2:$A$100,0)),"")</f>
        <v/>
      </c>
      <c r="D494" s="12"/>
      <c r="E494" s="12"/>
      <c r="F494" s="12"/>
      <c r="G494" s="12"/>
      <c r="H494" s="5"/>
      <c r="I494" s="5"/>
      <c r="J494" s="5"/>
      <c r="K494" s="5"/>
      <c r="L494" s="18">
        <v>0</v>
      </c>
      <c r="M494" t="str">
        <f t="shared" si="31"/>
        <v/>
      </c>
      <c r="N494" t="str">
        <f>IF(OR($D494="",$S494=""),"",IFERROR(MAX(0,ROUND(($D494-INDEX(Config!$C$15:$C$18,MATCH($S494,Config!$B$15:$B$18,0)))*24*60,0)),""))</f>
        <v/>
      </c>
      <c r="O494" t="str">
        <f t="shared" si="32"/>
        <v/>
      </c>
      <c r="P494" t="str">
        <f t="shared" si="33"/>
        <v/>
      </c>
      <c r="Q494" t="str">
        <f>IF(OR($P494="",$S494=""),"",IFERROR($P494-INDEX(Config!$E$15:$E$18,MATCH($S494,Config!$B$15:$B$18,0)),""))</f>
        <v/>
      </c>
      <c r="R494" t="str">
        <f t="shared" si="34"/>
        <v/>
      </c>
      <c r="S494" s="6" t="str">
        <f>IF(OR($A494="",$C494=""),"",IFERROR(INDEX(Turno!$C$3:$V$32,MATCH($C494,Turno!$B$3:$B$32,0),MATCH(DAY($A494),Turno!$C$1:$V$1,0)),""))</f>
        <v/>
      </c>
      <c r="T494" t="str">
        <f>IF(OR($E494="",$S494=""),"",IFERROR(MAX(0,ROUND((INDEX(Config!$D$15:$D$18,MATCH($S494,Config!$B$15:$B$18,0))-$E494)*1440,0)),""))</f>
        <v/>
      </c>
      <c r="U494" s="13" t="str">
        <f>IF(OR($N494="",$T494=""),"",IFERROR(MAX(0,1-($N494+$T494+MAX(0,N($Q494)))/ROUND((INDEX(Config!$D$15:$D$18,MATCH($S494,Config!$B$15:$B$18,0))-INDEX(Config!$C$15:$C$18,MATCH($S494,Config!$B$15:$B$18,0)))*1440,0)),""))</f>
        <v/>
      </c>
      <c r="V494" s="5"/>
    </row>
    <row r="495" spans="1:22" x14ac:dyDescent="0.25">
      <c r="A495" s="11"/>
      <c r="B495" s="5"/>
      <c r="C495" s="6" t="str">
        <f>IFERROR(INDEX(Ejecutivos!$B$2:$B$100,MATCH(B495,Ejecutivos!$A$2:$A$100,0)),"")</f>
        <v/>
      </c>
      <c r="D495" s="12"/>
      <c r="E495" s="12"/>
      <c r="F495" s="12"/>
      <c r="G495" s="12"/>
      <c r="H495" s="5"/>
      <c r="I495" s="5"/>
      <c r="J495" s="5"/>
      <c r="K495" s="5"/>
      <c r="L495" s="18">
        <v>0</v>
      </c>
      <c r="M495" t="str">
        <f t="shared" si="31"/>
        <v/>
      </c>
      <c r="N495" t="str">
        <f>IF(OR($D495="",$S495=""),"",IFERROR(MAX(0,ROUND(($D495-INDEX(Config!$C$15:$C$18,MATCH($S495,Config!$B$15:$B$18,0)))*24*60,0)),""))</f>
        <v/>
      </c>
      <c r="O495" t="str">
        <f t="shared" si="32"/>
        <v/>
      </c>
      <c r="P495" t="str">
        <f t="shared" si="33"/>
        <v/>
      </c>
      <c r="Q495" t="str">
        <f>IF(OR($P495="",$S495=""),"",IFERROR($P495-INDEX(Config!$E$15:$E$18,MATCH($S495,Config!$B$15:$B$18,0)),""))</f>
        <v/>
      </c>
      <c r="R495" t="str">
        <f t="shared" si="34"/>
        <v/>
      </c>
      <c r="S495" s="6" t="str">
        <f>IF(OR($A495="",$C495=""),"",IFERROR(INDEX(Turno!$C$3:$V$32,MATCH($C495,Turno!$B$3:$B$32,0),MATCH(DAY($A495),Turno!$C$1:$V$1,0)),""))</f>
        <v/>
      </c>
      <c r="T495" t="str">
        <f>IF(OR($E495="",$S495=""),"",IFERROR(MAX(0,ROUND((INDEX(Config!$D$15:$D$18,MATCH($S495,Config!$B$15:$B$18,0))-$E495)*1440,0)),""))</f>
        <v/>
      </c>
      <c r="U495" s="13" t="str">
        <f>IF(OR($N495="",$T495=""),"",IFERROR(MAX(0,1-($N495+$T495+MAX(0,N($Q495)))/ROUND((INDEX(Config!$D$15:$D$18,MATCH($S495,Config!$B$15:$B$18,0))-INDEX(Config!$C$15:$C$18,MATCH($S495,Config!$B$15:$B$18,0)))*1440,0)),""))</f>
        <v/>
      </c>
      <c r="V495" s="5"/>
    </row>
    <row r="496" spans="1:22" x14ac:dyDescent="0.25">
      <c r="A496" s="11"/>
      <c r="B496" s="5"/>
      <c r="C496" s="6" t="str">
        <f>IFERROR(INDEX(Ejecutivos!$B$2:$B$100,MATCH(B496,Ejecutivos!$A$2:$A$100,0)),"")</f>
        <v/>
      </c>
      <c r="D496" s="12"/>
      <c r="E496" s="12"/>
      <c r="F496" s="12"/>
      <c r="G496" s="12"/>
      <c r="H496" s="5"/>
      <c r="I496" s="5"/>
      <c r="J496" s="5"/>
      <c r="K496" s="5"/>
      <c r="L496" s="18">
        <v>0</v>
      </c>
      <c r="M496" t="str">
        <f t="shared" si="31"/>
        <v/>
      </c>
      <c r="N496" t="str">
        <f>IF(OR($D496="",$S496=""),"",IFERROR(MAX(0,ROUND(($D496-INDEX(Config!$C$15:$C$18,MATCH($S496,Config!$B$15:$B$18,0)))*24*60,0)),""))</f>
        <v/>
      </c>
      <c r="O496" t="str">
        <f t="shared" si="32"/>
        <v/>
      </c>
      <c r="P496" t="str">
        <f t="shared" si="33"/>
        <v/>
      </c>
      <c r="Q496" t="str">
        <f>IF(OR($P496="",$S496=""),"",IFERROR($P496-INDEX(Config!$E$15:$E$18,MATCH($S496,Config!$B$15:$B$18,0)),""))</f>
        <v/>
      </c>
      <c r="R496" t="str">
        <f t="shared" si="34"/>
        <v/>
      </c>
      <c r="S496" s="6" t="str">
        <f>IF(OR($A496="",$C496=""),"",IFERROR(INDEX(Turno!$C$3:$V$32,MATCH($C496,Turno!$B$3:$B$32,0),MATCH(DAY($A496),Turno!$C$1:$V$1,0)),""))</f>
        <v/>
      </c>
      <c r="T496" t="str">
        <f>IF(OR($E496="",$S496=""),"",IFERROR(MAX(0,ROUND((INDEX(Config!$D$15:$D$18,MATCH($S496,Config!$B$15:$B$18,0))-$E496)*1440,0)),""))</f>
        <v/>
      </c>
      <c r="U496" s="13" t="str">
        <f>IF(OR($N496="",$T496=""),"",IFERROR(MAX(0,1-($N496+$T496+MAX(0,N($Q496)))/ROUND((INDEX(Config!$D$15:$D$18,MATCH($S496,Config!$B$15:$B$18,0))-INDEX(Config!$C$15:$C$18,MATCH($S496,Config!$B$15:$B$18,0)))*1440,0)),""))</f>
        <v/>
      </c>
      <c r="V496" s="5"/>
    </row>
    <row r="497" spans="1:22" x14ac:dyDescent="0.25">
      <c r="A497" s="11"/>
      <c r="B497" s="5"/>
      <c r="C497" s="6" t="str">
        <f>IFERROR(INDEX(Ejecutivos!$B$2:$B$100,MATCH(B497,Ejecutivos!$A$2:$A$100,0)),"")</f>
        <v/>
      </c>
      <c r="D497" s="12"/>
      <c r="E497" s="12"/>
      <c r="F497" s="12"/>
      <c r="G497" s="12"/>
      <c r="H497" s="5"/>
      <c r="I497" s="5"/>
      <c r="J497" s="5"/>
      <c r="K497" s="5"/>
      <c r="L497" s="18">
        <v>0</v>
      </c>
      <c r="M497" t="str">
        <f t="shared" si="31"/>
        <v/>
      </c>
      <c r="N497" t="str">
        <f>IF(OR($D497="",$S497=""),"",IFERROR(MAX(0,ROUND(($D497-INDEX(Config!$C$15:$C$18,MATCH($S497,Config!$B$15:$B$18,0)))*24*60,0)),""))</f>
        <v/>
      </c>
      <c r="O497" t="str">
        <f t="shared" si="32"/>
        <v/>
      </c>
      <c r="P497" t="str">
        <f t="shared" si="33"/>
        <v/>
      </c>
      <c r="Q497" t="str">
        <f>IF(OR($P497="",$S497=""),"",IFERROR($P497-INDEX(Config!$E$15:$E$18,MATCH($S497,Config!$B$15:$B$18,0)),""))</f>
        <v/>
      </c>
      <c r="R497" t="str">
        <f t="shared" si="34"/>
        <v/>
      </c>
      <c r="S497" s="6" t="str">
        <f>IF(OR($A497="",$C497=""),"",IFERROR(INDEX(Turno!$C$3:$V$32,MATCH($C497,Turno!$B$3:$B$32,0),MATCH(DAY($A497),Turno!$C$1:$V$1,0)),""))</f>
        <v/>
      </c>
      <c r="T497" t="str">
        <f>IF(OR($E497="",$S497=""),"",IFERROR(MAX(0,ROUND((INDEX(Config!$D$15:$D$18,MATCH($S497,Config!$B$15:$B$18,0))-$E497)*1440,0)),""))</f>
        <v/>
      </c>
      <c r="U497" s="13" t="str">
        <f>IF(OR($N497="",$T497=""),"",IFERROR(MAX(0,1-($N497+$T497+MAX(0,N($Q497)))/ROUND((INDEX(Config!$D$15:$D$18,MATCH($S497,Config!$B$15:$B$18,0))-INDEX(Config!$C$15:$C$18,MATCH($S497,Config!$B$15:$B$18,0)))*1440,0)),""))</f>
        <v/>
      </c>
      <c r="V497" s="5"/>
    </row>
    <row r="498" spans="1:22" x14ac:dyDescent="0.25">
      <c r="A498" s="11"/>
      <c r="B498" s="5"/>
      <c r="C498" s="6" t="str">
        <f>IFERROR(INDEX(Ejecutivos!$B$2:$B$100,MATCH(B498,Ejecutivos!$A$2:$A$100,0)),"")</f>
        <v/>
      </c>
      <c r="D498" s="12"/>
      <c r="E498" s="12"/>
      <c r="F498" s="12"/>
      <c r="G498" s="12"/>
      <c r="H498" s="5"/>
      <c r="I498" s="5"/>
      <c r="J498" s="5"/>
      <c r="K498" s="5"/>
      <c r="L498" s="18">
        <v>0</v>
      </c>
      <c r="M498" t="str">
        <f t="shared" si="31"/>
        <v/>
      </c>
      <c r="N498" t="str">
        <f>IF(OR($D498="",$S498=""),"",IFERROR(MAX(0,ROUND(($D498-INDEX(Config!$C$15:$C$18,MATCH($S498,Config!$B$15:$B$18,0)))*24*60,0)),""))</f>
        <v/>
      </c>
      <c r="O498" t="str">
        <f t="shared" si="32"/>
        <v/>
      </c>
      <c r="P498" t="str">
        <f t="shared" si="33"/>
        <v/>
      </c>
      <c r="Q498" t="str">
        <f>IF(OR($P498="",$S498=""),"",IFERROR($P498-INDEX(Config!$E$15:$E$18,MATCH($S498,Config!$B$15:$B$18,0)),""))</f>
        <v/>
      </c>
      <c r="R498" t="str">
        <f t="shared" si="34"/>
        <v/>
      </c>
      <c r="S498" s="6" t="str">
        <f>IF(OR($A498="",$C498=""),"",IFERROR(INDEX(Turno!$C$3:$V$32,MATCH($C498,Turno!$B$3:$B$32,0),MATCH(DAY($A498),Turno!$C$1:$V$1,0)),""))</f>
        <v/>
      </c>
      <c r="T498" t="str">
        <f>IF(OR($E498="",$S498=""),"",IFERROR(MAX(0,ROUND((INDEX(Config!$D$15:$D$18,MATCH($S498,Config!$B$15:$B$18,0))-$E498)*1440,0)),""))</f>
        <v/>
      </c>
      <c r="U498" s="13" t="str">
        <f>IF(OR($N498="",$T498=""),"",IFERROR(MAX(0,1-($N498+$T498+MAX(0,N($Q498)))/ROUND((INDEX(Config!$D$15:$D$18,MATCH($S498,Config!$B$15:$B$18,0))-INDEX(Config!$C$15:$C$18,MATCH($S498,Config!$B$15:$B$18,0)))*1440,0)),""))</f>
        <v/>
      </c>
      <c r="V498" s="5"/>
    </row>
    <row r="499" spans="1:22" x14ac:dyDescent="0.25">
      <c r="A499" s="11"/>
      <c r="B499" s="5"/>
      <c r="C499" s="6" t="str">
        <f>IFERROR(INDEX(Ejecutivos!$B$2:$B$100,MATCH(B499,Ejecutivos!$A$2:$A$100,0)),"")</f>
        <v/>
      </c>
      <c r="D499" s="12"/>
      <c r="E499" s="12"/>
      <c r="F499" s="12"/>
      <c r="G499" s="12"/>
      <c r="H499" s="5"/>
      <c r="I499" s="5"/>
      <c r="J499" s="5"/>
      <c r="K499" s="5"/>
      <c r="L499" s="18">
        <v>0</v>
      </c>
      <c r="M499" t="str">
        <f t="shared" si="31"/>
        <v/>
      </c>
      <c r="N499" t="str">
        <f>IF(OR($D499="",$S499=""),"",IFERROR(MAX(0,ROUND(($D499-INDEX(Config!$C$15:$C$18,MATCH($S499,Config!$B$15:$B$18,0)))*24*60,0)),""))</f>
        <v/>
      </c>
      <c r="O499" t="str">
        <f t="shared" si="32"/>
        <v/>
      </c>
      <c r="P499" t="str">
        <f t="shared" si="33"/>
        <v/>
      </c>
      <c r="Q499" t="str">
        <f>IF(OR($P499="",$S499=""),"",IFERROR($P499-INDEX(Config!$E$15:$E$18,MATCH($S499,Config!$B$15:$B$18,0)),""))</f>
        <v/>
      </c>
      <c r="R499" t="str">
        <f t="shared" si="34"/>
        <v/>
      </c>
      <c r="S499" s="6" t="str">
        <f>IF(OR($A499="",$C499=""),"",IFERROR(INDEX(Turno!$C$3:$V$32,MATCH($C499,Turno!$B$3:$B$32,0),MATCH(DAY($A499),Turno!$C$1:$V$1,0)),""))</f>
        <v/>
      </c>
      <c r="T499" t="str">
        <f>IF(OR($E499="",$S499=""),"",IFERROR(MAX(0,ROUND((INDEX(Config!$D$15:$D$18,MATCH($S499,Config!$B$15:$B$18,0))-$E499)*1440,0)),""))</f>
        <v/>
      </c>
      <c r="U499" s="13" t="str">
        <f>IF(OR($N499="",$T499=""),"",IFERROR(MAX(0,1-($N499+$T499+MAX(0,N($Q499)))/ROUND((INDEX(Config!$D$15:$D$18,MATCH($S499,Config!$B$15:$B$18,0))-INDEX(Config!$C$15:$C$18,MATCH($S499,Config!$B$15:$B$18,0)))*1440,0)),""))</f>
        <v/>
      </c>
      <c r="V499" s="5"/>
    </row>
    <row r="500" spans="1:22" x14ac:dyDescent="0.25">
      <c r="A500" s="11"/>
      <c r="B500" s="5"/>
      <c r="C500" s="6" t="str">
        <f>IFERROR(INDEX(Ejecutivos!$B$2:$B$100,MATCH(B500,Ejecutivos!$A$2:$A$100,0)),"")</f>
        <v/>
      </c>
      <c r="D500" s="12"/>
      <c r="E500" s="12"/>
      <c r="F500" s="12"/>
      <c r="G500" s="12"/>
      <c r="H500" s="5"/>
      <c r="I500" s="5"/>
      <c r="J500" s="5"/>
      <c r="K500" s="5"/>
      <c r="L500" s="18">
        <v>0</v>
      </c>
      <c r="M500" t="str">
        <f t="shared" si="31"/>
        <v/>
      </c>
      <c r="N500" t="str">
        <f>IF(OR($D500="",$S500=""),"",IFERROR(MAX(0,ROUND(($D500-INDEX(Config!$C$15:$C$18,MATCH($S500,Config!$B$15:$B$18,0)))*24*60,0)),""))</f>
        <v/>
      </c>
      <c r="O500" t="str">
        <f t="shared" si="32"/>
        <v/>
      </c>
      <c r="P500" t="str">
        <f t="shared" si="33"/>
        <v/>
      </c>
      <c r="Q500" t="str">
        <f>IF(OR($P500="",$S500=""),"",IFERROR($P500-INDEX(Config!$E$15:$E$18,MATCH($S500,Config!$B$15:$B$18,0)),""))</f>
        <v/>
      </c>
      <c r="R500" t="str">
        <f t="shared" si="34"/>
        <v/>
      </c>
      <c r="S500" s="6" t="str">
        <f>IF(OR($A500="",$C500=""),"",IFERROR(INDEX(Turno!$C$3:$V$32,MATCH($C500,Turno!$B$3:$B$32,0),MATCH(DAY($A500),Turno!$C$1:$V$1,0)),""))</f>
        <v/>
      </c>
      <c r="T500" t="str">
        <f>IF(OR($E500="",$S500=""),"",IFERROR(MAX(0,ROUND((INDEX(Config!$D$15:$D$18,MATCH($S500,Config!$B$15:$B$18,0))-$E500)*1440,0)),""))</f>
        <v/>
      </c>
      <c r="U500" s="13" t="str">
        <f>IF(OR($N500="",$T500=""),"",IFERROR(MAX(0,1-($N500+$T500+MAX(0,N($Q500)))/ROUND((INDEX(Config!$D$15:$D$18,MATCH($S500,Config!$B$15:$B$18,0))-INDEX(Config!$C$15:$C$18,MATCH($S500,Config!$B$15:$B$18,0)))*1440,0)),""))</f>
        <v/>
      </c>
      <c r="V500" s="5"/>
    </row>
    <row r="501" spans="1:22" x14ac:dyDescent="0.25">
      <c r="A501" s="11"/>
      <c r="B501" s="5"/>
      <c r="C501" s="6" t="str">
        <f>IFERROR(INDEX(Ejecutivos!$B$2:$B$100,MATCH(B501,Ejecutivos!$A$2:$A$100,0)),"")</f>
        <v/>
      </c>
      <c r="D501" s="12"/>
      <c r="E501" s="12"/>
      <c r="F501" s="12"/>
      <c r="G501" s="12"/>
      <c r="H501" s="5"/>
      <c r="I501" s="5"/>
      <c r="J501" s="5"/>
      <c r="K501" s="5"/>
      <c r="L501" s="18">
        <v>0</v>
      </c>
      <c r="M501" t="str">
        <f t="shared" ref="M501:M564" si="35">IF(OR(D501="",E501=""),"",ROUND(((E501-D501)*24)-((G501-F501)*24)-((H501+I501)/60),2))</f>
        <v/>
      </c>
      <c r="N501" t="str">
        <f>IF(OR($D501="",$S501=""),"",IFERROR(MAX(0,ROUND(($D501-INDEX(Config!$C$15:$C$18,MATCH($S501,Config!$B$15:$B$18,0)))*24*60,0)),""))</f>
        <v/>
      </c>
      <c r="O501" t="str">
        <f t="shared" ref="O501:O564" si="36">IF(OR(F501="",G501=""),"",ROUND((G501-F501)*24*60,0))</f>
        <v/>
      </c>
      <c r="P501" t="str">
        <f t="shared" ref="P501:P564" si="37">IF(O501="","",O501+H501+I501)</f>
        <v/>
      </c>
      <c r="Q501" t="str">
        <f>IF(OR($P501="",$S501=""),"",IFERROR($P501-INDEX(Config!$E$15:$E$18,MATCH($S501,Config!$B$15:$B$18,0)),""))</f>
        <v/>
      </c>
      <c r="R501" t="str">
        <f t="shared" ref="R501:R564" si="38">IF($A501="","",IF($D501="","Ausente",IF($N501="","",IF($N501&gt;0,"Atrasado","Puntual"))))</f>
        <v/>
      </c>
      <c r="S501" s="6" t="str">
        <f>IF(OR($A501="",$C501=""),"",IFERROR(INDEX(Turno!$C$3:$V$32,MATCH($C501,Turno!$B$3:$B$32,0),MATCH(DAY($A501),Turno!$C$1:$V$1,0)),""))</f>
        <v/>
      </c>
      <c r="T501" t="str">
        <f>IF(OR($E501="",$S501=""),"",IFERROR(MAX(0,ROUND((INDEX(Config!$D$15:$D$18,MATCH($S501,Config!$B$15:$B$18,0))-$E501)*1440,0)),""))</f>
        <v/>
      </c>
      <c r="U501" s="13" t="str">
        <f>IF(OR($N501="",$T501=""),"",IFERROR(MAX(0,1-($N501+$T501+MAX(0,N($Q501)))/ROUND((INDEX(Config!$D$15:$D$18,MATCH($S501,Config!$B$15:$B$18,0))-INDEX(Config!$C$15:$C$18,MATCH($S501,Config!$B$15:$B$18,0)))*1440,0)),""))</f>
        <v/>
      </c>
      <c r="V501" s="5"/>
    </row>
    <row r="502" spans="1:22" x14ac:dyDescent="0.25">
      <c r="A502" s="11"/>
      <c r="B502" s="5"/>
      <c r="C502" s="6" t="str">
        <f>IFERROR(INDEX(Ejecutivos!$B$2:$B$100,MATCH(B502,Ejecutivos!$A$2:$A$100,0)),"")</f>
        <v/>
      </c>
      <c r="D502" s="12"/>
      <c r="E502" s="12"/>
      <c r="F502" s="12"/>
      <c r="G502" s="12"/>
      <c r="H502" s="5"/>
      <c r="I502" s="5"/>
      <c r="J502" s="5"/>
      <c r="K502" s="5"/>
      <c r="L502" s="18">
        <v>0</v>
      </c>
      <c r="M502" t="str">
        <f t="shared" si="35"/>
        <v/>
      </c>
      <c r="N502" t="str">
        <f>IF(OR($D502="",$S502=""),"",IFERROR(MAX(0,ROUND(($D502-INDEX(Config!$C$15:$C$18,MATCH($S502,Config!$B$15:$B$18,0)))*24*60,0)),""))</f>
        <v/>
      </c>
      <c r="O502" t="str">
        <f t="shared" si="36"/>
        <v/>
      </c>
      <c r="P502" t="str">
        <f t="shared" si="37"/>
        <v/>
      </c>
      <c r="Q502" t="str">
        <f>IF(OR($P502="",$S502=""),"",IFERROR($P502-INDEX(Config!$E$15:$E$18,MATCH($S502,Config!$B$15:$B$18,0)),""))</f>
        <v/>
      </c>
      <c r="R502" t="str">
        <f t="shared" si="38"/>
        <v/>
      </c>
      <c r="S502" s="6" t="str">
        <f>IF(OR($A502="",$C502=""),"",IFERROR(INDEX(Turno!$C$3:$V$32,MATCH($C502,Turno!$B$3:$B$32,0),MATCH(DAY($A502),Turno!$C$1:$V$1,0)),""))</f>
        <v/>
      </c>
      <c r="T502" t="str">
        <f>IF(OR($E502="",$S502=""),"",IFERROR(MAX(0,ROUND((INDEX(Config!$D$15:$D$18,MATCH($S502,Config!$B$15:$B$18,0))-$E502)*1440,0)),""))</f>
        <v/>
      </c>
      <c r="U502" s="13" t="str">
        <f>IF(OR($N502="",$T502=""),"",IFERROR(MAX(0,1-($N502+$T502+MAX(0,N($Q502)))/ROUND((INDEX(Config!$D$15:$D$18,MATCH($S502,Config!$B$15:$B$18,0))-INDEX(Config!$C$15:$C$18,MATCH($S502,Config!$B$15:$B$18,0)))*1440,0)),""))</f>
        <v/>
      </c>
      <c r="V502" s="5"/>
    </row>
    <row r="503" spans="1:22" x14ac:dyDescent="0.25">
      <c r="A503" s="11"/>
      <c r="B503" s="5"/>
      <c r="C503" s="6" t="str">
        <f>IFERROR(INDEX(Ejecutivos!$B$2:$B$100,MATCH(B503,Ejecutivos!$A$2:$A$100,0)),"")</f>
        <v/>
      </c>
      <c r="D503" s="12"/>
      <c r="E503" s="12"/>
      <c r="F503" s="12"/>
      <c r="G503" s="12"/>
      <c r="H503" s="5"/>
      <c r="I503" s="5"/>
      <c r="J503" s="5"/>
      <c r="K503" s="5"/>
      <c r="L503" s="18">
        <v>0</v>
      </c>
      <c r="M503" t="str">
        <f t="shared" si="35"/>
        <v/>
      </c>
      <c r="N503" t="str">
        <f>IF(OR($D503="",$S503=""),"",IFERROR(MAX(0,ROUND(($D503-INDEX(Config!$C$15:$C$18,MATCH($S503,Config!$B$15:$B$18,0)))*24*60,0)),""))</f>
        <v/>
      </c>
      <c r="O503" t="str">
        <f t="shared" si="36"/>
        <v/>
      </c>
      <c r="P503" t="str">
        <f t="shared" si="37"/>
        <v/>
      </c>
      <c r="Q503" t="str">
        <f>IF(OR($P503="",$S503=""),"",IFERROR($P503-INDEX(Config!$E$15:$E$18,MATCH($S503,Config!$B$15:$B$18,0)),""))</f>
        <v/>
      </c>
      <c r="R503" t="str">
        <f t="shared" si="38"/>
        <v/>
      </c>
      <c r="S503" s="6" t="str">
        <f>IF(OR($A503="",$C503=""),"",IFERROR(INDEX(Turno!$C$3:$V$32,MATCH($C503,Turno!$B$3:$B$32,0),MATCH(DAY($A503),Turno!$C$1:$V$1,0)),""))</f>
        <v/>
      </c>
      <c r="T503" t="str">
        <f>IF(OR($E503="",$S503=""),"",IFERROR(MAX(0,ROUND((INDEX(Config!$D$15:$D$18,MATCH($S503,Config!$B$15:$B$18,0))-$E503)*1440,0)),""))</f>
        <v/>
      </c>
      <c r="U503" s="13" t="str">
        <f>IF(OR($N503="",$T503=""),"",IFERROR(MAX(0,1-($N503+$T503+MAX(0,N($Q503)))/ROUND((INDEX(Config!$D$15:$D$18,MATCH($S503,Config!$B$15:$B$18,0))-INDEX(Config!$C$15:$C$18,MATCH($S503,Config!$B$15:$B$18,0)))*1440,0)),""))</f>
        <v/>
      </c>
      <c r="V503" s="5"/>
    </row>
    <row r="504" spans="1:22" x14ac:dyDescent="0.25">
      <c r="A504" s="11"/>
      <c r="B504" s="5"/>
      <c r="C504" s="6" t="str">
        <f>IFERROR(INDEX(Ejecutivos!$B$2:$B$100,MATCH(B504,Ejecutivos!$A$2:$A$100,0)),"")</f>
        <v/>
      </c>
      <c r="D504" s="12"/>
      <c r="E504" s="12"/>
      <c r="F504" s="12"/>
      <c r="G504" s="12"/>
      <c r="H504" s="5"/>
      <c r="I504" s="5"/>
      <c r="J504" s="5"/>
      <c r="K504" s="5"/>
      <c r="L504" s="18">
        <v>0</v>
      </c>
      <c r="M504" t="str">
        <f t="shared" si="35"/>
        <v/>
      </c>
      <c r="N504" t="str">
        <f>IF(OR($D504="",$S504=""),"",IFERROR(MAX(0,ROUND(($D504-INDEX(Config!$C$15:$C$18,MATCH($S504,Config!$B$15:$B$18,0)))*24*60,0)),""))</f>
        <v/>
      </c>
      <c r="O504" t="str">
        <f t="shared" si="36"/>
        <v/>
      </c>
      <c r="P504" t="str">
        <f t="shared" si="37"/>
        <v/>
      </c>
      <c r="Q504" t="str">
        <f>IF(OR($P504="",$S504=""),"",IFERROR($P504-INDEX(Config!$E$15:$E$18,MATCH($S504,Config!$B$15:$B$18,0)),""))</f>
        <v/>
      </c>
      <c r="R504" t="str">
        <f t="shared" si="38"/>
        <v/>
      </c>
      <c r="S504" s="6" t="str">
        <f>IF(OR($A504="",$C504=""),"",IFERROR(INDEX(Turno!$C$3:$V$32,MATCH($C504,Turno!$B$3:$B$32,0),MATCH(DAY($A504),Turno!$C$1:$V$1,0)),""))</f>
        <v/>
      </c>
      <c r="T504" t="str">
        <f>IF(OR($E504="",$S504=""),"",IFERROR(MAX(0,ROUND((INDEX(Config!$D$15:$D$18,MATCH($S504,Config!$B$15:$B$18,0))-$E504)*1440,0)),""))</f>
        <v/>
      </c>
      <c r="U504" s="13" t="str">
        <f>IF(OR($N504="",$T504=""),"",IFERROR(MAX(0,1-($N504+$T504+MAX(0,N($Q504)))/ROUND((INDEX(Config!$D$15:$D$18,MATCH($S504,Config!$B$15:$B$18,0))-INDEX(Config!$C$15:$C$18,MATCH($S504,Config!$B$15:$B$18,0)))*1440,0)),""))</f>
        <v/>
      </c>
      <c r="V504" s="5"/>
    </row>
    <row r="505" spans="1:22" x14ac:dyDescent="0.25">
      <c r="A505" s="11"/>
      <c r="B505" s="5"/>
      <c r="C505" s="6" t="str">
        <f>IFERROR(INDEX(Ejecutivos!$B$2:$B$100,MATCH(B505,Ejecutivos!$A$2:$A$100,0)),"")</f>
        <v/>
      </c>
      <c r="D505" s="12"/>
      <c r="E505" s="12"/>
      <c r="F505" s="12"/>
      <c r="G505" s="12"/>
      <c r="H505" s="5"/>
      <c r="I505" s="5"/>
      <c r="J505" s="5"/>
      <c r="K505" s="5"/>
      <c r="L505" s="18">
        <v>0</v>
      </c>
      <c r="M505" t="str">
        <f t="shared" si="35"/>
        <v/>
      </c>
      <c r="N505" t="str">
        <f>IF(OR($D505="",$S505=""),"",IFERROR(MAX(0,ROUND(($D505-INDEX(Config!$C$15:$C$18,MATCH($S505,Config!$B$15:$B$18,0)))*24*60,0)),""))</f>
        <v/>
      </c>
      <c r="O505" t="str">
        <f t="shared" si="36"/>
        <v/>
      </c>
      <c r="P505" t="str">
        <f t="shared" si="37"/>
        <v/>
      </c>
      <c r="Q505" t="str">
        <f>IF(OR($P505="",$S505=""),"",IFERROR($P505-INDEX(Config!$E$15:$E$18,MATCH($S505,Config!$B$15:$B$18,0)),""))</f>
        <v/>
      </c>
      <c r="R505" t="str">
        <f t="shared" si="38"/>
        <v/>
      </c>
      <c r="S505" s="6" t="str">
        <f>IF(OR($A505="",$C505=""),"",IFERROR(INDEX(Turno!$C$3:$V$32,MATCH($C505,Turno!$B$3:$B$32,0),MATCH(DAY($A505),Turno!$C$1:$V$1,0)),""))</f>
        <v/>
      </c>
      <c r="T505" t="str">
        <f>IF(OR($E505="",$S505=""),"",IFERROR(MAX(0,ROUND((INDEX(Config!$D$15:$D$18,MATCH($S505,Config!$B$15:$B$18,0))-$E505)*1440,0)),""))</f>
        <v/>
      </c>
      <c r="U505" s="13" t="str">
        <f>IF(OR($N505="",$T505=""),"",IFERROR(MAX(0,1-($N505+$T505+MAX(0,N($Q505)))/ROUND((INDEX(Config!$D$15:$D$18,MATCH($S505,Config!$B$15:$B$18,0))-INDEX(Config!$C$15:$C$18,MATCH($S505,Config!$B$15:$B$18,0)))*1440,0)),""))</f>
        <v/>
      </c>
      <c r="V505" s="5"/>
    </row>
    <row r="506" spans="1:22" x14ac:dyDescent="0.25">
      <c r="A506" s="11"/>
      <c r="B506" s="5"/>
      <c r="C506" s="6" t="str">
        <f>IFERROR(INDEX(Ejecutivos!$B$2:$B$100,MATCH(B506,Ejecutivos!$A$2:$A$100,0)),"")</f>
        <v/>
      </c>
      <c r="D506" s="12"/>
      <c r="E506" s="12"/>
      <c r="F506" s="12"/>
      <c r="G506" s="12"/>
      <c r="H506" s="5"/>
      <c r="I506" s="5"/>
      <c r="J506" s="5"/>
      <c r="K506" s="5"/>
      <c r="L506" s="18">
        <v>0</v>
      </c>
      <c r="M506" t="str">
        <f t="shared" si="35"/>
        <v/>
      </c>
      <c r="N506" t="str">
        <f>IF(OR($D506="",$S506=""),"",IFERROR(MAX(0,ROUND(($D506-INDEX(Config!$C$15:$C$18,MATCH($S506,Config!$B$15:$B$18,0)))*24*60,0)),""))</f>
        <v/>
      </c>
      <c r="O506" t="str">
        <f t="shared" si="36"/>
        <v/>
      </c>
      <c r="P506" t="str">
        <f t="shared" si="37"/>
        <v/>
      </c>
      <c r="Q506" t="str">
        <f>IF(OR($P506="",$S506=""),"",IFERROR($P506-INDEX(Config!$E$15:$E$18,MATCH($S506,Config!$B$15:$B$18,0)),""))</f>
        <v/>
      </c>
      <c r="R506" t="str">
        <f t="shared" si="38"/>
        <v/>
      </c>
      <c r="S506" s="6" t="str">
        <f>IF(OR($A506="",$C506=""),"",IFERROR(INDEX(Turno!$C$3:$V$32,MATCH($C506,Turno!$B$3:$B$32,0),MATCH(DAY($A506),Turno!$C$1:$V$1,0)),""))</f>
        <v/>
      </c>
      <c r="T506" t="str">
        <f>IF(OR($E506="",$S506=""),"",IFERROR(MAX(0,ROUND((INDEX(Config!$D$15:$D$18,MATCH($S506,Config!$B$15:$B$18,0))-$E506)*1440,0)),""))</f>
        <v/>
      </c>
      <c r="U506" s="13" t="str">
        <f>IF(OR($N506="",$T506=""),"",IFERROR(MAX(0,1-($N506+$T506+MAX(0,N($Q506)))/ROUND((INDEX(Config!$D$15:$D$18,MATCH($S506,Config!$B$15:$B$18,0))-INDEX(Config!$C$15:$C$18,MATCH($S506,Config!$B$15:$B$18,0)))*1440,0)),""))</f>
        <v/>
      </c>
      <c r="V506" s="5"/>
    </row>
    <row r="507" spans="1:22" x14ac:dyDescent="0.25">
      <c r="A507" s="11"/>
      <c r="B507" s="5"/>
      <c r="C507" s="6" t="str">
        <f>IFERROR(INDEX(Ejecutivos!$B$2:$B$100,MATCH(B507,Ejecutivos!$A$2:$A$100,0)),"")</f>
        <v/>
      </c>
      <c r="D507" s="12"/>
      <c r="E507" s="12"/>
      <c r="F507" s="12"/>
      <c r="G507" s="12"/>
      <c r="H507" s="5"/>
      <c r="I507" s="5"/>
      <c r="J507" s="5"/>
      <c r="K507" s="5"/>
      <c r="L507" s="18">
        <v>0</v>
      </c>
      <c r="M507" t="str">
        <f t="shared" si="35"/>
        <v/>
      </c>
      <c r="N507" t="str">
        <f>IF(OR($D507="",$S507=""),"",IFERROR(MAX(0,ROUND(($D507-INDEX(Config!$C$15:$C$18,MATCH($S507,Config!$B$15:$B$18,0)))*24*60,0)),""))</f>
        <v/>
      </c>
      <c r="O507" t="str">
        <f t="shared" si="36"/>
        <v/>
      </c>
      <c r="P507" t="str">
        <f t="shared" si="37"/>
        <v/>
      </c>
      <c r="Q507" t="str">
        <f>IF(OR($P507="",$S507=""),"",IFERROR($P507-INDEX(Config!$E$15:$E$18,MATCH($S507,Config!$B$15:$B$18,0)),""))</f>
        <v/>
      </c>
      <c r="R507" t="str">
        <f t="shared" si="38"/>
        <v/>
      </c>
      <c r="S507" s="6" t="str">
        <f>IF(OR($A507="",$C507=""),"",IFERROR(INDEX(Turno!$C$3:$V$32,MATCH($C507,Turno!$B$3:$B$32,0),MATCH(DAY($A507),Turno!$C$1:$V$1,0)),""))</f>
        <v/>
      </c>
      <c r="T507" t="str">
        <f>IF(OR($E507="",$S507=""),"",IFERROR(MAX(0,ROUND((INDEX(Config!$D$15:$D$18,MATCH($S507,Config!$B$15:$B$18,0))-$E507)*1440,0)),""))</f>
        <v/>
      </c>
      <c r="U507" s="13" t="str">
        <f>IF(OR($N507="",$T507=""),"",IFERROR(MAX(0,1-($N507+$T507+MAX(0,N($Q507)))/ROUND((INDEX(Config!$D$15:$D$18,MATCH($S507,Config!$B$15:$B$18,0))-INDEX(Config!$C$15:$C$18,MATCH($S507,Config!$B$15:$B$18,0)))*1440,0)),""))</f>
        <v/>
      </c>
      <c r="V507" s="5"/>
    </row>
    <row r="508" spans="1:22" x14ac:dyDescent="0.25">
      <c r="A508" s="11"/>
      <c r="B508" s="5"/>
      <c r="C508" s="6" t="str">
        <f>IFERROR(INDEX(Ejecutivos!$B$2:$B$100,MATCH(B508,Ejecutivos!$A$2:$A$100,0)),"")</f>
        <v/>
      </c>
      <c r="D508" s="12"/>
      <c r="E508" s="12"/>
      <c r="F508" s="12"/>
      <c r="G508" s="12"/>
      <c r="H508" s="5"/>
      <c r="I508" s="5"/>
      <c r="J508" s="5"/>
      <c r="K508" s="5"/>
      <c r="L508" s="18">
        <v>0</v>
      </c>
      <c r="M508" t="str">
        <f t="shared" si="35"/>
        <v/>
      </c>
      <c r="N508" t="str">
        <f>IF(OR($D508="",$S508=""),"",IFERROR(MAX(0,ROUND(($D508-INDEX(Config!$C$15:$C$18,MATCH($S508,Config!$B$15:$B$18,0)))*24*60,0)),""))</f>
        <v/>
      </c>
      <c r="O508" t="str">
        <f t="shared" si="36"/>
        <v/>
      </c>
      <c r="P508" t="str">
        <f t="shared" si="37"/>
        <v/>
      </c>
      <c r="Q508" t="str">
        <f>IF(OR($P508="",$S508=""),"",IFERROR($P508-INDEX(Config!$E$15:$E$18,MATCH($S508,Config!$B$15:$B$18,0)),""))</f>
        <v/>
      </c>
      <c r="R508" t="str">
        <f t="shared" si="38"/>
        <v/>
      </c>
      <c r="S508" s="6" t="str">
        <f>IF(OR($A508="",$C508=""),"",IFERROR(INDEX(Turno!$C$3:$V$32,MATCH($C508,Turno!$B$3:$B$32,0),MATCH(DAY($A508),Turno!$C$1:$V$1,0)),""))</f>
        <v/>
      </c>
      <c r="T508" t="str">
        <f>IF(OR($E508="",$S508=""),"",IFERROR(MAX(0,ROUND((INDEX(Config!$D$15:$D$18,MATCH($S508,Config!$B$15:$B$18,0))-$E508)*1440,0)),""))</f>
        <v/>
      </c>
      <c r="U508" s="13" t="str">
        <f>IF(OR($N508="",$T508=""),"",IFERROR(MAX(0,1-($N508+$T508+MAX(0,N($Q508)))/ROUND((INDEX(Config!$D$15:$D$18,MATCH($S508,Config!$B$15:$B$18,0))-INDEX(Config!$C$15:$C$18,MATCH($S508,Config!$B$15:$B$18,0)))*1440,0)),""))</f>
        <v/>
      </c>
      <c r="V508" s="5"/>
    </row>
    <row r="509" spans="1:22" x14ac:dyDescent="0.25">
      <c r="A509" s="11"/>
      <c r="B509" s="5"/>
      <c r="C509" s="6" t="str">
        <f>IFERROR(INDEX(Ejecutivos!$B$2:$B$100,MATCH(B509,Ejecutivos!$A$2:$A$100,0)),"")</f>
        <v/>
      </c>
      <c r="D509" s="12"/>
      <c r="E509" s="12"/>
      <c r="F509" s="12"/>
      <c r="G509" s="12"/>
      <c r="H509" s="5"/>
      <c r="I509" s="5"/>
      <c r="J509" s="5"/>
      <c r="K509" s="5"/>
      <c r="L509" s="18">
        <v>0</v>
      </c>
      <c r="M509" t="str">
        <f t="shared" si="35"/>
        <v/>
      </c>
      <c r="N509" t="str">
        <f>IF(OR($D509="",$S509=""),"",IFERROR(MAX(0,ROUND(($D509-INDEX(Config!$C$15:$C$18,MATCH($S509,Config!$B$15:$B$18,0)))*24*60,0)),""))</f>
        <v/>
      </c>
      <c r="O509" t="str">
        <f t="shared" si="36"/>
        <v/>
      </c>
      <c r="P509" t="str">
        <f t="shared" si="37"/>
        <v/>
      </c>
      <c r="Q509" t="str">
        <f>IF(OR($P509="",$S509=""),"",IFERROR($P509-INDEX(Config!$E$15:$E$18,MATCH($S509,Config!$B$15:$B$18,0)),""))</f>
        <v/>
      </c>
      <c r="R509" t="str">
        <f t="shared" si="38"/>
        <v/>
      </c>
      <c r="S509" s="6" t="str">
        <f>IF(OR($A509="",$C509=""),"",IFERROR(INDEX(Turno!$C$3:$V$32,MATCH($C509,Turno!$B$3:$B$32,0),MATCH(DAY($A509),Turno!$C$1:$V$1,0)),""))</f>
        <v/>
      </c>
      <c r="T509" t="str">
        <f>IF(OR($E509="",$S509=""),"",IFERROR(MAX(0,ROUND((INDEX(Config!$D$15:$D$18,MATCH($S509,Config!$B$15:$B$18,0))-$E509)*1440,0)),""))</f>
        <v/>
      </c>
      <c r="U509" s="13" t="str">
        <f>IF(OR($N509="",$T509=""),"",IFERROR(MAX(0,1-($N509+$T509+MAX(0,N($Q509)))/ROUND((INDEX(Config!$D$15:$D$18,MATCH($S509,Config!$B$15:$B$18,0))-INDEX(Config!$C$15:$C$18,MATCH($S509,Config!$B$15:$B$18,0)))*1440,0)),""))</f>
        <v/>
      </c>
      <c r="V509" s="5"/>
    </row>
    <row r="510" spans="1:22" x14ac:dyDescent="0.25">
      <c r="A510" s="11"/>
      <c r="B510" s="5"/>
      <c r="C510" s="6" t="str">
        <f>IFERROR(INDEX(Ejecutivos!$B$2:$B$100,MATCH(B510,Ejecutivos!$A$2:$A$100,0)),"")</f>
        <v/>
      </c>
      <c r="D510" s="12"/>
      <c r="E510" s="12"/>
      <c r="F510" s="12"/>
      <c r="G510" s="12"/>
      <c r="H510" s="5"/>
      <c r="I510" s="5"/>
      <c r="J510" s="5"/>
      <c r="K510" s="5"/>
      <c r="L510" s="18">
        <v>0</v>
      </c>
      <c r="M510" t="str">
        <f t="shared" si="35"/>
        <v/>
      </c>
      <c r="N510" t="str">
        <f>IF(OR($D510="",$S510=""),"",IFERROR(MAX(0,ROUND(($D510-INDEX(Config!$C$15:$C$18,MATCH($S510,Config!$B$15:$B$18,0)))*24*60,0)),""))</f>
        <v/>
      </c>
      <c r="O510" t="str">
        <f t="shared" si="36"/>
        <v/>
      </c>
      <c r="P510" t="str">
        <f t="shared" si="37"/>
        <v/>
      </c>
      <c r="Q510" t="str">
        <f>IF(OR($P510="",$S510=""),"",IFERROR($P510-INDEX(Config!$E$15:$E$18,MATCH($S510,Config!$B$15:$B$18,0)),""))</f>
        <v/>
      </c>
      <c r="R510" t="str">
        <f t="shared" si="38"/>
        <v/>
      </c>
      <c r="S510" s="6" t="str">
        <f>IF(OR($A510="",$C510=""),"",IFERROR(INDEX(Turno!$C$3:$V$32,MATCH($C510,Turno!$B$3:$B$32,0),MATCH(DAY($A510),Turno!$C$1:$V$1,0)),""))</f>
        <v/>
      </c>
      <c r="T510" t="str">
        <f>IF(OR($E510="",$S510=""),"",IFERROR(MAX(0,ROUND((INDEX(Config!$D$15:$D$18,MATCH($S510,Config!$B$15:$B$18,0))-$E510)*1440,0)),""))</f>
        <v/>
      </c>
      <c r="U510" s="13" t="str">
        <f>IF(OR($N510="",$T510=""),"",IFERROR(MAX(0,1-($N510+$T510+MAX(0,N($Q510)))/ROUND((INDEX(Config!$D$15:$D$18,MATCH($S510,Config!$B$15:$B$18,0))-INDEX(Config!$C$15:$C$18,MATCH($S510,Config!$B$15:$B$18,0)))*1440,0)),""))</f>
        <v/>
      </c>
      <c r="V510" s="5"/>
    </row>
    <row r="511" spans="1:22" x14ac:dyDescent="0.25">
      <c r="A511" s="11"/>
      <c r="B511" s="5"/>
      <c r="C511" s="6" t="str">
        <f>IFERROR(INDEX(Ejecutivos!$B$2:$B$100,MATCH(B511,Ejecutivos!$A$2:$A$100,0)),"")</f>
        <v/>
      </c>
      <c r="D511" s="12"/>
      <c r="E511" s="12"/>
      <c r="F511" s="12"/>
      <c r="G511" s="12"/>
      <c r="H511" s="5"/>
      <c r="I511" s="5"/>
      <c r="J511" s="5"/>
      <c r="K511" s="5"/>
      <c r="L511" s="18">
        <v>0</v>
      </c>
      <c r="M511" t="str">
        <f t="shared" si="35"/>
        <v/>
      </c>
      <c r="N511" t="str">
        <f>IF(OR($D511="",$S511=""),"",IFERROR(MAX(0,ROUND(($D511-INDEX(Config!$C$15:$C$18,MATCH($S511,Config!$B$15:$B$18,0)))*24*60,0)),""))</f>
        <v/>
      </c>
      <c r="O511" t="str">
        <f t="shared" si="36"/>
        <v/>
      </c>
      <c r="P511" t="str">
        <f t="shared" si="37"/>
        <v/>
      </c>
      <c r="Q511" t="str">
        <f>IF(OR($P511="",$S511=""),"",IFERROR($P511-INDEX(Config!$E$15:$E$18,MATCH($S511,Config!$B$15:$B$18,0)),""))</f>
        <v/>
      </c>
      <c r="R511" t="str">
        <f t="shared" si="38"/>
        <v/>
      </c>
      <c r="S511" s="6" t="str">
        <f>IF(OR($A511="",$C511=""),"",IFERROR(INDEX(Turno!$C$3:$V$32,MATCH($C511,Turno!$B$3:$B$32,0),MATCH(DAY($A511),Turno!$C$1:$V$1,0)),""))</f>
        <v/>
      </c>
      <c r="T511" t="str">
        <f>IF(OR($E511="",$S511=""),"",IFERROR(MAX(0,ROUND((INDEX(Config!$D$15:$D$18,MATCH($S511,Config!$B$15:$B$18,0))-$E511)*1440,0)),""))</f>
        <v/>
      </c>
      <c r="U511" s="13" t="str">
        <f>IF(OR($N511="",$T511=""),"",IFERROR(MAX(0,1-($N511+$T511+MAX(0,N($Q511)))/ROUND((INDEX(Config!$D$15:$D$18,MATCH($S511,Config!$B$15:$B$18,0))-INDEX(Config!$C$15:$C$18,MATCH($S511,Config!$B$15:$B$18,0)))*1440,0)),""))</f>
        <v/>
      </c>
      <c r="V511" s="5"/>
    </row>
    <row r="512" spans="1:22" x14ac:dyDescent="0.25">
      <c r="A512" s="11"/>
      <c r="B512" s="5"/>
      <c r="C512" s="6" t="str">
        <f>IFERROR(INDEX(Ejecutivos!$B$2:$B$100,MATCH(B512,Ejecutivos!$A$2:$A$100,0)),"")</f>
        <v/>
      </c>
      <c r="D512" s="12"/>
      <c r="E512" s="12"/>
      <c r="F512" s="12"/>
      <c r="G512" s="12"/>
      <c r="H512" s="5"/>
      <c r="I512" s="5"/>
      <c r="J512" s="5"/>
      <c r="K512" s="5"/>
      <c r="L512" s="18">
        <v>0</v>
      </c>
      <c r="M512" t="str">
        <f t="shared" si="35"/>
        <v/>
      </c>
      <c r="N512" t="str">
        <f>IF(OR($D512="",$S512=""),"",IFERROR(MAX(0,ROUND(($D512-INDEX(Config!$C$15:$C$18,MATCH($S512,Config!$B$15:$B$18,0)))*24*60,0)),""))</f>
        <v/>
      </c>
      <c r="O512" t="str">
        <f t="shared" si="36"/>
        <v/>
      </c>
      <c r="P512" t="str">
        <f t="shared" si="37"/>
        <v/>
      </c>
      <c r="Q512" t="str">
        <f>IF(OR($P512="",$S512=""),"",IFERROR($P512-INDEX(Config!$E$15:$E$18,MATCH($S512,Config!$B$15:$B$18,0)),""))</f>
        <v/>
      </c>
      <c r="R512" t="str">
        <f t="shared" si="38"/>
        <v/>
      </c>
      <c r="S512" s="6" t="str">
        <f>IF(OR($A512="",$C512=""),"",IFERROR(INDEX(Turno!$C$3:$V$32,MATCH($C512,Turno!$B$3:$B$32,0),MATCH(DAY($A512),Turno!$C$1:$V$1,0)),""))</f>
        <v/>
      </c>
      <c r="T512" t="str">
        <f>IF(OR($E512="",$S512=""),"",IFERROR(MAX(0,ROUND((INDEX(Config!$D$15:$D$18,MATCH($S512,Config!$B$15:$B$18,0))-$E512)*1440,0)),""))</f>
        <v/>
      </c>
      <c r="U512" s="13" t="str">
        <f>IF(OR($N512="",$T512=""),"",IFERROR(MAX(0,1-($N512+$T512+MAX(0,N($Q512)))/ROUND((INDEX(Config!$D$15:$D$18,MATCH($S512,Config!$B$15:$B$18,0))-INDEX(Config!$C$15:$C$18,MATCH($S512,Config!$B$15:$B$18,0)))*1440,0)),""))</f>
        <v/>
      </c>
      <c r="V512" s="5"/>
    </row>
    <row r="513" spans="1:22" x14ac:dyDescent="0.25">
      <c r="A513" s="11"/>
      <c r="B513" s="5"/>
      <c r="C513" s="6" t="str">
        <f>IFERROR(INDEX(Ejecutivos!$B$2:$B$100,MATCH(B513,Ejecutivos!$A$2:$A$100,0)),"")</f>
        <v/>
      </c>
      <c r="D513" s="12"/>
      <c r="E513" s="12"/>
      <c r="F513" s="12"/>
      <c r="G513" s="12"/>
      <c r="H513" s="5"/>
      <c r="I513" s="5"/>
      <c r="J513" s="5"/>
      <c r="K513" s="5"/>
      <c r="L513" s="18">
        <v>0</v>
      </c>
      <c r="M513" t="str">
        <f t="shared" si="35"/>
        <v/>
      </c>
      <c r="N513" t="str">
        <f>IF(OR($D513="",$S513=""),"",IFERROR(MAX(0,ROUND(($D513-INDEX(Config!$C$15:$C$18,MATCH($S513,Config!$B$15:$B$18,0)))*24*60,0)),""))</f>
        <v/>
      </c>
      <c r="O513" t="str">
        <f t="shared" si="36"/>
        <v/>
      </c>
      <c r="P513" t="str">
        <f t="shared" si="37"/>
        <v/>
      </c>
      <c r="Q513" t="str">
        <f>IF(OR($P513="",$S513=""),"",IFERROR($P513-INDEX(Config!$E$15:$E$18,MATCH($S513,Config!$B$15:$B$18,0)),""))</f>
        <v/>
      </c>
      <c r="R513" t="str">
        <f t="shared" si="38"/>
        <v/>
      </c>
      <c r="S513" s="6" t="str">
        <f>IF(OR($A513="",$C513=""),"",IFERROR(INDEX(Turno!$C$3:$V$32,MATCH($C513,Turno!$B$3:$B$32,0),MATCH(DAY($A513),Turno!$C$1:$V$1,0)),""))</f>
        <v/>
      </c>
      <c r="T513" t="str">
        <f>IF(OR($E513="",$S513=""),"",IFERROR(MAX(0,ROUND((INDEX(Config!$D$15:$D$18,MATCH($S513,Config!$B$15:$B$18,0))-$E513)*1440,0)),""))</f>
        <v/>
      </c>
      <c r="U513" s="13" t="str">
        <f>IF(OR($N513="",$T513=""),"",IFERROR(MAX(0,1-($N513+$T513+MAX(0,N($Q513)))/ROUND((INDEX(Config!$D$15:$D$18,MATCH($S513,Config!$B$15:$B$18,0))-INDEX(Config!$C$15:$C$18,MATCH($S513,Config!$B$15:$B$18,0)))*1440,0)),""))</f>
        <v/>
      </c>
      <c r="V513" s="5"/>
    </row>
    <row r="514" spans="1:22" x14ac:dyDescent="0.25">
      <c r="A514" s="11"/>
      <c r="B514" s="5"/>
      <c r="C514" s="6" t="str">
        <f>IFERROR(INDEX(Ejecutivos!$B$2:$B$100,MATCH(B514,Ejecutivos!$A$2:$A$100,0)),"")</f>
        <v/>
      </c>
      <c r="D514" s="12"/>
      <c r="E514" s="12"/>
      <c r="F514" s="12"/>
      <c r="G514" s="12"/>
      <c r="H514" s="5"/>
      <c r="I514" s="5"/>
      <c r="J514" s="5"/>
      <c r="K514" s="5"/>
      <c r="L514" s="18">
        <v>0</v>
      </c>
      <c r="M514" t="str">
        <f t="shared" si="35"/>
        <v/>
      </c>
      <c r="N514" t="str">
        <f>IF(OR($D514="",$S514=""),"",IFERROR(MAX(0,ROUND(($D514-INDEX(Config!$C$15:$C$18,MATCH($S514,Config!$B$15:$B$18,0)))*24*60,0)),""))</f>
        <v/>
      </c>
      <c r="O514" t="str">
        <f t="shared" si="36"/>
        <v/>
      </c>
      <c r="P514" t="str">
        <f t="shared" si="37"/>
        <v/>
      </c>
      <c r="Q514" t="str">
        <f>IF(OR($P514="",$S514=""),"",IFERROR($P514-INDEX(Config!$E$15:$E$18,MATCH($S514,Config!$B$15:$B$18,0)),""))</f>
        <v/>
      </c>
      <c r="R514" t="str">
        <f t="shared" si="38"/>
        <v/>
      </c>
      <c r="S514" s="6" t="str">
        <f>IF(OR($A514="",$C514=""),"",IFERROR(INDEX(Turno!$C$3:$V$32,MATCH($C514,Turno!$B$3:$B$32,0),MATCH(DAY($A514),Turno!$C$1:$V$1,0)),""))</f>
        <v/>
      </c>
      <c r="T514" t="str">
        <f>IF(OR($E514="",$S514=""),"",IFERROR(MAX(0,ROUND((INDEX(Config!$D$15:$D$18,MATCH($S514,Config!$B$15:$B$18,0))-$E514)*1440,0)),""))</f>
        <v/>
      </c>
      <c r="U514" s="13" t="str">
        <f>IF(OR($N514="",$T514=""),"",IFERROR(MAX(0,1-($N514+$T514+MAX(0,N($Q514)))/ROUND((INDEX(Config!$D$15:$D$18,MATCH($S514,Config!$B$15:$B$18,0))-INDEX(Config!$C$15:$C$18,MATCH($S514,Config!$B$15:$B$18,0)))*1440,0)),""))</f>
        <v/>
      </c>
      <c r="V514" s="5"/>
    </row>
    <row r="515" spans="1:22" x14ac:dyDescent="0.25">
      <c r="A515" s="11"/>
      <c r="B515" s="5"/>
      <c r="C515" s="6" t="str">
        <f>IFERROR(INDEX(Ejecutivos!$B$2:$B$100,MATCH(B515,Ejecutivos!$A$2:$A$100,0)),"")</f>
        <v/>
      </c>
      <c r="D515" s="12"/>
      <c r="E515" s="12"/>
      <c r="F515" s="12"/>
      <c r="G515" s="12"/>
      <c r="H515" s="5"/>
      <c r="I515" s="5"/>
      <c r="J515" s="5"/>
      <c r="K515" s="5"/>
      <c r="L515" s="18">
        <v>0</v>
      </c>
      <c r="M515" t="str">
        <f t="shared" si="35"/>
        <v/>
      </c>
      <c r="N515" t="str">
        <f>IF(OR($D515="",$S515=""),"",IFERROR(MAX(0,ROUND(($D515-INDEX(Config!$C$15:$C$18,MATCH($S515,Config!$B$15:$B$18,0)))*24*60,0)),""))</f>
        <v/>
      </c>
      <c r="O515" t="str">
        <f t="shared" si="36"/>
        <v/>
      </c>
      <c r="P515" t="str">
        <f t="shared" si="37"/>
        <v/>
      </c>
      <c r="Q515" t="str">
        <f>IF(OR($P515="",$S515=""),"",IFERROR($P515-INDEX(Config!$E$15:$E$18,MATCH($S515,Config!$B$15:$B$18,0)),""))</f>
        <v/>
      </c>
      <c r="R515" t="str">
        <f t="shared" si="38"/>
        <v/>
      </c>
      <c r="S515" s="6" t="str">
        <f>IF(OR($A515="",$C515=""),"",IFERROR(INDEX(Turno!$C$3:$V$32,MATCH($C515,Turno!$B$3:$B$32,0),MATCH(DAY($A515),Turno!$C$1:$V$1,0)),""))</f>
        <v/>
      </c>
      <c r="T515" t="str">
        <f>IF(OR($E515="",$S515=""),"",IFERROR(MAX(0,ROUND((INDEX(Config!$D$15:$D$18,MATCH($S515,Config!$B$15:$B$18,0))-$E515)*1440,0)),""))</f>
        <v/>
      </c>
      <c r="U515" s="13" t="str">
        <f>IF(OR($N515="",$T515=""),"",IFERROR(MAX(0,1-($N515+$T515+MAX(0,N($Q515)))/ROUND((INDEX(Config!$D$15:$D$18,MATCH($S515,Config!$B$15:$B$18,0))-INDEX(Config!$C$15:$C$18,MATCH($S515,Config!$B$15:$B$18,0)))*1440,0)),""))</f>
        <v/>
      </c>
      <c r="V515" s="5"/>
    </row>
    <row r="516" spans="1:22" x14ac:dyDescent="0.25">
      <c r="A516" s="11"/>
      <c r="B516" s="5"/>
      <c r="C516" s="6" t="str">
        <f>IFERROR(INDEX(Ejecutivos!$B$2:$B$100,MATCH(B516,Ejecutivos!$A$2:$A$100,0)),"")</f>
        <v/>
      </c>
      <c r="D516" s="12"/>
      <c r="E516" s="12"/>
      <c r="F516" s="12"/>
      <c r="G516" s="12"/>
      <c r="H516" s="5"/>
      <c r="I516" s="5"/>
      <c r="J516" s="5"/>
      <c r="K516" s="5"/>
      <c r="L516" s="18">
        <v>0</v>
      </c>
      <c r="M516" t="str">
        <f t="shared" si="35"/>
        <v/>
      </c>
      <c r="N516" t="str">
        <f>IF(OR($D516="",$S516=""),"",IFERROR(MAX(0,ROUND(($D516-INDEX(Config!$C$15:$C$18,MATCH($S516,Config!$B$15:$B$18,0)))*24*60,0)),""))</f>
        <v/>
      </c>
      <c r="O516" t="str">
        <f t="shared" si="36"/>
        <v/>
      </c>
      <c r="P516" t="str">
        <f t="shared" si="37"/>
        <v/>
      </c>
      <c r="Q516" t="str">
        <f>IF(OR($P516="",$S516=""),"",IFERROR($P516-INDEX(Config!$E$15:$E$18,MATCH($S516,Config!$B$15:$B$18,0)),""))</f>
        <v/>
      </c>
      <c r="R516" t="str">
        <f t="shared" si="38"/>
        <v/>
      </c>
      <c r="S516" s="6" t="str">
        <f>IF(OR($A516="",$C516=""),"",IFERROR(INDEX(Turno!$C$3:$V$32,MATCH($C516,Turno!$B$3:$B$32,0),MATCH(DAY($A516),Turno!$C$1:$V$1,0)),""))</f>
        <v/>
      </c>
      <c r="T516" t="str">
        <f>IF(OR($E516="",$S516=""),"",IFERROR(MAX(0,ROUND((INDEX(Config!$D$15:$D$18,MATCH($S516,Config!$B$15:$B$18,0))-$E516)*1440,0)),""))</f>
        <v/>
      </c>
      <c r="U516" s="13" t="str">
        <f>IF(OR($N516="",$T516=""),"",IFERROR(MAX(0,1-($N516+$T516+MAX(0,N($Q516)))/ROUND((INDEX(Config!$D$15:$D$18,MATCH($S516,Config!$B$15:$B$18,0))-INDEX(Config!$C$15:$C$18,MATCH($S516,Config!$B$15:$B$18,0)))*1440,0)),""))</f>
        <v/>
      </c>
      <c r="V516" s="5"/>
    </row>
    <row r="517" spans="1:22" x14ac:dyDescent="0.25">
      <c r="A517" s="11"/>
      <c r="B517" s="5"/>
      <c r="C517" s="6" t="str">
        <f>IFERROR(INDEX(Ejecutivos!$B$2:$B$100,MATCH(B517,Ejecutivos!$A$2:$A$100,0)),"")</f>
        <v/>
      </c>
      <c r="D517" s="12"/>
      <c r="E517" s="12"/>
      <c r="F517" s="12"/>
      <c r="G517" s="12"/>
      <c r="H517" s="5"/>
      <c r="I517" s="5"/>
      <c r="J517" s="5"/>
      <c r="K517" s="5"/>
      <c r="L517" s="18">
        <v>0</v>
      </c>
      <c r="M517" t="str">
        <f t="shared" si="35"/>
        <v/>
      </c>
      <c r="N517" t="str">
        <f>IF(OR($D517="",$S517=""),"",IFERROR(MAX(0,ROUND(($D517-INDEX(Config!$C$15:$C$18,MATCH($S517,Config!$B$15:$B$18,0)))*24*60,0)),""))</f>
        <v/>
      </c>
      <c r="O517" t="str">
        <f t="shared" si="36"/>
        <v/>
      </c>
      <c r="P517" t="str">
        <f t="shared" si="37"/>
        <v/>
      </c>
      <c r="Q517" t="str">
        <f>IF(OR($P517="",$S517=""),"",IFERROR($P517-INDEX(Config!$E$15:$E$18,MATCH($S517,Config!$B$15:$B$18,0)),""))</f>
        <v/>
      </c>
      <c r="R517" t="str">
        <f t="shared" si="38"/>
        <v/>
      </c>
      <c r="S517" s="6" t="str">
        <f>IF(OR($A517="",$C517=""),"",IFERROR(INDEX(Turno!$C$3:$V$32,MATCH($C517,Turno!$B$3:$B$32,0),MATCH(DAY($A517),Turno!$C$1:$V$1,0)),""))</f>
        <v/>
      </c>
      <c r="T517" t="str">
        <f>IF(OR($E517="",$S517=""),"",IFERROR(MAX(0,ROUND((INDEX(Config!$D$15:$D$18,MATCH($S517,Config!$B$15:$B$18,0))-$E517)*1440,0)),""))</f>
        <v/>
      </c>
      <c r="U517" s="13" t="str">
        <f>IF(OR($N517="",$T517=""),"",IFERROR(MAX(0,1-($N517+$T517+MAX(0,N($Q517)))/ROUND((INDEX(Config!$D$15:$D$18,MATCH($S517,Config!$B$15:$B$18,0))-INDEX(Config!$C$15:$C$18,MATCH($S517,Config!$B$15:$B$18,0)))*1440,0)),""))</f>
        <v/>
      </c>
      <c r="V517" s="5"/>
    </row>
    <row r="518" spans="1:22" x14ac:dyDescent="0.25">
      <c r="A518" s="11"/>
      <c r="B518" s="5"/>
      <c r="C518" s="6" t="str">
        <f>IFERROR(INDEX(Ejecutivos!$B$2:$B$100,MATCH(B518,Ejecutivos!$A$2:$A$100,0)),"")</f>
        <v/>
      </c>
      <c r="D518" s="12"/>
      <c r="E518" s="12"/>
      <c r="F518" s="12"/>
      <c r="G518" s="12"/>
      <c r="H518" s="5"/>
      <c r="I518" s="5"/>
      <c r="J518" s="5"/>
      <c r="K518" s="5"/>
      <c r="L518" s="18">
        <v>0</v>
      </c>
      <c r="M518" t="str">
        <f t="shared" si="35"/>
        <v/>
      </c>
      <c r="N518" t="str">
        <f>IF(OR($D518="",$S518=""),"",IFERROR(MAX(0,ROUND(($D518-INDEX(Config!$C$15:$C$18,MATCH($S518,Config!$B$15:$B$18,0)))*24*60,0)),""))</f>
        <v/>
      </c>
      <c r="O518" t="str">
        <f t="shared" si="36"/>
        <v/>
      </c>
      <c r="P518" t="str">
        <f t="shared" si="37"/>
        <v/>
      </c>
      <c r="Q518" t="str">
        <f>IF(OR($P518="",$S518=""),"",IFERROR($P518-INDEX(Config!$E$15:$E$18,MATCH($S518,Config!$B$15:$B$18,0)),""))</f>
        <v/>
      </c>
      <c r="R518" t="str">
        <f t="shared" si="38"/>
        <v/>
      </c>
      <c r="S518" s="6" t="str">
        <f>IF(OR($A518="",$C518=""),"",IFERROR(INDEX(Turno!$C$3:$V$32,MATCH($C518,Turno!$B$3:$B$32,0),MATCH(DAY($A518),Turno!$C$1:$V$1,0)),""))</f>
        <v/>
      </c>
      <c r="T518" t="str">
        <f>IF(OR($E518="",$S518=""),"",IFERROR(MAX(0,ROUND((INDEX(Config!$D$15:$D$18,MATCH($S518,Config!$B$15:$B$18,0))-$E518)*1440,0)),""))</f>
        <v/>
      </c>
      <c r="U518" s="13" t="str">
        <f>IF(OR($N518="",$T518=""),"",IFERROR(MAX(0,1-($N518+$T518+MAX(0,N($Q518)))/ROUND((INDEX(Config!$D$15:$D$18,MATCH($S518,Config!$B$15:$B$18,0))-INDEX(Config!$C$15:$C$18,MATCH($S518,Config!$B$15:$B$18,0)))*1440,0)),""))</f>
        <v/>
      </c>
      <c r="V518" s="5"/>
    </row>
    <row r="519" spans="1:22" x14ac:dyDescent="0.25">
      <c r="A519" s="11"/>
      <c r="B519" s="5"/>
      <c r="C519" s="6" t="str">
        <f>IFERROR(INDEX(Ejecutivos!$B$2:$B$100,MATCH(B519,Ejecutivos!$A$2:$A$100,0)),"")</f>
        <v/>
      </c>
      <c r="D519" s="12"/>
      <c r="E519" s="12"/>
      <c r="F519" s="12"/>
      <c r="G519" s="12"/>
      <c r="H519" s="5"/>
      <c r="I519" s="5"/>
      <c r="J519" s="5"/>
      <c r="K519" s="5"/>
      <c r="L519" s="18">
        <v>0</v>
      </c>
      <c r="M519" t="str">
        <f t="shared" si="35"/>
        <v/>
      </c>
      <c r="N519" t="str">
        <f>IF(OR($D519="",$S519=""),"",IFERROR(MAX(0,ROUND(($D519-INDEX(Config!$C$15:$C$18,MATCH($S519,Config!$B$15:$B$18,0)))*24*60,0)),""))</f>
        <v/>
      </c>
      <c r="O519" t="str">
        <f t="shared" si="36"/>
        <v/>
      </c>
      <c r="P519" t="str">
        <f t="shared" si="37"/>
        <v/>
      </c>
      <c r="Q519" t="str">
        <f>IF(OR($P519="",$S519=""),"",IFERROR($P519-INDEX(Config!$E$15:$E$18,MATCH($S519,Config!$B$15:$B$18,0)),""))</f>
        <v/>
      </c>
      <c r="R519" t="str">
        <f t="shared" si="38"/>
        <v/>
      </c>
      <c r="S519" s="6" t="str">
        <f>IF(OR($A519="",$C519=""),"",IFERROR(INDEX(Turno!$C$3:$V$32,MATCH($C519,Turno!$B$3:$B$32,0),MATCH(DAY($A519),Turno!$C$1:$V$1,0)),""))</f>
        <v/>
      </c>
      <c r="T519" t="str">
        <f>IF(OR($E519="",$S519=""),"",IFERROR(MAX(0,ROUND((INDEX(Config!$D$15:$D$18,MATCH($S519,Config!$B$15:$B$18,0))-$E519)*1440,0)),""))</f>
        <v/>
      </c>
      <c r="U519" s="13" t="str">
        <f>IF(OR($N519="",$T519=""),"",IFERROR(MAX(0,1-($N519+$T519+MAX(0,N($Q519)))/ROUND((INDEX(Config!$D$15:$D$18,MATCH($S519,Config!$B$15:$B$18,0))-INDEX(Config!$C$15:$C$18,MATCH($S519,Config!$B$15:$B$18,0)))*1440,0)),""))</f>
        <v/>
      </c>
      <c r="V519" s="5"/>
    </row>
    <row r="520" spans="1:22" x14ac:dyDescent="0.25">
      <c r="A520" s="11"/>
      <c r="B520" s="5"/>
      <c r="C520" s="6" t="str">
        <f>IFERROR(INDEX(Ejecutivos!$B$2:$B$100,MATCH(B520,Ejecutivos!$A$2:$A$100,0)),"")</f>
        <v/>
      </c>
      <c r="D520" s="12"/>
      <c r="E520" s="12"/>
      <c r="F520" s="12"/>
      <c r="G520" s="12"/>
      <c r="H520" s="5"/>
      <c r="I520" s="5"/>
      <c r="J520" s="5"/>
      <c r="K520" s="5"/>
      <c r="L520" s="18">
        <v>0</v>
      </c>
      <c r="M520" t="str">
        <f t="shared" si="35"/>
        <v/>
      </c>
      <c r="N520" t="str">
        <f>IF(OR($D520="",$S520=""),"",IFERROR(MAX(0,ROUND(($D520-INDEX(Config!$C$15:$C$18,MATCH($S520,Config!$B$15:$B$18,0)))*24*60,0)),""))</f>
        <v/>
      </c>
      <c r="O520" t="str">
        <f t="shared" si="36"/>
        <v/>
      </c>
      <c r="P520" t="str">
        <f t="shared" si="37"/>
        <v/>
      </c>
      <c r="Q520" t="str">
        <f>IF(OR($P520="",$S520=""),"",IFERROR($P520-INDEX(Config!$E$15:$E$18,MATCH($S520,Config!$B$15:$B$18,0)),""))</f>
        <v/>
      </c>
      <c r="R520" t="str">
        <f t="shared" si="38"/>
        <v/>
      </c>
      <c r="S520" s="6" t="str">
        <f>IF(OR($A520="",$C520=""),"",IFERROR(INDEX(Turno!$C$3:$V$32,MATCH($C520,Turno!$B$3:$B$32,0),MATCH(DAY($A520),Turno!$C$1:$V$1,0)),""))</f>
        <v/>
      </c>
      <c r="T520" t="str">
        <f>IF(OR($E520="",$S520=""),"",IFERROR(MAX(0,ROUND((INDEX(Config!$D$15:$D$18,MATCH($S520,Config!$B$15:$B$18,0))-$E520)*1440,0)),""))</f>
        <v/>
      </c>
      <c r="U520" s="13" t="str">
        <f>IF(OR($N520="",$T520=""),"",IFERROR(MAX(0,1-($N520+$T520+MAX(0,N($Q520)))/ROUND((INDEX(Config!$D$15:$D$18,MATCH($S520,Config!$B$15:$B$18,0))-INDEX(Config!$C$15:$C$18,MATCH($S520,Config!$B$15:$B$18,0)))*1440,0)),""))</f>
        <v/>
      </c>
      <c r="V520" s="5"/>
    </row>
    <row r="521" spans="1:22" x14ac:dyDescent="0.25">
      <c r="A521" s="11"/>
      <c r="B521" s="5"/>
      <c r="C521" s="6" t="str">
        <f>IFERROR(INDEX(Ejecutivos!$B$2:$B$100,MATCH(B521,Ejecutivos!$A$2:$A$100,0)),"")</f>
        <v/>
      </c>
      <c r="D521" s="12"/>
      <c r="E521" s="12"/>
      <c r="F521" s="12"/>
      <c r="G521" s="12"/>
      <c r="H521" s="5"/>
      <c r="I521" s="5"/>
      <c r="J521" s="5"/>
      <c r="K521" s="5"/>
      <c r="L521" s="18">
        <v>0</v>
      </c>
      <c r="M521" t="str">
        <f t="shared" si="35"/>
        <v/>
      </c>
      <c r="N521" t="str">
        <f>IF(OR($D521="",$S521=""),"",IFERROR(MAX(0,ROUND(($D521-INDEX(Config!$C$15:$C$18,MATCH($S521,Config!$B$15:$B$18,0)))*24*60,0)),""))</f>
        <v/>
      </c>
      <c r="O521" t="str">
        <f t="shared" si="36"/>
        <v/>
      </c>
      <c r="P521" t="str">
        <f t="shared" si="37"/>
        <v/>
      </c>
      <c r="Q521" t="str">
        <f>IF(OR($P521="",$S521=""),"",IFERROR($P521-INDEX(Config!$E$15:$E$18,MATCH($S521,Config!$B$15:$B$18,0)),""))</f>
        <v/>
      </c>
      <c r="R521" t="str">
        <f t="shared" si="38"/>
        <v/>
      </c>
      <c r="S521" s="6" t="str">
        <f>IF(OR($A521="",$C521=""),"",IFERROR(INDEX(Turno!$C$3:$V$32,MATCH($C521,Turno!$B$3:$B$32,0),MATCH(DAY($A521),Turno!$C$1:$V$1,0)),""))</f>
        <v/>
      </c>
      <c r="T521" t="str">
        <f>IF(OR($E521="",$S521=""),"",IFERROR(MAX(0,ROUND((INDEX(Config!$D$15:$D$18,MATCH($S521,Config!$B$15:$B$18,0))-$E521)*1440,0)),""))</f>
        <v/>
      </c>
      <c r="U521" s="13" t="str">
        <f>IF(OR($N521="",$T521=""),"",IFERROR(MAX(0,1-($N521+$T521+MAX(0,N($Q521)))/ROUND((INDEX(Config!$D$15:$D$18,MATCH($S521,Config!$B$15:$B$18,0))-INDEX(Config!$C$15:$C$18,MATCH($S521,Config!$B$15:$B$18,0)))*1440,0)),""))</f>
        <v/>
      </c>
      <c r="V521" s="5"/>
    </row>
    <row r="522" spans="1:22" x14ac:dyDescent="0.25">
      <c r="A522" s="11"/>
      <c r="B522" s="5"/>
      <c r="C522" s="6" t="str">
        <f>IFERROR(INDEX(Ejecutivos!$B$2:$B$100,MATCH(B522,Ejecutivos!$A$2:$A$100,0)),"")</f>
        <v/>
      </c>
      <c r="D522" s="12"/>
      <c r="E522" s="12"/>
      <c r="F522" s="12"/>
      <c r="G522" s="12"/>
      <c r="H522" s="5"/>
      <c r="I522" s="5"/>
      <c r="J522" s="5"/>
      <c r="K522" s="5"/>
      <c r="L522" s="18">
        <v>0</v>
      </c>
      <c r="M522" t="str">
        <f t="shared" si="35"/>
        <v/>
      </c>
      <c r="N522" t="str">
        <f>IF(OR($D522="",$S522=""),"",IFERROR(MAX(0,ROUND(($D522-INDEX(Config!$C$15:$C$18,MATCH($S522,Config!$B$15:$B$18,0)))*24*60,0)),""))</f>
        <v/>
      </c>
      <c r="O522" t="str">
        <f t="shared" si="36"/>
        <v/>
      </c>
      <c r="P522" t="str">
        <f t="shared" si="37"/>
        <v/>
      </c>
      <c r="Q522" t="str">
        <f>IF(OR($P522="",$S522=""),"",IFERROR($P522-INDEX(Config!$E$15:$E$18,MATCH($S522,Config!$B$15:$B$18,0)),""))</f>
        <v/>
      </c>
      <c r="R522" t="str">
        <f t="shared" si="38"/>
        <v/>
      </c>
      <c r="S522" s="6" t="str">
        <f>IF(OR($A522="",$C522=""),"",IFERROR(INDEX(Turno!$C$3:$V$32,MATCH($C522,Turno!$B$3:$B$32,0),MATCH(DAY($A522),Turno!$C$1:$V$1,0)),""))</f>
        <v/>
      </c>
      <c r="T522" t="str">
        <f>IF(OR($E522="",$S522=""),"",IFERROR(MAX(0,ROUND((INDEX(Config!$D$15:$D$18,MATCH($S522,Config!$B$15:$B$18,0))-$E522)*1440,0)),""))</f>
        <v/>
      </c>
      <c r="U522" s="13" t="str">
        <f>IF(OR($N522="",$T522=""),"",IFERROR(MAX(0,1-($N522+$T522+MAX(0,N($Q522)))/ROUND((INDEX(Config!$D$15:$D$18,MATCH($S522,Config!$B$15:$B$18,0))-INDEX(Config!$C$15:$C$18,MATCH($S522,Config!$B$15:$B$18,0)))*1440,0)),""))</f>
        <v/>
      </c>
      <c r="V522" s="5"/>
    </row>
    <row r="523" spans="1:22" x14ac:dyDescent="0.25">
      <c r="A523" s="11"/>
      <c r="B523" s="5"/>
      <c r="C523" s="6" t="str">
        <f>IFERROR(INDEX(Ejecutivos!$B$2:$B$100,MATCH(B523,Ejecutivos!$A$2:$A$100,0)),"")</f>
        <v/>
      </c>
      <c r="D523" s="12"/>
      <c r="E523" s="12"/>
      <c r="F523" s="12"/>
      <c r="G523" s="12"/>
      <c r="H523" s="5"/>
      <c r="I523" s="5"/>
      <c r="J523" s="5"/>
      <c r="K523" s="5"/>
      <c r="L523" s="18">
        <v>0</v>
      </c>
      <c r="M523" t="str">
        <f t="shared" si="35"/>
        <v/>
      </c>
      <c r="N523" t="str">
        <f>IF(OR($D523="",$S523=""),"",IFERROR(MAX(0,ROUND(($D523-INDEX(Config!$C$15:$C$18,MATCH($S523,Config!$B$15:$B$18,0)))*24*60,0)),""))</f>
        <v/>
      </c>
      <c r="O523" t="str">
        <f t="shared" si="36"/>
        <v/>
      </c>
      <c r="P523" t="str">
        <f t="shared" si="37"/>
        <v/>
      </c>
      <c r="Q523" t="str">
        <f>IF(OR($P523="",$S523=""),"",IFERROR($P523-INDEX(Config!$E$15:$E$18,MATCH($S523,Config!$B$15:$B$18,0)),""))</f>
        <v/>
      </c>
      <c r="R523" t="str">
        <f t="shared" si="38"/>
        <v/>
      </c>
      <c r="S523" s="6" t="str">
        <f>IF(OR($A523="",$C523=""),"",IFERROR(INDEX(Turno!$C$3:$V$32,MATCH($C523,Turno!$B$3:$B$32,0),MATCH(DAY($A523),Turno!$C$1:$V$1,0)),""))</f>
        <v/>
      </c>
      <c r="T523" t="str">
        <f>IF(OR($E523="",$S523=""),"",IFERROR(MAX(0,ROUND((INDEX(Config!$D$15:$D$18,MATCH($S523,Config!$B$15:$B$18,0))-$E523)*1440,0)),""))</f>
        <v/>
      </c>
      <c r="U523" s="13" t="str">
        <f>IF(OR($N523="",$T523=""),"",IFERROR(MAX(0,1-($N523+$T523+MAX(0,N($Q523)))/ROUND((INDEX(Config!$D$15:$D$18,MATCH($S523,Config!$B$15:$B$18,0))-INDEX(Config!$C$15:$C$18,MATCH($S523,Config!$B$15:$B$18,0)))*1440,0)),""))</f>
        <v/>
      </c>
      <c r="V523" s="5"/>
    </row>
    <row r="524" spans="1:22" x14ac:dyDescent="0.25">
      <c r="A524" s="11"/>
      <c r="B524" s="5"/>
      <c r="C524" s="6" t="str">
        <f>IFERROR(INDEX(Ejecutivos!$B$2:$B$100,MATCH(B524,Ejecutivos!$A$2:$A$100,0)),"")</f>
        <v/>
      </c>
      <c r="D524" s="12"/>
      <c r="E524" s="12"/>
      <c r="F524" s="12"/>
      <c r="G524" s="12"/>
      <c r="H524" s="5"/>
      <c r="I524" s="5"/>
      <c r="J524" s="5"/>
      <c r="K524" s="5"/>
      <c r="L524" s="18">
        <v>0</v>
      </c>
      <c r="M524" t="str">
        <f t="shared" si="35"/>
        <v/>
      </c>
      <c r="N524" t="str">
        <f>IF(OR($D524="",$S524=""),"",IFERROR(MAX(0,ROUND(($D524-INDEX(Config!$C$15:$C$18,MATCH($S524,Config!$B$15:$B$18,0)))*24*60,0)),""))</f>
        <v/>
      </c>
      <c r="O524" t="str">
        <f t="shared" si="36"/>
        <v/>
      </c>
      <c r="P524" t="str">
        <f t="shared" si="37"/>
        <v/>
      </c>
      <c r="Q524" t="str">
        <f>IF(OR($P524="",$S524=""),"",IFERROR($P524-INDEX(Config!$E$15:$E$18,MATCH($S524,Config!$B$15:$B$18,0)),""))</f>
        <v/>
      </c>
      <c r="R524" t="str">
        <f t="shared" si="38"/>
        <v/>
      </c>
      <c r="S524" s="6" t="str">
        <f>IF(OR($A524="",$C524=""),"",IFERROR(INDEX(Turno!$C$3:$V$32,MATCH($C524,Turno!$B$3:$B$32,0),MATCH(DAY($A524),Turno!$C$1:$V$1,0)),""))</f>
        <v/>
      </c>
      <c r="T524" t="str">
        <f>IF(OR($E524="",$S524=""),"",IFERROR(MAX(0,ROUND((INDEX(Config!$D$15:$D$18,MATCH($S524,Config!$B$15:$B$18,0))-$E524)*1440,0)),""))</f>
        <v/>
      </c>
      <c r="U524" s="13" t="str">
        <f>IF(OR($N524="",$T524=""),"",IFERROR(MAX(0,1-($N524+$T524+MAX(0,N($Q524)))/ROUND((INDEX(Config!$D$15:$D$18,MATCH($S524,Config!$B$15:$B$18,0))-INDEX(Config!$C$15:$C$18,MATCH($S524,Config!$B$15:$B$18,0)))*1440,0)),""))</f>
        <v/>
      </c>
      <c r="V524" s="5"/>
    </row>
    <row r="525" spans="1:22" x14ac:dyDescent="0.25">
      <c r="A525" s="11"/>
      <c r="B525" s="5"/>
      <c r="C525" s="6" t="str">
        <f>IFERROR(INDEX(Ejecutivos!$B$2:$B$100,MATCH(B525,Ejecutivos!$A$2:$A$100,0)),"")</f>
        <v/>
      </c>
      <c r="D525" s="12"/>
      <c r="E525" s="12"/>
      <c r="F525" s="12"/>
      <c r="G525" s="12"/>
      <c r="H525" s="5"/>
      <c r="I525" s="5"/>
      <c r="J525" s="5"/>
      <c r="K525" s="5"/>
      <c r="L525" s="18">
        <v>0</v>
      </c>
      <c r="M525" t="str">
        <f t="shared" si="35"/>
        <v/>
      </c>
      <c r="N525" t="str">
        <f>IF(OR($D525="",$S525=""),"",IFERROR(MAX(0,ROUND(($D525-INDEX(Config!$C$15:$C$18,MATCH($S525,Config!$B$15:$B$18,0)))*24*60,0)),""))</f>
        <v/>
      </c>
      <c r="O525" t="str">
        <f t="shared" si="36"/>
        <v/>
      </c>
      <c r="P525" t="str">
        <f t="shared" si="37"/>
        <v/>
      </c>
      <c r="Q525" t="str">
        <f>IF(OR($P525="",$S525=""),"",IFERROR($P525-INDEX(Config!$E$15:$E$18,MATCH($S525,Config!$B$15:$B$18,0)),""))</f>
        <v/>
      </c>
      <c r="R525" t="str">
        <f t="shared" si="38"/>
        <v/>
      </c>
      <c r="S525" s="6" t="str">
        <f>IF(OR($A525="",$C525=""),"",IFERROR(INDEX(Turno!$C$3:$V$32,MATCH($C525,Turno!$B$3:$B$32,0),MATCH(DAY($A525),Turno!$C$1:$V$1,0)),""))</f>
        <v/>
      </c>
      <c r="T525" t="str">
        <f>IF(OR($E525="",$S525=""),"",IFERROR(MAX(0,ROUND((INDEX(Config!$D$15:$D$18,MATCH($S525,Config!$B$15:$B$18,0))-$E525)*1440,0)),""))</f>
        <v/>
      </c>
      <c r="U525" s="13" t="str">
        <f>IF(OR($N525="",$T525=""),"",IFERROR(MAX(0,1-($N525+$T525+MAX(0,N($Q525)))/ROUND((INDEX(Config!$D$15:$D$18,MATCH($S525,Config!$B$15:$B$18,0))-INDEX(Config!$C$15:$C$18,MATCH($S525,Config!$B$15:$B$18,0)))*1440,0)),""))</f>
        <v/>
      </c>
      <c r="V525" s="5"/>
    </row>
    <row r="526" spans="1:22" x14ac:dyDescent="0.25">
      <c r="A526" s="11"/>
      <c r="B526" s="5"/>
      <c r="C526" s="6" t="str">
        <f>IFERROR(INDEX(Ejecutivos!$B$2:$B$100,MATCH(B526,Ejecutivos!$A$2:$A$100,0)),"")</f>
        <v/>
      </c>
      <c r="D526" s="12"/>
      <c r="E526" s="12"/>
      <c r="F526" s="12"/>
      <c r="G526" s="12"/>
      <c r="H526" s="5"/>
      <c r="I526" s="5"/>
      <c r="J526" s="5"/>
      <c r="K526" s="5"/>
      <c r="L526" s="18">
        <v>0</v>
      </c>
      <c r="M526" t="str">
        <f t="shared" si="35"/>
        <v/>
      </c>
      <c r="N526" t="str">
        <f>IF(OR($D526="",$S526=""),"",IFERROR(MAX(0,ROUND(($D526-INDEX(Config!$C$15:$C$18,MATCH($S526,Config!$B$15:$B$18,0)))*24*60,0)),""))</f>
        <v/>
      </c>
      <c r="O526" t="str">
        <f t="shared" si="36"/>
        <v/>
      </c>
      <c r="P526" t="str">
        <f t="shared" si="37"/>
        <v/>
      </c>
      <c r="Q526" t="str">
        <f>IF(OR($P526="",$S526=""),"",IFERROR($P526-INDEX(Config!$E$15:$E$18,MATCH($S526,Config!$B$15:$B$18,0)),""))</f>
        <v/>
      </c>
      <c r="R526" t="str">
        <f t="shared" si="38"/>
        <v/>
      </c>
      <c r="S526" s="6" t="str">
        <f>IF(OR($A526="",$C526=""),"",IFERROR(INDEX(Turno!$C$3:$V$32,MATCH($C526,Turno!$B$3:$B$32,0),MATCH(DAY($A526),Turno!$C$1:$V$1,0)),""))</f>
        <v/>
      </c>
      <c r="T526" t="str">
        <f>IF(OR($E526="",$S526=""),"",IFERROR(MAX(0,ROUND((INDEX(Config!$D$15:$D$18,MATCH($S526,Config!$B$15:$B$18,0))-$E526)*1440,0)),""))</f>
        <v/>
      </c>
      <c r="U526" s="13" t="str">
        <f>IF(OR($N526="",$T526=""),"",IFERROR(MAX(0,1-($N526+$T526+MAX(0,N($Q526)))/ROUND((INDEX(Config!$D$15:$D$18,MATCH($S526,Config!$B$15:$B$18,0))-INDEX(Config!$C$15:$C$18,MATCH($S526,Config!$B$15:$B$18,0)))*1440,0)),""))</f>
        <v/>
      </c>
      <c r="V526" s="5"/>
    </row>
    <row r="527" spans="1:22" x14ac:dyDescent="0.25">
      <c r="A527" s="11"/>
      <c r="B527" s="5"/>
      <c r="C527" s="6" t="str">
        <f>IFERROR(INDEX(Ejecutivos!$B$2:$B$100,MATCH(B527,Ejecutivos!$A$2:$A$100,0)),"")</f>
        <v/>
      </c>
      <c r="D527" s="12"/>
      <c r="E527" s="12"/>
      <c r="F527" s="12"/>
      <c r="G527" s="12"/>
      <c r="H527" s="5"/>
      <c r="I527" s="5"/>
      <c r="J527" s="5"/>
      <c r="K527" s="5"/>
      <c r="L527" s="18">
        <v>0</v>
      </c>
      <c r="M527" t="str">
        <f t="shared" si="35"/>
        <v/>
      </c>
      <c r="N527" t="str">
        <f>IF(OR($D527="",$S527=""),"",IFERROR(MAX(0,ROUND(($D527-INDEX(Config!$C$15:$C$18,MATCH($S527,Config!$B$15:$B$18,0)))*24*60,0)),""))</f>
        <v/>
      </c>
      <c r="O527" t="str">
        <f t="shared" si="36"/>
        <v/>
      </c>
      <c r="P527" t="str">
        <f t="shared" si="37"/>
        <v/>
      </c>
      <c r="Q527" t="str">
        <f>IF(OR($P527="",$S527=""),"",IFERROR($P527-INDEX(Config!$E$15:$E$18,MATCH($S527,Config!$B$15:$B$18,0)),""))</f>
        <v/>
      </c>
      <c r="R527" t="str">
        <f t="shared" si="38"/>
        <v/>
      </c>
      <c r="S527" s="6" t="str">
        <f>IF(OR($A527="",$C527=""),"",IFERROR(INDEX(Turno!$C$3:$V$32,MATCH($C527,Turno!$B$3:$B$32,0),MATCH(DAY($A527),Turno!$C$1:$V$1,0)),""))</f>
        <v/>
      </c>
      <c r="T527" t="str">
        <f>IF(OR($E527="",$S527=""),"",IFERROR(MAX(0,ROUND((INDEX(Config!$D$15:$D$18,MATCH($S527,Config!$B$15:$B$18,0))-$E527)*1440,0)),""))</f>
        <v/>
      </c>
      <c r="U527" s="13" t="str">
        <f>IF(OR($N527="",$T527=""),"",IFERROR(MAX(0,1-($N527+$T527+MAX(0,N($Q527)))/ROUND((INDEX(Config!$D$15:$D$18,MATCH($S527,Config!$B$15:$B$18,0))-INDEX(Config!$C$15:$C$18,MATCH($S527,Config!$B$15:$B$18,0)))*1440,0)),""))</f>
        <v/>
      </c>
      <c r="V527" s="5"/>
    </row>
    <row r="528" spans="1:22" x14ac:dyDescent="0.25">
      <c r="A528" s="11"/>
      <c r="B528" s="5"/>
      <c r="C528" s="6" t="str">
        <f>IFERROR(INDEX(Ejecutivos!$B$2:$B$100,MATCH(B528,Ejecutivos!$A$2:$A$100,0)),"")</f>
        <v/>
      </c>
      <c r="D528" s="12"/>
      <c r="E528" s="12"/>
      <c r="F528" s="12"/>
      <c r="G528" s="12"/>
      <c r="H528" s="5"/>
      <c r="I528" s="5"/>
      <c r="J528" s="5"/>
      <c r="K528" s="5"/>
      <c r="L528" s="18">
        <v>0</v>
      </c>
      <c r="M528" t="str">
        <f t="shared" si="35"/>
        <v/>
      </c>
      <c r="N528" t="str">
        <f>IF(OR($D528="",$S528=""),"",IFERROR(MAX(0,ROUND(($D528-INDEX(Config!$C$15:$C$18,MATCH($S528,Config!$B$15:$B$18,0)))*24*60,0)),""))</f>
        <v/>
      </c>
      <c r="O528" t="str">
        <f t="shared" si="36"/>
        <v/>
      </c>
      <c r="P528" t="str">
        <f t="shared" si="37"/>
        <v/>
      </c>
      <c r="Q528" t="str">
        <f>IF(OR($P528="",$S528=""),"",IFERROR($P528-INDEX(Config!$E$15:$E$18,MATCH($S528,Config!$B$15:$B$18,0)),""))</f>
        <v/>
      </c>
      <c r="R528" t="str">
        <f t="shared" si="38"/>
        <v/>
      </c>
      <c r="S528" s="6" t="str">
        <f>IF(OR($A528="",$C528=""),"",IFERROR(INDEX(Turno!$C$3:$V$32,MATCH($C528,Turno!$B$3:$B$32,0),MATCH(DAY($A528),Turno!$C$1:$V$1,0)),""))</f>
        <v/>
      </c>
      <c r="T528" t="str">
        <f>IF(OR($E528="",$S528=""),"",IFERROR(MAX(0,ROUND((INDEX(Config!$D$15:$D$18,MATCH($S528,Config!$B$15:$B$18,0))-$E528)*1440,0)),""))</f>
        <v/>
      </c>
      <c r="U528" s="13" t="str">
        <f>IF(OR($N528="",$T528=""),"",IFERROR(MAX(0,1-($N528+$T528+MAX(0,N($Q528)))/ROUND((INDEX(Config!$D$15:$D$18,MATCH($S528,Config!$B$15:$B$18,0))-INDEX(Config!$C$15:$C$18,MATCH($S528,Config!$B$15:$B$18,0)))*1440,0)),""))</f>
        <v/>
      </c>
      <c r="V528" s="5"/>
    </row>
    <row r="529" spans="1:22" x14ac:dyDescent="0.25">
      <c r="A529" s="11"/>
      <c r="B529" s="5"/>
      <c r="C529" s="6" t="str">
        <f>IFERROR(INDEX(Ejecutivos!$B$2:$B$100,MATCH(B529,Ejecutivos!$A$2:$A$100,0)),"")</f>
        <v/>
      </c>
      <c r="D529" s="12"/>
      <c r="E529" s="12"/>
      <c r="F529" s="12"/>
      <c r="G529" s="12"/>
      <c r="H529" s="5"/>
      <c r="I529" s="5"/>
      <c r="J529" s="5"/>
      <c r="K529" s="5"/>
      <c r="L529" s="18">
        <v>0</v>
      </c>
      <c r="M529" t="str">
        <f t="shared" si="35"/>
        <v/>
      </c>
      <c r="N529" t="str">
        <f>IF(OR($D529="",$S529=""),"",IFERROR(MAX(0,ROUND(($D529-INDEX(Config!$C$15:$C$18,MATCH($S529,Config!$B$15:$B$18,0)))*24*60,0)),""))</f>
        <v/>
      </c>
      <c r="O529" t="str">
        <f t="shared" si="36"/>
        <v/>
      </c>
      <c r="P529" t="str">
        <f t="shared" si="37"/>
        <v/>
      </c>
      <c r="Q529" t="str">
        <f>IF(OR($P529="",$S529=""),"",IFERROR($P529-INDEX(Config!$E$15:$E$18,MATCH($S529,Config!$B$15:$B$18,0)),""))</f>
        <v/>
      </c>
      <c r="R529" t="str">
        <f t="shared" si="38"/>
        <v/>
      </c>
      <c r="S529" s="6" t="str">
        <f>IF(OR($A529="",$C529=""),"",IFERROR(INDEX(Turno!$C$3:$V$32,MATCH($C529,Turno!$B$3:$B$32,0),MATCH(DAY($A529),Turno!$C$1:$V$1,0)),""))</f>
        <v/>
      </c>
      <c r="T529" t="str">
        <f>IF(OR($E529="",$S529=""),"",IFERROR(MAX(0,ROUND((INDEX(Config!$D$15:$D$18,MATCH($S529,Config!$B$15:$B$18,0))-$E529)*1440,0)),""))</f>
        <v/>
      </c>
      <c r="U529" s="13" t="str">
        <f>IF(OR($N529="",$T529=""),"",IFERROR(MAX(0,1-($N529+$T529+MAX(0,N($Q529)))/ROUND((INDEX(Config!$D$15:$D$18,MATCH($S529,Config!$B$15:$B$18,0))-INDEX(Config!$C$15:$C$18,MATCH($S529,Config!$B$15:$B$18,0)))*1440,0)),""))</f>
        <v/>
      </c>
      <c r="V529" s="5"/>
    </row>
    <row r="530" spans="1:22" x14ac:dyDescent="0.25">
      <c r="A530" s="11"/>
      <c r="B530" s="5"/>
      <c r="C530" s="6" t="str">
        <f>IFERROR(INDEX(Ejecutivos!$B$2:$B$100,MATCH(B530,Ejecutivos!$A$2:$A$100,0)),"")</f>
        <v/>
      </c>
      <c r="D530" s="12"/>
      <c r="E530" s="12"/>
      <c r="F530" s="12"/>
      <c r="G530" s="12"/>
      <c r="H530" s="5"/>
      <c r="I530" s="5"/>
      <c r="J530" s="5"/>
      <c r="K530" s="5"/>
      <c r="L530" s="18">
        <v>0</v>
      </c>
      <c r="M530" t="str">
        <f t="shared" si="35"/>
        <v/>
      </c>
      <c r="N530" t="str">
        <f>IF(OR($D530="",$S530=""),"",IFERROR(MAX(0,ROUND(($D530-INDEX(Config!$C$15:$C$18,MATCH($S530,Config!$B$15:$B$18,0)))*24*60,0)),""))</f>
        <v/>
      </c>
      <c r="O530" t="str">
        <f t="shared" si="36"/>
        <v/>
      </c>
      <c r="P530" t="str">
        <f t="shared" si="37"/>
        <v/>
      </c>
      <c r="Q530" t="str">
        <f>IF(OR($P530="",$S530=""),"",IFERROR($P530-INDEX(Config!$E$15:$E$18,MATCH($S530,Config!$B$15:$B$18,0)),""))</f>
        <v/>
      </c>
      <c r="R530" t="str">
        <f t="shared" si="38"/>
        <v/>
      </c>
      <c r="S530" s="6" t="str">
        <f>IF(OR($A530="",$C530=""),"",IFERROR(INDEX(Turno!$C$3:$V$32,MATCH($C530,Turno!$B$3:$B$32,0),MATCH(DAY($A530),Turno!$C$1:$V$1,0)),""))</f>
        <v/>
      </c>
      <c r="T530" t="str">
        <f>IF(OR($E530="",$S530=""),"",IFERROR(MAX(0,ROUND((INDEX(Config!$D$15:$D$18,MATCH($S530,Config!$B$15:$B$18,0))-$E530)*1440,0)),""))</f>
        <v/>
      </c>
      <c r="U530" s="13" t="str">
        <f>IF(OR($N530="",$T530=""),"",IFERROR(MAX(0,1-($N530+$T530+MAX(0,N($Q530)))/ROUND((INDEX(Config!$D$15:$D$18,MATCH($S530,Config!$B$15:$B$18,0))-INDEX(Config!$C$15:$C$18,MATCH($S530,Config!$B$15:$B$18,0)))*1440,0)),""))</f>
        <v/>
      </c>
      <c r="V530" s="5"/>
    </row>
    <row r="531" spans="1:22" x14ac:dyDescent="0.25">
      <c r="A531" s="11"/>
      <c r="B531" s="5"/>
      <c r="C531" s="6" t="str">
        <f>IFERROR(INDEX(Ejecutivos!$B$2:$B$100,MATCH(B531,Ejecutivos!$A$2:$A$100,0)),"")</f>
        <v/>
      </c>
      <c r="D531" s="12"/>
      <c r="E531" s="12"/>
      <c r="F531" s="12"/>
      <c r="G531" s="12"/>
      <c r="H531" s="5"/>
      <c r="I531" s="5"/>
      <c r="J531" s="5"/>
      <c r="K531" s="5"/>
      <c r="L531" s="18">
        <v>0</v>
      </c>
      <c r="M531" t="str">
        <f t="shared" si="35"/>
        <v/>
      </c>
      <c r="N531" t="str">
        <f>IF(OR($D531="",$S531=""),"",IFERROR(MAX(0,ROUND(($D531-INDEX(Config!$C$15:$C$18,MATCH($S531,Config!$B$15:$B$18,0)))*24*60,0)),""))</f>
        <v/>
      </c>
      <c r="O531" t="str">
        <f t="shared" si="36"/>
        <v/>
      </c>
      <c r="P531" t="str">
        <f t="shared" si="37"/>
        <v/>
      </c>
      <c r="Q531" t="str">
        <f>IF(OR($P531="",$S531=""),"",IFERROR($P531-INDEX(Config!$E$15:$E$18,MATCH($S531,Config!$B$15:$B$18,0)),""))</f>
        <v/>
      </c>
      <c r="R531" t="str">
        <f t="shared" si="38"/>
        <v/>
      </c>
      <c r="S531" s="6" t="str">
        <f>IF(OR($A531="",$C531=""),"",IFERROR(INDEX(Turno!$C$3:$V$32,MATCH($C531,Turno!$B$3:$B$32,0),MATCH(DAY($A531),Turno!$C$1:$V$1,0)),""))</f>
        <v/>
      </c>
      <c r="T531" t="str">
        <f>IF(OR($E531="",$S531=""),"",IFERROR(MAX(0,ROUND((INDEX(Config!$D$15:$D$18,MATCH($S531,Config!$B$15:$B$18,0))-$E531)*1440,0)),""))</f>
        <v/>
      </c>
      <c r="U531" s="13" t="str">
        <f>IF(OR($N531="",$T531=""),"",IFERROR(MAX(0,1-($N531+$T531+MAX(0,N($Q531)))/ROUND((INDEX(Config!$D$15:$D$18,MATCH($S531,Config!$B$15:$B$18,0))-INDEX(Config!$C$15:$C$18,MATCH($S531,Config!$B$15:$B$18,0)))*1440,0)),""))</f>
        <v/>
      </c>
      <c r="V531" s="5"/>
    </row>
    <row r="532" spans="1:22" x14ac:dyDescent="0.25">
      <c r="A532" s="11"/>
      <c r="B532" s="5"/>
      <c r="C532" s="6" t="str">
        <f>IFERROR(INDEX(Ejecutivos!$B$2:$B$100,MATCH(B532,Ejecutivos!$A$2:$A$100,0)),"")</f>
        <v/>
      </c>
      <c r="D532" s="12"/>
      <c r="E532" s="12"/>
      <c r="F532" s="12"/>
      <c r="G532" s="12"/>
      <c r="H532" s="5"/>
      <c r="I532" s="5"/>
      <c r="J532" s="5"/>
      <c r="K532" s="5"/>
      <c r="L532" s="18">
        <v>0</v>
      </c>
      <c r="M532" t="str">
        <f t="shared" si="35"/>
        <v/>
      </c>
      <c r="N532" t="str">
        <f>IF(OR($D532="",$S532=""),"",IFERROR(MAX(0,ROUND(($D532-INDEX(Config!$C$15:$C$18,MATCH($S532,Config!$B$15:$B$18,0)))*24*60,0)),""))</f>
        <v/>
      </c>
      <c r="O532" t="str">
        <f t="shared" si="36"/>
        <v/>
      </c>
      <c r="P532" t="str">
        <f t="shared" si="37"/>
        <v/>
      </c>
      <c r="Q532" t="str">
        <f>IF(OR($P532="",$S532=""),"",IFERROR($P532-INDEX(Config!$E$15:$E$18,MATCH($S532,Config!$B$15:$B$18,0)),""))</f>
        <v/>
      </c>
      <c r="R532" t="str">
        <f t="shared" si="38"/>
        <v/>
      </c>
      <c r="S532" s="6" t="str">
        <f>IF(OR($A532="",$C532=""),"",IFERROR(INDEX(Turno!$C$3:$V$32,MATCH($C532,Turno!$B$3:$B$32,0),MATCH(DAY($A532),Turno!$C$1:$V$1,0)),""))</f>
        <v/>
      </c>
      <c r="T532" t="str">
        <f>IF(OR($E532="",$S532=""),"",IFERROR(MAX(0,ROUND((INDEX(Config!$D$15:$D$18,MATCH($S532,Config!$B$15:$B$18,0))-$E532)*1440,0)),""))</f>
        <v/>
      </c>
      <c r="U532" s="13" t="str">
        <f>IF(OR($N532="",$T532=""),"",IFERROR(MAX(0,1-($N532+$T532+MAX(0,N($Q532)))/ROUND((INDEX(Config!$D$15:$D$18,MATCH($S532,Config!$B$15:$B$18,0))-INDEX(Config!$C$15:$C$18,MATCH($S532,Config!$B$15:$B$18,0)))*1440,0)),""))</f>
        <v/>
      </c>
      <c r="V532" s="5"/>
    </row>
    <row r="533" spans="1:22" x14ac:dyDescent="0.25">
      <c r="A533" s="11"/>
      <c r="B533" s="5"/>
      <c r="C533" s="6" t="str">
        <f>IFERROR(INDEX(Ejecutivos!$B$2:$B$100,MATCH(B533,Ejecutivos!$A$2:$A$100,0)),"")</f>
        <v/>
      </c>
      <c r="D533" s="12"/>
      <c r="E533" s="12"/>
      <c r="F533" s="12"/>
      <c r="G533" s="12"/>
      <c r="H533" s="5"/>
      <c r="I533" s="5"/>
      <c r="J533" s="5"/>
      <c r="K533" s="5"/>
      <c r="L533" s="18">
        <v>0</v>
      </c>
      <c r="M533" t="str">
        <f t="shared" si="35"/>
        <v/>
      </c>
      <c r="N533" t="str">
        <f>IF(OR($D533="",$S533=""),"",IFERROR(MAX(0,ROUND(($D533-INDEX(Config!$C$15:$C$18,MATCH($S533,Config!$B$15:$B$18,0)))*24*60,0)),""))</f>
        <v/>
      </c>
      <c r="O533" t="str">
        <f t="shared" si="36"/>
        <v/>
      </c>
      <c r="P533" t="str">
        <f t="shared" si="37"/>
        <v/>
      </c>
      <c r="Q533" t="str">
        <f>IF(OR($P533="",$S533=""),"",IFERROR($P533-INDEX(Config!$E$15:$E$18,MATCH($S533,Config!$B$15:$B$18,0)),""))</f>
        <v/>
      </c>
      <c r="R533" t="str">
        <f t="shared" si="38"/>
        <v/>
      </c>
      <c r="S533" s="6" t="str">
        <f>IF(OR($A533="",$C533=""),"",IFERROR(INDEX(Turno!$C$3:$V$32,MATCH($C533,Turno!$B$3:$B$32,0),MATCH(DAY($A533),Turno!$C$1:$V$1,0)),""))</f>
        <v/>
      </c>
      <c r="T533" t="str">
        <f>IF(OR($E533="",$S533=""),"",IFERROR(MAX(0,ROUND((INDEX(Config!$D$15:$D$18,MATCH($S533,Config!$B$15:$B$18,0))-$E533)*1440,0)),""))</f>
        <v/>
      </c>
      <c r="U533" s="13" t="str">
        <f>IF(OR($N533="",$T533=""),"",IFERROR(MAX(0,1-($N533+$T533+MAX(0,N($Q533)))/ROUND((INDEX(Config!$D$15:$D$18,MATCH($S533,Config!$B$15:$B$18,0))-INDEX(Config!$C$15:$C$18,MATCH($S533,Config!$B$15:$B$18,0)))*1440,0)),""))</f>
        <v/>
      </c>
      <c r="V533" s="5"/>
    </row>
    <row r="534" spans="1:22" x14ac:dyDescent="0.25">
      <c r="A534" s="11"/>
      <c r="B534" s="5"/>
      <c r="C534" s="6" t="str">
        <f>IFERROR(INDEX(Ejecutivos!$B$2:$B$100,MATCH(B534,Ejecutivos!$A$2:$A$100,0)),"")</f>
        <v/>
      </c>
      <c r="D534" s="12"/>
      <c r="E534" s="12"/>
      <c r="F534" s="12"/>
      <c r="G534" s="12"/>
      <c r="H534" s="5"/>
      <c r="I534" s="5"/>
      <c r="J534" s="5"/>
      <c r="K534" s="5"/>
      <c r="L534" s="18">
        <v>0</v>
      </c>
      <c r="M534" t="str">
        <f t="shared" si="35"/>
        <v/>
      </c>
      <c r="N534" t="str">
        <f>IF(OR($D534="",$S534=""),"",IFERROR(MAX(0,ROUND(($D534-INDEX(Config!$C$15:$C$18,MATCH($S534,Config!$B$15:$B$18,0)))*24*60,0)),""))</f>
        <v/>
      </c>
      <c r="O534" t="str">
        <f t="shared" si="36"/>
        <v/>
      </c>
      <c r="P534" t="str">
        <f t="shared" si="37"/>
        <v/>
      </c>
      <c r="Q534" t="str">
        <f>IF(OR($P534="",$S534=""),"",IFERROR($P534-INDEX(Config!$E$15:$E$18,MATCH($S534,Config!$B$15:$B$18,0)),""))</f>
        <v/>
      </c>
      <c r="R534" t="str">
        <f t="shared" si="38"/>
        <v/>
      </c>
      <c r="S534" s="6" t="str">
        <f>IF(OR($A534="",$C534=""),"",IFERROR(INDEX(Turno!$C$3:$V$32,MATCH($C534,Turno!$B$3:$B$32,0),MATCH(DAY($A534),Turno!$C$1:$V$1,0)),""))</f>
        <v/>
      </c>
      <c r="T534" t="str">
        <f>IF(OR($E534="",$S534=""),"",IFERROR(MAX(0,ROUND((INDEX(Config!$D$15:$D$18,MATCH($S534,Config!$B$15:$B$18,0))-$E534)*1440,0)),""))</f>
        <v/>
      </c>
      <c r="U534" s="13" t="str">
        <f>IF(OR($N534="",$T534=""),"",IFERROR(MAX(0,1-($N534+$T534+MAX(0,N($Q534)))/ROUND((INDEX(Config!$D$15:$D$18,MATCH($S534,Config!$B$15:$B$18,0))-INDEX(Config!$C$15:$C$18,MATCH($S534,Config!$B$15:$B$18,0)))*1440,0)),""))</f>
        <v/>
      </c>
      <c r="V534" s="5"/>
    </row>
    <row r="535" spans="1:22" x14ac:dyDescent="0.25">
      <c r="A535" s="11"/>
      <c r="B535" s="5"/>
      <c r="C535" s="6" t="str">
        <f>IFERROR(INDEX(Ejecutivos!$B$2:$B$100,MATCH(B535,Ejecutivos!$A$2:$A$100,0)),"")</f>
        <v/>
      </c>
      <c r="D535" s="12"/>
      <c r="E535" s="12"/>
      <c r="F535" s="12"/>
      <c r="G535" s="12"/>
      <c r="H535" s="5"/>
      <c r="I535" s="5"/>
      <c r="J535" s="5"/>
      <c r="K535" s="5"/>
      <c r="L535" s="18">
        <v>0</v>
      </c>
      <c r="M535" t="str">
        <f t="shared" si="35"/>
        <v/>
      </c>
      <c r="N535" t="str">
        <f>IF(OR($D535="",$S535=""),"",IFERROR(MAX(0,ROUND(($D535-INDEX(Config!$C$15:$C$18,MATCH($S535,Config!$B$15:$B$18,0)))*24*60,0)),""))</f>
        <v/>
      </c>
      <c r="O535" t="str">
        <f t="shared" si="36"/>
        <v/>
      </c>
      <c r="P535" t="str">
        <f t="shared" si="37"/>
        <v/>
      </c>
      <c r="Q535" t="str">
        <f>IF(OR($P535="",$S535=""),"",IFERROR($P535-INDEX(Config!$E$15:$E$18,MATCH($S535,Config!$B$15:$B$18,0)),""))</f>
        <v/>
      </c>
      <c r="R535" t="str">
        <f t="shared" si="38"/>
        <v/>
      </c>
      <c r="S535" s="6" t="str">
        <f>IF(OR($A535="",$C535=""),"",IFERROR(INDEX(Turno!$C$3:$V$32,MATCH($C535,Turno!$B$3:$B$32,0),MATCH(DAY($A535),Turno!$C$1:$V$1,0)),""))</f>
        <v/>
      </c>
      <c r="T535" t="str">
        <f>IF(OR($E535="",$S535=""),"",IFERROR(MAX(0,ROUND((INDEX(Config!$D$15:$D$18,MATCH($S535,Config!$B$15:$B$18,0))-$E535)*1440,0)),""))</f>
        <v/>
      </c>
      <c r="U535" s="13" t="str">
        <f>IF(OR($N535="",$T535=""),"",IFERROR(MAX(0,1-($N535+$T535+MAX(0,N($Q535)))/ROUND((INDEX(Config!$D$15:$D$18,MATCH($S535,Config!$B$15:$B$18,0))-INDEX(Config!$C$15:$C$18,MATCH($S535,Config!$B$15:$B$18,0)))*1440,0)),""))</f>
        <v/>
      </c>
      <c r="V535" s="5"/>
    </row>
    <row r="536" spans="1:22" x14ac:dyDescent="0.25">
      <c r="A536" s="11"/>
      <c r="B536" s="5"/>
      <c r="C536" s="6" t="str">
        <f>IFERROR(INDEX(Ejecutivos!$B$2:$B$100,MATCH(B536,Ejecutivos!$A$2:$A$100,0)),"")</f>
        <v/>
      </c>
      <c r="D536" s="12"/>
      <c r="E536" s="12"/>
      <c r="F536" s="12"/>
      <c r="G536" s="12"/>
      <c r="H536" s="5"/>
      <c r="I536" s="5"/>
      <c r="J536" s="5"/>
      <c r="K536" s="5"/>
      <c r="L536" s="18">
        <v>0</v>
      </c>
      <c r="M536" t="str">
        <f t="shared" si="35"/>
        <v/>
      </c>
      <c r="N536" t="str">
        <f>IF(OR($D536="",$S536=""),"",IFERROR(MAX(0,ROUND(($D536-INDEX(Config!$C$15:$C$18,MATCH($S536,Config!$B$15:$B$18,0)))*24*60,0)),""))</f>
        <v/>
      </c>
      <c r="O536" t="str">
        <f t="shared" si="36"/>
        <v/>
      </c>
      <c r="P536" t="str">
        <f t="shared" si="37"/>
        <v/>
      </c>
      <c r="Q536" t="str">
        <f>IF(OR($P536="",$S536=""),"",IFERROR($P536-INDEX(Config!$E$15:$E$18,MATCH($S536,Config!$B$15:$B$18,0)),""))</f>
        <v/>
      </c>
      <c r="R536" t="str">
        <f t="shared" si="38"/>
        <v/>
      </c>
      <c r="S536" s="6" t="str">
        <f>IF(OR($A536="",$C536=""),"",IFERROR(INDEX(Turno!$C$3:$V$32,MATCH($C536,Turno!$B$3:$B$32,0),MATCH(DAY($A536),Turno!$C$1:$V$1,0)),""))</f>
        <v/>
      </c>
      <c r="T536" t="str">
        <f>IF(OR($E536="",$S536=""),"",IFERROR(MAX(0,ROUND((INDEX(Config!$D$15:$D$18,MATCH($S536,Config!$B$15:$B$18,0))-$E536)*1440,0)),""))</f>
        <v/>
      </c>
      <c r="U536" s="13" t="str">
        <f>IF(OR($N536="",$T536=""),"",IFERROR(MAX(0,1-($N536+$T536+MAX(0,N($Q536)))/ROUND((INDEX(Config!$D$15:$D$18,MATCH($S536,Config!$B$15:$B$18,0))-INDEX(Config!$C$15:$C$18,MATCH($S536,Config!$B$15:$B$18,0)))*1440,0)),""))</f>
        <v/>
      </c>
      <c r="V536" s="5"/>
    </row>
    <row r="537" spans="1:22" x14ac:dyDescent="0.25">
      <c r="A537" s="11"/>
      <c r="B537" s="5"/>
      <c r="C537" s="6" t="str">
        <f>IFERROR(INDEX(Ejecutivos!$B$2:$B$100,MATCH(B537,Ejecutivos!$A$2:$A$100,0)),"")</f>
        <v/>
      </c>
      <c r="D537" s="12"/>
      <c r="E537" s="12"/>
      <c r="F537" s="12"/>
      <c r="G537" s="12"/>
      <c r="H537" s="5"/>
      <c r="I537" s="5"/>
      <c r="J537" s="5"/>
      <c r="K537" s="5"/>
      <c r="L537" s="18">
        <v>0</v>
      </c>
      <c r="M537" t="str">
        <f t="shared" si="35"/>
        <v/>
      </c>
      <c r="N537" t="str">
        <f>IF(OR($D537="",$S537=""),"",IFERROR(MAX(0,ROUND(($D537-INDEX(Config!$C$15:$C$18,MATCH($S537,Config!$B$15:$B$18,0)))*24*60,0)),""))</f>
        <v/>
      </c>
      <c r="O537" t="str">
        <f t="shared" si="36"/>
        <v/>
      </c>
      <c r="P537" t="str">
        <f t="shared" si="37"/>
        <v/>
      </c>
      <c r="Q537" t="str">
        <f>IF(OR($P537="",$S537=""),"",IFERROR($P537-INDEX(Config!$E$15:$E$18,MATCH($S537,Config!$B$15:$B$18,0)),""))</f>
        <v/>
      </c>
      <c r="R537" t="str">
        <f t="shared" si="38"/>
        <v/>
      </c>
      <c r="S537" s="6" t="str">
        <f>IF(OR($A537="",$C537=""),"",IFERROR(INDEX(Turno!$C$3:$V$32,MATCH($C537,Turno!$B$3:$B$32,0),MATCH(DAY($A537),Turno!$C$1:$V$1,0)),""))</f>
        <v/>
      </c>
      <c r="T537" t="str">
        <f>IF(OR($E537="",$S537=""),"",IFERROR(MAX(0,ROUND((INDEX(Config!$D$15:$D$18,MATCH($S537,Config!$B$15:$B$18,0))-$E537)*1440,0)),""))</f>
        <v/>
      </c>
      <c r="U537" s="13" t="str">
        <f>IF(OR($N537="",$T537=""),"",IFERROR(MAX(0,1-($N537+$T537+MAX(0,N($Q537)))/ROUND((INDEX(Config!$D$15:$D$18,MATCH($S537,Config!$B$15:$B$18,0))-INDEX(Config!$C$15:$C$18,MATCH($S537,Config!$B$15:$B$18,0)))*1440,0)),""))</f>
        <v/>
      </c>
      <c r="V537" s="5"/>
    </row>
    <row r="538" spans="1:22" x14ac:dyDescent="0.25">
      <c r="A538" s="11"/>
      <c r="B538" s="5"/>
      <c r="C538" s="6" t="str">
        <f>IFERROR(INDEX(Ejecutivos!$B$2:$B$100,MATCH(B538,Ejecutivos!$A$2:$A$100,0)),"")</f>
        <v/>
      </c>
      <c r="D538" s="12"/>
      <c r="E538" s="12"/>
      <c r="F538" s="12"/>
      <c r="G538" s="12"/>
      <c r="H538" s="5"/>
      <c r="I538" s="5"/>
      <c r="J538" s="5"/>
      <c r="K538" s="5"/>
      <c r="L538" s="18">
        <v>0</v>
      </c>
      <c r="M538" t="str">
        <f t="shared" si="35"/>
        <v/>
      </c>
      <c r="N538" t="str">
        <f>IF(OR($D538="",$S538=""),"",IFERROR(MAX(0,ROUND(($D538-INDEX(Config!$C$15:$C$18,MATCH($S538,Config!$B$15:$B$18,0)))*24*60,0)),""))</f>
        <v/>
      </c>
      <c r="O538" t="str">
        <f t="shared" si="36"/>
        <v/>
      </c>
      <c r="P538" t="str">
        <f t="shared" si="37"/>
        <v/>
      </c>
      <c r="Q538" t="str">
        <f>IF(OR($P538="",$S538=""),"",IFERROR($P538-INDEX(Config!$E$15:$E$18,MATCH($S538,Config!$B$15:$B$18,0)),""))</f>
        <v/>
      </c>
      <c r="R538" t="str">
        <f t="shared" si="38"/>
        <v/>
      </c>
      <c r="S538" s="6" t="str">
        <f>IF(OR($A538="",$C538=""),"",IFERROR(INDEX(Turno!$C$3:$V$32,MATCH($C538,Turno!$B$3:$B$32,0),MATCH(DAY($A538),Turno!$C$1:$V$1,0)),""))</f>
        <v/>
      </c>
      <c r="T538" t="str">
        <f>IF(OR($E538="",$S538=""),"",IFERROR(MAX(0,ROUND((INDEX(Config!$D$15:$D$18,MATCH($S538,Config!$B$15:$B$18,0))-$E538)*1440,0)),""))</f>
        <v/>
      </c>
      <c r="U538" s="13" t="str">
        <f>IF(OR($N538="",$T538=""),"",IFERROR(MAX(0,1-($N538+$T538+MAX(0,N($Q538)))/ROUND((INDEX(Config!$D$15:$D$18,MATCH($S538,Config!$B$15:$B$18,0))-INDEX(Config!$C$15:$C$18,MATCH($S538,Config!$B$15:$B$18,0)))*1440,0)),""))</f>
        <v/>
      </c>
      <c r="V538" s="5"/>
    </row>
    <row r="539" spans="1:22" x14ac:dyDescent="0.25">
      <c r="A539" s="11"/>
      <c r="B539" s="5"/>
      <c r="C539" s="6" t="str">
        <f>IFERROR(INDEX(Ejecutivos!$B$2:$B$100,MATCH(B539,Ejecutivos!$A$2:$A$100,0)),"")</f>
        <v/>
      </c>
      <c r="D539" s="12"/>
      <c r="E539" s="12"/>
      <c r="F539" s="12"/>
      <c r="G539" s="12"/>
      <c r="H539" s="5"/>
      <c r="I539" s="5"/>
      <c r="J539" s="5"/>
      <c r="K539" s="5"/>
      <c r="L539" s="18">
        <v>0</v>
      </c>
      <c r="M539" t="str">
        <f t="shared" si="35"/>
        <v/>
      </c>
      <c r="N539" t="str">
        <f>IF(OR($D539="",$S539=""),"",IFERROR(MAX(0,ROUND(($D539-INDEX(Config!$C$15:$C$18,MATCH($S539,Config!$B$15:$B$18,0)))*24*60,0)),""))</f>
        <v/>
      </c>
      <c r="O539" t="str">
        <f t="shared" si="36"/>
        <v/>
      </c>
      <c r="P539" t="str">
        <f t="shared" si="37"/>
        <v/>
      </c>
      <c r="Q539" t="str">
        <f>IF(OR($P539="",$S539=""),"",IFERROR($P539-INDEX(Config!$E$15:$E$18,MATCH($S539,Config!$B$15:$B$18,0)),""))</f>
        <v/>
      </c>
      <c r="R539" t="str">
        <f t="shared" si="38"/>
        <v/>
      </c>
      <c r="S539" s="6" t="str">
        <f>IF(OR($A539="",$C539=""),"",IFERROR(INDEX(Turno!$C$3:$V$32,MATCH($C539,Turno!$B$3:$B$32,0),MATCH(DAY($A539),Turno!$C$1:$V$1,0)),""))</f>
        <v/>
      </c>
      <c r="T539" t="str">
        <f>IF(OR($E539="",$S539=""),"",IFERROR(MAX(0,ROUND((INDEX(Config!$D$15:$D$18,MATCH($S539,Config!$B$15:$B$18,0))-$E539)*1440,0)),""))</f>
        <v/>
      </c>
      <c r="U539" s="13" t="str">
        <f>IF(OR($N539="",$T539=""),"",IFERROR(MAX(0,1-($N539+$T539+MAX(0,N($Q539)))/ROUND((INDEX(Config!$D$15:$D$18,MATCH($S539,Config!$B$15:$B$18,0))-INDEX(Config!$C$15:$C$18,MATCH($S539,Config!$B$15:$B$18,0)))*1440,0)),""))</f>
        <v/>
      </c>
      <c r="V539" s="5"/>
    </row>
    <row r="540" spans="1:22" x14ac:dyDescent="0.25">
      <c r="A540" s="11"/>
      <c r="B540" s="5"/>
      <c r="C540" s="6" t="str">
        <f>IFERROR(INDEX(Ejecutivos!$B$2:$B$100,MATCH(B540,Ejecutivos!$A$2:$A$100,0)),"")</f>
        <v/>
      </c>
      <c r="D540" s="12"/>
      <c r="E540" s="12"/>
      <c r="F540" s="12"/>
      <c r="G540" s="12"/>
      <c r="H540" s="5"/>
      <c r="I540" s="5"/>
      <c r="J540" s="5"/>
      <c r="K540" s="5"/>
      <c r="L540" s="18">
        <v>0</v>
      </c>
      <c r="M540" t="str">
        <f t="shared" si="35"/>
        <v/>
      </c>
      <c r="N540" t="str">
        <f>IF(OR($D540="",$S540=""),"",IFERROR(MAX(0,ROUND(($D540-INDEX(Config!$C$15:$C$18,MATCH($S540,Config!$B$15:$B$18,0)))*24*60,0)),""))</f>
        <v/>
      </c>
      <c r="O540" t="str">
        <f t="shared" si="36"/>
        <v/>
      </c>
      <c r="P540" t="str">
        <f t="shared" si="37"/>
        <v/>
      </c>
      <c r="Q540" t="str">
        <f>IF(OR($P540="",$S540=""),"",IFERROR($P540-INDEX(Config!$E$15:$E$18,MATCH($S540,Config!$B$15:$B$18,0)),""))</f>
        <v/>
      </c>
      <c r="R540" t="str">
        <f t="shared" si="38"/>
        <v/>
      </c>
      <c r="S540" s="6" t="str">
        <f>IF(OR($A540="",$C540=""),"",IFERROR(INDEX(Turno!$C$3:$V$32,MATCH($C540,Turno!$B$3:$B$32,0),MATCH(DAY($A540),Turno!$C$1:$V$1,0)),""))</f>
        <v/>
      </c>
      <c r="T540" t="str">
        <f>IF(OR($E540="",$S540=""),"",IFERROR(MAX(0,ROUND((INDEX(Config!$D$15:$D$18,MATCH($S540,Config!$B$15:$B$18,0))-$E540)*1440,0)),""))</f>
        <v/>
      </c>
      <c r="U540" s="13" t="str">
        <f>IF(OR($N540="",$T540=""),"",IFERROR(MAX(0,1-($N540+$T540+MAX(0,N($Q540)))/ROUND((INDEX(Config!$D$15:$D$18,MATCH($S540,Config!$B$15:$B$18,0))-INDEX(Config!$C$15:$C$18,MATCH($S540,Config!$B$15:$B$18,0)))*1440,0)),""))</f>
        <v/>
      </c>
      <c r="V540" s="5"/>
    </row>
    <row r="541" spans="1:22" x14ac:dyDescent="0.25">
      <c r="A541" s="11"/>
      <c r="B541" s="5"/>
      <c r="C541" s="6" t="str">
        <f>IFERROR(INDEX(Ejecutivos!$B$2:$B$100,MATCH(B541,Ejecutivos!$A$2:$A$100,0)),"")</f>
        <v/>
      </c>
      <c r="D541" s="12"/>
      <c r="E541" s="12"/>
      <c r="F541" s="12"/>
      <c r="G541" s="12"/>
      <c r="H541" s="5"/>
      <c r="I541" s="5"/>
      <c r="J541" s="5"/>
      <c r="K541" s="5"/>
      <c r="L541" s="18">
        <v>0</v>
      </c>
      <c r="M541" t="str">
        <f t="shared" si="35"/>
        <v/>
      </c>
      <c r="N541" t="str">
        <f>IF(OR($D541="",$S541=""),"",IFERROR(MAX(0,ROUND(($D541-INDEX(Config!$C$15:$C$18,MATCH($S541,Config!$B$15:$B$18,0)))*24*60,0)),""))</f>
        <v/>
      </c>
      <c r="O541" t="str">
        <f t="shared" si="36"/>
        <v/>
      </c>
      <c r="P541" t="str">
        <f t="shared" si="37"/>
        <v/>
      </c>
      <c r="Q541" t="str">
        <f>IF(OR($P541="",$S541=""),"",IFERROR($P541-INDEX(Config!$E$15:$E$18,MATCH($S541,Config!$B$15:$B$18,0)),""))</f>
        <v/>
      </c>
      <c r="R541" t="str">
        <f t="shared" si="38"/>
        <v/>
      </c>
      <c r="S541" s="6" t="str">
        <f>IF(OR($A541="",$C541=""),"",IFERROR(INDEX(Turno!$C$3:$V$32,MATCH($C541,Turno!$B$3:$B$32,0),MATCH(DAY($A541),Turno!$C$1:$V$1,0)),""))</f>
        <v/>
      </c>
      <c r="T541" t="str">
        <f>IF(OR($E541="",$S541=""),"",IFERROR(MAX(0,ROUND((INDEX(Config!$D$15:$D$18,MATCH($S541,Config!$B$15:$B$18,0))-$E541)*1440,0)),""))</f>
        <v/>
      </c>
      <c r="U541" s="13" t="str">
        <f>IF(OR($N541="",$T541=""),"",IFERROR(MAX(0,1-($N541+$T541+MAX(0,N($Q541)))/ROUND((INDEX(Config!$D$15:$D$18,MATCH($S541,Config!$B$15:$B$18,0))-INDEX(Config!$C$15:$C$18,MATCH($S541,Config!$B$15:$B$18,0)))*1440,0)),""))</f>
        <v/>
      </c>
      <c r="V541" s="5"/>
    </row>
    <row r="542" spans="1:22" x14ac:dyDescent="0.25">
      <c r="A542" s="11"/>
      <c r="B542" s="5"/>
      <c r="C542" s="6" t="str">
        <f>IFERROR(INDEX(Ejecutivos!$B$2:$B$100,MATCH(B542,Ejecutivos!$A$2:$A$100,0)),"")</f>
        <v/>
      </c>
      <c r="D542" s="12"/>
      <c r="E542" s="12"/>
      <c r="F542" s="12"/>
      <c r="G542" s="12"/>
      <c r="H542" s="5"/>
      <c r="I542" s="5"/>
      <c r="J542" s="5"/>
      <c r="K542" s="5"/>
      <c r="L542" s="18">
        <v>0</v>
      </c>
      <c r="M542" t="str">
        <f t="shared" si="35"/>
        <v/>
      </c>
      <c r="N542" t="str">
        <f>IF(OR($D542="",$S542=""),"",IFERROR(MAX(0,ROUND(($D542-INDEX(Config!$C$15:$C$18,MATCH($S542,Config!$B$15:$B$18,0)))*24*60,0)),""))</f>
        <v/>
      </c>
      <c r="O542" t="str">
        <f t="shared" si="36"/>
        <v/>
      </c>
      <c r="P542" t="str">
        <f t="shared" si="37"/>
        <v/>
      </c>
      <c r="Q542" t="str">
        <f>IF(OR($P542="",$S542=""),"",IFERROR($P542-INDEX(Config!$E$15:$E$18,MATCH($S542,Config!$B$15:$B$18,0)),""))</f>
        <v/>
      </c>
      <c r="R542" t="str">
        <f t="shared" si="38"/>
        <v/>
      </c>
      <c r="S542" s="6" t="str">
        <f>IF(OR($A542="",$C542=""),"",IFERROR(INDEX(Turno!$C$3:$V$32,MATCH($C542,Turno!$B$3:$B$32,0),MATCH(DAY($A542),Turno!$C$1:$V$1,0)),""))</f>
        <v/>
      </c>
      <c r="T542" t="str">
        <f>IF(OR($E542="",$S542=""),"",IFERROR(MAX(0,ROUND((INDEX(Config!$D$15:$D$18,MATCH($S542,Config!$B$15:$B$18,0))-$E542)*1440,0)),""))</f>
        <v/>
      </c>
      <c r="U542" s="13" t="str">
        <f>IF(OR($N542="",$T542=""),"",IFERROR(MAX(0,1-($N542+$T542+MAX(0,N($Q542)))/ROUND((INDEX(Config!$D$15:$D$18,MATCH($S542,Config!$B$15:$B$18,0))-INDEX(Config!$C$15:$C$18,MATCH($S542,Config!$B$15:$B$18,0)))*1440,0)),""))</f>
        <v/>
      </c>
      <c r="V542" s="5"/>
    </row>
    <row r="543" spans="1:22" x14ac:dyDescent="0.25">
      <c r="A543" s="11"/>
      <c r="B543" s="5"/>
      <c r="C543" s="6" t="str">
        <f>IFERROR(INDEX(Ejecutivos!$B$2:$B$100,MATCH(B543,Ejecutivos!$A$2:$A$100,0)),"")</f>
        <v/>
      </c>
      <c r="D543" s="12"/>
      <c r="E543" s="12"/>
      <c r="F543" s="12"/>
      <c r="G543" s="12"/>
      <c r="H543" s="5"/>
      <c r="I543" s="5"/>
      <c r="J543" s="5"/>
      <c r="K543" s="5"/>
      <c r="L543" s="18">
        <v>0</v>
      </c>
      <c r="M543" t="str">
        <f t="shared" si="35"/>
        <v/>
      </c>
      <c r="N543" t="str">
        <f>IF(OR($D543="",$S543=""),"",IFERROR(MAX(0,ROUND(($D543-INDEX(Config!$C$15:$C$18,MATCH($S543,Config!$B$15:$B$18,0)))*24*60,0)),""))</f>
        <v/>
      </c>
      <c r="O543" t="str">
        <f t="shared" si="36"/>
        <v/>
      </c>
      <c r="P543" t="str">
        <f t="shared" si="37"/>
        <v/>
      </c>
      <c r="Q543" t="str">
        <f>IF(OR($P543="",$S543=""),"",IFERROR($P543-INDEX(Config!$E$15:$E$18,MATCH($S543,Config!$B$15:$B$18,0)),""))</f>
        <v/>
      </c>
      <c r="R543" t="str">
        <f t="shared" si="38"/>
        <v/>
      </c>
      <c r="S543" s="6" t="str">
        <f>IF(OR($A543="",$C543=""),"",IFERROR(INDEX(Turno!$C$3:$V$32,MATCH($C543,Turno!$B$3:$B$32,0),MATCH(DAY($A543),Turno!$C$1:$V$1,0)),""))</f>
        <v/>
      </c>
      <c r="T543" t="str">
        <f>IF(OR($E543="",$S543=""),"",IFERROR(MAX(0,ROUND((INDEX(Config!$D$15:$D$18,MATCH($S543,Config!$B$15:$B$18,0))-$E543)*1440,0)),""))</f>
        <v/>
      </c>
      <c r="U543" s="13" t="str">
        <f>IF(OR($N543="",$T543=""),"",IFERROR(MAX(0,1-($N543+$T543+MAX(0,N($Q543)))/ROUND((INDEX(Config!$D$15:$D$18,MATCH($S543,Config!$B$15:$B$18,0))-INDEX(Config!$C$15:$C$18,MATCH($S543,Config!$B$15:$B$18,0)))*1440,0)),""))</f>
        <v/>
      </c>
      <c r="V543" s="5"/>
    </row>
    <row r="544" spans="1:22" x14ac:dyDescent="0.25">
      <c r="A544" s="11"/>
      <c r="B544" s="5"/>
      <c r="C544" s="6" t="str">
        <f>IFERROR(INDEX(Ejecutivos!$B$2:$B$100,MATCH(B544,Ejecutivos!$A$2:$A$100,0)),"")</f>
        <v/>
      </c>
      <c r="D544" s="12"/>
      <c r="E544" s="12"/>
      <c r="F544" s="12"/>
      <c r="G544" s="12"/>
      <c r="H544" s="5"/>
      <c r="I544" s="5"/>
      <c r="J544" s="5"/>
      <c r="K544" s="5"/>
      <c r="L544" s="18">
        <v>0</v>
      </c>
      <c r="M544" t="str">
        <f t="shared" si="35"/>
        <v/>
      </c>
      <c r="N544" t="str">
        <f>IF(OR($D544="",$S544=""),"",IFERROR(MAX(0,ROUND(($D544-INDEX(Config!$C$15:$C$18,MATCH($S544,Config!$B$15:$B$18,0)))*24*60,0)),""))</f>
        <v/>
      </c>
      <c r="O544" t="str">
        <f t="shared" si="36"/>
        <v/>
      </c>
      <c r="P544" t="str">
        <f t="shared" si="37"/>
        <v/>
      </c>
      <c r="Q544" t="str">
        <f>IF(OR($P544="",$S544=""),"",IFERROR($P544-INDEX(Config!$E$15:$E$18,MATCH($S544,Config!$B$15:$B$18,0)),""))</f>
        <v/>
      </c>
      <c r="R544" t="str">
        <f t="shared" si="38"/>
        <v/>
      </c>
      <c r="S544" s="6" t="str">
        <f>IF(OR($A544="",$C544=""),"",IFERROR(INDEX(Turno!$C$3:$V$32,MATCH($C544,Turno!$B$3:$B$32,0),MATCH(DAY($A544),Turno!$C$1:$V$1,0)),""))</f>
        <v/>
      </c>
      <c r="T544" t="str">
        <f>IF(OR($E544="",$S544=""),"",IFERROR(MAX(0,ROUND((INDEX(Config!$D$15:$D$18,MATCH($S544,Config!$B$15:$B$18,0))-$E544)*1440,0)),""))</f>
        <v/>
      </c>
      <c r="U544" s="13" t="str">
        <f>IF(OR($N544="",$T544=""),"",IFERROR(MAX(0,1-($N544+$T544+MAX(0,N($Q544)))/ROUND((INDEX(Config!$D$15:$D$18,MATCH($S544,Config!$B$15:$B$18,0))-INDEX(Config!$C$15:$C$18,MATCH($S544,Config!$B$15:$B$18,0)))*1440,0)),""))</f>
        <v/>
      </c>
      <c r="V544" s="5"/>
    </row>
    <row r="545" spans="1:22" x14ac:dyDescent="0.25">
      <c r="A545" s="11"/>
      <c r="B545" s="5"/>
      <c r="C545" s="6" t="str">
        <f>IFERROR(INDEX(Ejecutivos!$B$2:$B$100,MATCH(B545,Ejecutivos!$A$2:$A$100,0)),"")</f>
        <v/>
      </c>
      <c r="D545" s="12"/>
      <c r="E545" s="12"/>
      <c r="F545" s="12"/>
      <c r="G545" s="12"/>
      <c r="H545" s="5"/>
      <c r="I545" s="5"/>
      <c r="J545" s="5"/>
      <c r="K545" s="5"/>
      <c r="L545" s="18">
        <v>0</v>
      </c>
      <c r="M545" t="str">
        <f t="shared" si="35"/>
        <v/>
      </c>
      <c r="N545" t="str">
        <f>IF(OR($D545="",$S545=""),"",IFERROR(MAX(0,ROUND(($D545-INDEX(Config!$C$15:$C$18,MATCH($S545,Config!$B$15:$B$18,0)))*24*60,0)),""))</f>
        <v/>
      </c>
      <c r="O545" t="str">
        <f t="shared" si="36"/>
        <v/>
      </c>
      <c r="P545" t="str">
        <f t="shared" si="37"/>
        <v/>
      </c>
      <c r="Q545" t="str">
        <f>IF(OR($P545="",$S545=""),"",IFERROR($P545-INDEX(Config!$E$15:$E$18,MATCH($S545,Config!$B$15:$B$18,0)),""))</f>
        <v/>
      </c>
      <c r="R545" t="str">
        <f t="shared" si="38"/>
        <v/>
      </c>
      <c r="S545" s="6" t="str">
        <f>IF(OR($A545="",$C545=""),"",IFERROR(INDEX(Turno!$C$3:$V$32,MATCH($C545,Turno!$B$3:$B$32,0),MATCH(DAY($A545),Turno!$C$1:$V$1,0)),""))</f>
        <v/>
      </c>
      <c r="T545" t="str">
        <f>IF(OR($E545="",$S545=""),"",IFERROR(MAX(0,ROUND((INDEX(Config!$D$15:$D$18,MATCH($S545,Config!$B$15:$B$18,0))-$E545)*1440,0)),""))</f>
        <v/>
      </c>
      <c r="U545" s="13" t="str">
        <f>IF(OR($N545="",$T545=""),"",IFERROR(MAX(0,1-($N545+$T545+MAX(0,N($Q545)))/ROUND((INDEX(Config!$D$15:$D$18,MATCH($S545,Config!$B$15:$B$18,0))-INDEX(Config!$C$15:$C$18,MATCH($S545,Config!$B$15:$B$18,0)))*1440,0)),""))</f>
        <v/>
      </c>
      <c r="V545" s="5"/>
    </row>
    <row r="546" spans="1:22" x14ac:dyDescent="0.25">
      <c r="A546" s="11"/>
      <c r="B546" s="5"/>
      <c r="C546" s="6" t="str">
        <f>IFERROR(INDEX(Ejecutivos!$B$2:$B$100,MATCH(B546,Ejecutivos!$A$2:$A$100,0)),"")</f>
        <v/>
      </c>
      <c r="D546" s="12"/>
      <c r="E546" s="12"/>
      <c r="F546" s="12"/>
      <c r="G546" s="12"/>
      <c r="H546" s="5"/>
      <c r="I546" s="5"/>
      <c r="J546" s="5"/>
      <c r="K546" s="5"/>
      <c r="L546" s="18">
        <v>0</v>
      </c>
      <c r="M546" t="str">
        <f t="shared" si="35"/>
        <v/>
      </c>
      <c r="N546" t="str">
        <f>IF(OR($D546="",$S546=""),"",IFERROR(MAX(0,ROUND(($D546-INDEX(Config!$C$15:$C$18,MATCH($S546,Config!$B$15:$B$18,0)))*24*60,0)),""))</f>
        <v/>
      </c>
      <c r="O546" t="str">
        <f t="shared" si="36"/>
        <v/>
      </c>
      <c r="P546" t="str">
        <f t="shared" si="37"/>
        <v/>
      </c>
      <c r="Q546" t="str">
        <f>IF(OR($P546="",$S546=""),"",IFERROR($P546-INDEX(Config!$E$15:$E$18,MATCH($S546,Config!$B$15:$B$18,0)),""))</f>
        <v/>
      </c>
      <c r="R546" t="str">
        <f t="shared" si="38"/>
        <v/>
      </c>
      <c r="S546" s="6" t="str">
        <f>IF(OR($A546="",$C546=""),"",IFERROR(INDEX(Turno!$C$3:$V$32,MATCH($C546,Turno!$B$3:$B$32,0),MATCH(DAY($A546),Turno!$C$1:$V$1,0)),""))</f>
        <v/>
      </c>
      <c r="T546" t="str">
        <f>IF(OR($E546="",$S546=""),"",IFERROR(MAX(0,ROUND((INDEX(Config!$D$15:$D$18,MATCH($S546,Config!$B$15:$B$18,0))-$E546)*1440,0)),""))</f>
        <v/>
      </c>
      <c r="U546" s="13" t="str">
        <f>IF(OR($N546="",$T546=""),"",IFERROR(MAX(0,1-($N546+$T546+MAX(0,N($Q546)))/ROUND((INDEX(Config!$D$15:$D$18,MATCH($S546,Config!$B$15:$B$18,0))-INDEX(Config!$C$15:$C$18,MATCH($S546,Config!$B$15:$B$18,0)))*1440,0)),""))</f>
        <v/>
      </c>
      <c r="V546" s="5"/>
    </row>
    <row r="547" spans="1:22" x14ac:dyDescent="0.25">
      <c r="A547" s="11"/>
      <c r="B547" s="5"/>
      <c r="C547" s="6" t="str">
        <f>IFERROR(INDEX(Ejecutivos!$B$2:$B$100,MATCH(B547,Ejecutivos!$A$2:$A$100,0)),"")</f>
        <v/>
      </c>
      <c r="D547" s="12"/>
      <c r="E547" s="12"/>
      <c r="F547" s="12"/>
      <c r="G547" s="12"/>
      <c r="H547" s="5"/>
      <c r="I547" s="5"/>
      <c r="J547" s="5"/>
      <c r="K547" s="5"/>
      <c r="L547" s="18">
        <v>0</v>
      </c>
      <c r="M547" t="str">
        <f t="shared" si="35"/>
        <v/>
      </c>
      <c r="N547" t="str">
        <f>IF(OR($D547="",$S547=""),"",IFERROR(MAX(0,ROUND(($D547-INDEX(Config!$C$15:$C$18,MATCH($S547,Config!$B$15:$B$18,0)))*24*60,0)),""))</f>
        <v/>
      </c>
      <c r="O547" t="str">
        <f t="shared" si="36"/>
        <v/>
      </c>
      <c r="P547" t="str">
        <f t="shared" si="37"/>
        <v/>
      </c>
      <c r="Q547" t="str">
        <f>IF(OR($P547="",$S547=""),"",IFERROR($P547-INDEX(Config!$E$15:$E$18,MATCH($S547,Config!$B$15:$B$18,0)),""))</f>
        <v/>
      </c>
      <c r="R547" t="str">
        <f t="shared" si="38"/>
        <v/>
      </c>
      <c r="S547" s="6" t="str">
        <f>IF(OR($A547="",$C547=""),"",IFERROR(INDEX(Turno!$C$3:$V$32,MATCH($C547,Turno!$B$3:$B$32,0),MATCH(DAY($A547),Turno!$C$1:$V$1,0)),""))</f>
        <v/>
      </c>
      <c r="T547" t="str">
        <f>IF(OR($E547="",$S547=""),"",IFERROR(MAX(0,ROUND((INDEX(Config!$D$15:$D$18,MATCH($S547,Config!$B$15:$B$18,0))-$E547)*1440,0)),""))</f>
        <v/>
      </c>
      <c r="U547" s="13" t="str">
        <f>IF(OR($N547="",$T547=""),"",IFERROR(MAX(0,1-($N547+$T547+MAX(0,N($Q547)))/ROUND((INDEX(Config!$D$15:$D$18,MATCH($S547,Config!$B$15:$B$18,0))-INDEX(Config!$C$15:$C$18,MATCH($S547,Config!$B$15:$B$18,0)))*1440,0)),""))</f>
        <v/>
      </c>
      <c r="V547" s="5"/>
    </row>
    <row r="548" spans="1:22" x14ac:dyDescent="0.25">
      <c r="A548" s="11"/>
      <c r="B548" s="5"/>
      <c r="C548" s="6" t="str">
        <f>IFERROR(INDEX(Ejecutivos!$B$2:$B$100,MATCH(B548,Ejecutivos!$A$2:$A$100,0)),"")</f>
        <v/>
      </c>
      <c r="D548" s="12"/>
      <c r="E548" s="12"/>
      <c r="F548" s="12"/>
      <c r="G548" s="12"/>
      <c r="H548" s="5"/>
      <c r="I548" s="5"/>
      <c r="J548" s="5"/>
      <c r="K548" s="5"/>
      <c r="L548" s="18">
        <v>0</v>
      </c>
      <c r="M548" t="str">
        <f t="shared" si="35"/>
        <v/>
      </c>
      <c r="N548" t="str">
        <f>IF(OR($D548="",$S548=""),"",IFERROR(MAX(0,ROUND(($D548-INDEX(Config!$C$15:$C$18,MATCH($S548,Config!$B$15:$B$18,0)))*24*60,0)),""))</f>
        <v/>
      </c>
      <c r="O548" t="str">
        <f t="shared" si="36"/>
        <v/>
      </c>
      <c r="P548" t="str">
        <f t="shared" si="37"/>
        <v/>
      </c>
      <c r="Q548" t="str">
        <f>IF(OR($P548="",$S548=""),"",IFERROR($P548-INDEX(Config!$E$15:$E$18,MATCH($S548,Config!$B$15:$B$18,0)),""))</f>
        <v/>
      </c>
      <c r="R548" t="str">
        <f t="shared" si="38"/>
        <v/>
      </c>
      <c r="S548" s="6" t="str">
        <f>IF(OR($A548="",$C548=""),"",IFERROR(INDEX(Turno!$C$3:$V$32,MATCH($C548,Turno!$B$3:$B$32,0),MATCH(DAY($A548),Turno!$C$1:$V$1,0)),""))</f>
        <v/>
      </c>
      <c r="T548" t="str">
        <f>IF(OR($E548="",$S548=""),"",IFERROR(MAX(0,ROUND((INDEX(Config!$D$15:$D$18,MATCH($S548,Config!$B$15:$B$18,0))-$E548)*1440,0)),""))</f>
        <v/>
      </c>
      <c r="U548" s="13" t="str">
        <f>IF(OR($N548="",$T548=""),"",IFERROR(MAX(0,1-($N548+$T548+MAX(0,N($Q548)))/ROUND((INDEX(Config!$D$15:$D$18,MATCH($S548,Config!$B$15:$B$18,0))-INDEX(Config!$C$15:$C$18,MATCH($S548,Config!$B$15:$B$18,0)))*1440,0)),""))</f>
        <v/>
      </c>
      <c r="V548" s="5"/>
    </row>
    <row r="549" spans="1:22" x14ac:dyDescent="0.25">
      <c r="A549" s="11"/>
      <c r="B549" s="5"/>
      <c r="C549" s="6" t="str">
        <f>IFERROR(INDEX(Ejecutivos!$B$2:$B$100,MATCH(B549,Ejecutivos!$A$2:$A$100,0)),"")</f>
        <v/>
      </c>
      <c r="D549" s="12"/>
      <c r="E549" s="12"/>
      <c r="F549" s="12"/>
      <c r="G549" s="12"/>
      <c r="H549" s="5"/>
      <c r="I549" s="5"/>
      <c r="J549" s="5"/>
      <c r="K549" s="5"/>
      <c r="L549" s="18">
        <v>0</v>
      </c>
      <c r="M549" t="str">
        <f t="shared" si="35"/>
        <v/>
      </c>
      <c r="N549" t="str">
        <f>IF(OR($D549="",$S549=""),"",IFERROR(MAX(0,ROUND(($D549-INDEX(Config!$C$15:$C$18,MATCH($S549,Config!$B$15:$B$18,0)))*24*60,0)),""))</f>
        <v/>
      </c>
      <c r="O549" t="str">
        <f t="shared" si="36"/>
        <v/>
      </c>
      <c r="P549" t="str">
        <f t="shared" si="37"/>
        <v/>
      </c>
      <c r="Q549" t="str">
        <f>IF(OR($P549="",$S549=""),"",IFERROR($P549-INDEX(Config!$E$15:$E$18,MATCH($S549,Config!$B$15:$B$18,0)),""))</f>
        <v/>
      </c>
      <c r="R549" t="str">
        <f t="shared" si="38"/>
        <v/>
      </c>
      <c r="S549" s="6" t="str">
        <f>IF(OR($A549="",$C549=""),"",IFERROR(INDEX(Turno!$C$3:$V$32,MATCH($C549,Turno!$B$3:$B$32,0),MATCH(DAY($A549),Turno!$C$1:$V$1,0)),""))</f>
        <v/>
      </c>
      <c r="T549" t="str">
        <f>IF(OR($E549="",$S549=""),"",IFERROR(MAX(0,ROUND((INDEX(Config!$D$15:$D$18,MATCH($S549,Config!$B$15:$B$18,0))-$E549)*1440,0)),""))</f>
        <v/>
      </c>
      <c r="U549" s="13" t="str">
        <f>IF(OR($N549="",$T549=""),"",IFERROR(MAX(0,1-($N549+$T549+MAX(0,N($Q549)))/ROUND((INDEX(Config!$D$15:$D$18,MATCH($S549,Config!$B$15:$B$18,0))-INDEX(Config!$C$15:$C$18,MATCH($S549,Config!$B$15:$B$18,0)))*1440,0)),""))</f>
        <v/>
      </c>
      <c r="V549" s="5"/>
    </row>
    <row r="550" spans="1:22" x14ac:dyDescent="0.25">
      <c r="A550" s="11"/>
      <c r="B550" s="5"/>
      <c r="C550" s="6" t="str">
        <f>IFERROR(INDEX(Ejecutivos!$B$2:$B$100,MATCH(B550,Ejecutivos!$A$2:$A$100,0)),"")</f>
        <v/>
      </c>
      <c r="D550" s="12"/>
      <c r="E550" s="12"/>
      <c r="F550" s="12"/>
      <c r="G550" s="12"/>
      <c r="H550" s="5"/>
      <c r="I550" s="5"/>
      <c r="J550" s="5"/>
      <c r="K550" s="5"/>
      <c r="L550" s="18">
        <v>0</v>
      </c>
      <c r="M550" t="str">
        <f t="shared" si="35"/>
        <v/>
      </c>
      <c r="N550" t="str">
        <f>IF(OR($D550="",$S550=""),"",IFERROR(MAX(0,ROUND(($D550-INDEX(Config!$C$15:$C$18,MATCH($S550,Config!$B$15:$B$18,0)))*24*60,0)),""))</f>
        <v/>
      </c>
      <c r="O550" t="str">
        <f t="shared" si="36"/>
        <v/>
      </c>
      <c r="P550" t="str">
        <f t="shared" si="37"/>
        <v/>
      </c>
      <c r="Q550" t="str">
        <f>IF(OR($P550="",$S550=""),"",IFERROR($P550-INDEX(Config!$E$15:$E$18,MATCH($S550,Config!$B$15:$B$18,0)),""))</f>
        <v/>
      </c>
      <c r="R550" t="str">
        <f t="shared" si="38"/>
        <v/>
      </c>
      <c r="S550" s="6" t="str">
        <f>IF(OR($A550="",$C550=""),"",IFERROR(INDEX(Turno!$C$3:$V$32,MATCH($C550,Turno!$B$3:$B$32,0),MATCH(DAY($A550),Turno!$C$1:$V$1,0)),""))</f>
        <v/>
      </c>
      <c r="T550" t="str">
        <f>IF(OR($E550="",$S550=""),"",IFERROR(MAX(0,ROUND((INDEX(Config!$D$15:$D$18,MATCH($S550,Config!$B$15:$B$18,0))-$E550)*1440,0)),""))</f>
        <v/>
      </c>
      <c r="U550" s="13" t="str">
        <f>IF(OR($N550="",$T550=""),"",IFERROR(MAX(0,1-($N550+$T550+MAX(0,N($Q550)))/ROUND((INDEX(Config!$D$15:$D$18,MATCH($S550,Config!$B$15:$B$18,0))-INDEX(Config!$C$15:$C$18,MATCH($S550,Config!$B$15:$B$18,0)))*1440,0)),""))</f>
        <v/>
      </c>
      <c r="V550" s="5"/>
    </row>
    <row r="551" spans="1:22" x14ac:dyDescent="0.25">
      <c r="A551" s="11"/>
      <c r="B551" s="5"/>
      <c r="C551" s="6" t="str">
        <f>IFERROR(INDEX(Ejecutivos!$B$2:$B$100,MATCH(B551,Ejecutivos!$A$2:$A$100,0)),"")</f>
        <v/>
      </c>
      <c r="D551" s="12"/>
      <c r="E551" s="12"/>
      <c r="F551" s="12"/>
      <c r="G551" s="12"/>
      <c r="H551" s="5"/>
      <c r="I551" s="5"/>
      <c r="J551" s="5"/>
      <c r="K551" s="5"/>
      <c r="L551" s="18">
        <v>0</v>
      </c>
      <c r="M551" t="str">
        <f t="shared" si="35"/>
        <v/>
      </c>
      <c r="N551" t="str">
        <f>IF(OR($D551="",$S551=""),"",IFERROR(MAX(0,ROUND(($D551-INDEX(Config!$C$15:$C$18,MATCH($S551,Config!$B$15:$B$18,0)))*24*60,0)),""))</f>
        <v/>
      </c>
      <c r="O551" t="str">
        <f t="shared" si="36"/>
        <v/>
      </c>
      <c r="P551" t="str">
        <f t="shared" si="37"/>
        <v/>
      </c>
      <c r="Q551" t="str">
        <f>IF(OR($P551="",$S551=""),"",IFERROR($P551-INDEX(Config!$E$15:$E$18,MATCH($S551,Config!$B$15:$B$18,0)),""))</f>
        <v/>
      </c>
      <c r="R551" t="str">
        <f t="shared" si="38"/>
        <v/>
      </c>
      <c r="S551" s="6" t="str">
        <f>IF(OR($A551="",$C551=""),"",IFERROR(INDEX(Turno!$C$3:$V$32,MATCH($C551,Turno!$B$3:$B$32,0),MATCH(DAY($A551),Turno!$C$1:$V$1,0)),""))</f>
        <v/>
      </c>
      <c r="T551" t="str">
        <f>IF(OR($E551="",$S551=""),"",IFERROR(MAX(0,ROUND((INDEX(Config!$D$15:$D$18,MATCH($S551,Config!$B$15:$B$18,0))-$E551)*1440,0)),""))</f>
        <v/>
      </c>
      <c r="U551" s="13" t="str">
        <f>IF(OR($N551="",$T551=""),"",IFERROR(MAX(0,1-($N551+$T551+MAX(0,N($Q551)))/ROUND((INDEX(Config!$D$15:$D$18,MATCH($S551,Config!$B$15:$B$18,0))-INDEX(Config!$C$15:$C$18,MATCH($S551,Config!$B$15:$B$18,0)))*1440,0)),""))</f>
        <v/>
      </c>
      <c r="V551" s="5"/>
    </row>
    <row r="552" spans="1:22" x14ac:dyDescent="0.25">
      <c r="A552" s="11"/>
      <c r="B552" s="5"/>
      <c r="C552" s="6" t="str">
        <f>IFERROR(INDEX(Ejecutivos!$B$2:$B$100,MATCH(B552,Ejecutivos!$A$2:$A$100,0)),"")</f>
        <v/>
      </c>
      <c r="D552" s="12"/>
      <c r="E552" s="12"/>
      <c r="F552" s="12"/>
      <c r="G552" s="12"/>
      <c r="H552" s="5"/>
      <c r="I552" s="5"/>
      <c r="J552" s="5"/>
      <c r="K552" s="5"/>
      <c r="L552" s="18">
        <v>0</v>
      </c>
      <c r="M552" t="str">
        <f t="shared" si="35"/>
        <v/>
      </c>
      <c r="N552" t="str">
        <f>IF(OR($D552="",$S552=""),"",IFERROR(MAX(0,ROUND(($D552-INDEX(Config!$C$15:$C$18,MATCH($S552,Config!$B$15:$B$18,0)))*24*60,0)),""))</f>
        <v/>
      </c>
      <c r="O552" t="str">
        <f t="shared" si="36"/>
        <v/>
      </c>
      <c r="P552" t="str">
        <f t="shared" si="37"/>
        <v/>
      </c>
      <c r="Q552" t="str">
        <f>IF(OR($P552="",$S552=""),"",IFERROR($P552-INDEX(Config!$E$15:$E$18,MATCH($S552,Config!$B$15:$B$18,0)),""))</f>
        <v/>
      </c>
      <c r="R552" t="str">
        <f t="shared" si="38"/>
        <v/>
      </c>
      <c r="S552" s="6" t="str">
        <f>IF(OR($A552="",$C552=""),"",IFERROR(INDEX(Turno!$C$3:$V$32,MATCH($C552,Turno!$B$3:$B$32,0),MATCH(DAY($A552),Turno!$C$1:$V$1,0)),""))</f>
        <v/>
      </c>
      <c r="T552" t="str">
        <f>IF(OR($E552="",$S552=""),"",IFERROR(MAX(0,ROUND((INDEX(Config!$D$15:$D$18,MATCH($S552,Config!$B$15:$B$18,0))-$E552)*1440,0)),""))</f>
        <v/>
      </c>
      <c r="U552" s="13" t="str">
        <f>IF(OR($N552="",$T552=""),"",IFERROR(MAX(0,1-($N552+$T552+MAX(0,N($Q552)))/ROUND((INDEX(Config!$D$15:$D$18,MATCH($S552,Config!$B$15:$B$18,0))-INDEX(Config!$C$15:$C$18,MATCH($S552,Config!$B$15:$B$18,0)))*1440,0)),""))</f>
        <v/>
      </c>
      <c r="V552" s="5"/>
    </row>
    <row r="553" spans="1:22" x14ac:dyDescent="0.25">
      <c r="A553" s="11"/>
      <c r="B553" s="5"/>
      <c r="C553" s="6" t="str">
        <f>IFERROR(INDEX(Ejecutivos!$B$2:$B$100,MATCH(B553,Ejecutivos!$A$2:$A$100,0)),"")</f>
        <v/>
      </c>
      <c r="D553" s="12"/>
      <c r="E553" s="12"/>
      <c r="F553" s="12"/>
      <c r="G553" s="12"/>
      <c r="H553" s="5"/>
      <c r="I553" s="5"/>
      <c r="J553" s="5"/>
      <c r="K553" s="5"/>
      <c r="L553" s="18">
        <v>0</v>
      </c>
      <c r="M553" t="str">
        <f t="shared" si="35"/>
        <v/>
      </c>
      <c r="N553" t="str">
        <f>IF(OR($D553="",$S553=""),"",IFERROR(MAX(0,ROUND(($D553-INDEX(Config!$C$15:$C$18,MATCH($S553,Config!$B$15:$B$18,0)))*24*60,0)),""))</f>
        <v/>
      </c>
      <c r="O553" t="str">
        <f t="shared" si="36"/>
        <v/>
      </c>
      <c r="P553" t="str">
        <f t="shared" si="37"/>
        <v/>
      </c>
      <c r="Q553" t="str">
        <f>IF(OR($P553="",$S553=""),"",IFERROR($P553-INDEX(Config!$E$15:$E$18,MATCH($S553,Config!$B$15:$B$18,0)),""))</f>
        <v/>
      </c>
      <c r="R553" t="str">
        <f t="shared" si="38"/>
        <v/>
      </c>
      <c r="S553" s="6" t="str">
        <f>IF(OR($A553="",$C553=""),"",IFERROR(INDEX(Turno!$C$3:$V$32,MATCH($C553,Turno!$B$3:$B$32,0),MATCH(DAY($A553),Turno!$C$1:$V$1,0)),""))</f>
        <v/>
      </c>
      <c r="T553" t="str">
        <f>IF(OR($E553="",$S553=""),"",IFERROR(MAX(0,ROUND((INDEX(Config!$D$15:$D$18,MATCH($S553,Config!$B$15:$B$18,0))-$E553)*1440,0)),""))</f>
        <v/>
      </c>
      <c r="U553" s="13" t="str">
        <f>IF(OR($N553="",$T553=""),"",IFERROR(MAX(0,1-($N553+$T553+MAX(0,N($Q553)))/ROUND((INDEX(Config!$D$15:$D$18,MATCH($S553,Config!$B$15:$B$18,0))-INDEX(Config!$C$15:$C$18,MATCH($S553,Config!$B$15:$B$18,0)))*1440,0)),""))</f>
        <v/>
      </c>
      <c r="V553" s="5"/>
    </row>
    <row r="554" spans="1:22" x14ac:dyDescent="0.25">
      <c r="A554" s="11"/>
      <c r="B554" s="5"/>
      <c r="C554" s="6" t="str">
        <f>IFERROR(INDEX(Ejecutivos!$B$2:$B$100,MATCH(B554,Ejecutivos!$A$2:$A$100,0)),"")</f>
        <v/>
      </c>
      <c r="D554" s="12"/>
      <c r="E554" s="12"/>
      <c r="F554" s="12"/>
      <c r="G554" s="12"/>
      <c r="H554" s="5"/>
      <c r="I554" s="5"/>
      <c r="J554" s="5"/>
      <c r="K554" s="5"/>
      <c r="L554" s="18">
        <v>0</v>
      </c>
      <c r="M554" t="str">
        <f t="shared" si="35"/>
        <v/>
      </c>
      <c r="N554" t="str">
        <f>IF(OR($D554="",$S554=""),"",IFERROR(MAX(0,ROUND(($D554-INDEX(Config!$C$15:$C$18,MATCH($S554,Config!$B$15:$B$18,0)))*24*60,0)),""))</f>
        <v/>
      </c>
      <c r="O554" t="str">
        <f t="shared" si="36"/>
        <v/>
      </c>
      <c r="P554" t="str">
        <f t="shared" si="37"/>
        <v/>
      </c>
      <c r="Q554" t="str">
        <f>IF(OR($P554="",$S554=""),"",IFERROR($P554-INDEX(Config!$E$15:$E$18,MATCH($S554,Config!$B$15:$B$18,0)),""))</f>
        <v/>
      </c>
      <c r="R554" t="str">
        <f t="shared" si="38"/>
        <v/>
      </c>
      <c r="S554" s="6" t="str">
        <f>IF(OR($A554="",$C554=""),"",IFERROR(INDEX(Turno!$C$3:$V$32,MATCH($C554,Turno!$B$3:$B$32,0),MATCH(DAY($A554),Turno!$C$1:$V$1,0)),""))</f>
        <v/>
      </c>
      <c r="T554" t="str">
        <f>IF(OR($E554="",$S554=""),"",IFERROR(MAX(0,ROUND((INDEX(Config!$D$15:$D$18,MATCH($S554,Config!$B$15:$B$18,0))-$E554)*1440,0)),""))</f>
        <v/>
      </c>
      <c r="U554" s="13" t="str">
        <f>IF(OR($N554="",$T554=""),"",IFERROR(MAX(0,1-($N554+$T554+MAX(0,N($Q554)))/ROUND((INDEX(Config!$D$15:$D$18,MATCH($S554,Config!$B$15:$B$18,0))-INDEX(Config!$C$15:$C$18,MATCH($S554,Config!$B$15:$B$18,0)))*1440,0)),""))</f>
        <v/>
      </c>
      <c r="V554" s="5"/>
    </row>
    <row r="555" spans="1:22" x14ac:dyDescent="0.25">
      <c r="A555" s="11"/>
      <c r="B555" s="5"/>
      <c r="C555" s="6" t="str">
        <f>IFERROR(INDEX(Ejecutivos!$B$2:$B$100,MATCH(B555,Ejecutivos!$A$2:$A$100,0)),"")</f>
        <v/>
      </c>
      <c r="D555" s="12"/>
      <c r="E555" s="12"/>
      <c r="F555" s="12"/>
      <c r="G555" s="12"/>
      <c r="H555" s="5"/>
      <c r="I555" s="5"/>
      <c r="J555" s="5"/>
      <c r="K555" s="5"/>
      <c r="L555" s="18">
        <v>0</v>
      </c>
      <c r="M555" t="str">
        <f t="shared" si="35"/>
        <v/>
      </c>
      <c r="N555" t="str">
        <f>IF(OR($D555="",$S555=""),"",IFERROR(MAX(0,ROUND(($D555-INDEX(Config!$C$15:$C$18,MATCH($S555,Config!$B$15:$B$18,0)))*24*60,0)),""))</f>
        <v/>
      </c>
      <c r="O555" t="str">
        <f t="shared" si="36"/>
        <v/>
      </c>
      <c r="P555" t="str">
        <f t="shared" si="37"/>
        <v/>
      </c>
      <c r="Q555" t="str">
        <f>IF(OR($P555="",$S555=""),"",IFERROR($P555-INDEX(Config!$E$15:$E$18,MATCH($S555,Config!$B$15:$B$18,0)),""))</f>
        <v/>
      </c>
      <c r="R555" t="str">
        <f t="shared" si="38"/>
        <v/>
      </c>
      <c r="S555" s="6" t="str">
        <f>IF(OR($A555="",$C555=""),"",IFERROR(INDEX(Turno!$C$3:$V$32,MATCH($C555,Turno!$B$3:$B$32,0),MATCH(DAY($A555),Turno!$C$1:$V$1,0)),""))</f>
        <v/>
      </c>
      <c r="T555" t="str">
        <f>IF(OR($E555="",$S555=""),"",IFERROR(MAX(0,ROUND((INDEX(Config!$D$15:$D$18,MATCH($S555,Config!$B$15:$B$18,0))-$E555)*1440,0)),""))</f>
        <v/>
      </c>
      <c r="U555" s="13" t="str">
        <f>IF(OR($N555="",$T555=""),"",IFERROR(MAX(0,1-($N555+$T555+MAX(0,N($Q555)))/ROUND((INDEX(Config!$D$15:$D$18,MATCH($S555,Config!$B$15:$B$18,0))-INDEX(Config!$C$15:$C$18,MATCH($S555,Config!$B$15:$B$18,0)))*1440,0)),""))</f>
        <v/>
      </c>
      <c r="V555" s="5"/>
    </row>
    <row r="556" spans="1:22" x14ac:dyDescent="0.25">
      <c r="A556" s="11"/>
      <c r="B556" s="5"/>
      <c r="C556" s="6" t="str">
        <f>IFERROR(INDEX(Ejecutivos!$B$2:$B$100,MATCH(B556,Ejecutivos!$A$2:$A$100,0)),"")</f>
        <v/>
      </c>
      <c r="D556" s="12"/>
      <c r="E556" s="12"/>
      <c r="F556" s="12"/>
      <c r="G556" s="12"/>
      <c r="H556" s="5"/>
      <c r="I556" s="5"/>
      <c r="J556" s="5"/>
      <c r="K556" s="5"/>
      <c r="L556" s="18">
        <v>0</v>
      </c>
      <c r="M556" t="str">
        <f t="shared" si="35"/>
        <v/>
      </c>
      <c r="N556" t="str">
        <f>IF(OR($D556="",$S556=""),"",IFERROR(MAX(0,ROUND(($D556-INDEX(Config!$C$15:$C$18,MATCH($S556,Config!$B$15:$B$18,0)))*24*60,0)),""))</f>
        <v/>
      </c>
      <c r="O556" t="str">
        <f t="shared" si="36"/>
        <v/>
      </c>
      <c r="P556" t="str">
        <f t="shared" si="37"/>
        <v/>
      </c>
      <c r="Q556" t="str">
        <f>IF(OR($P556="",$S556=""),"",IFERROR($P556-INDEX(Config!$E$15:$E$18,MATCH($S556,Config!$B$15:$B$18,0)),""))</f>
        <v/>
      </c>
      <c r="R556" t="str">
        <f t="shared" si="38"/>
        <v/>
      </c>
      <c r="S556" s="6" t="str">
        <f>IF(OR($A556="",$C556=""),"",IFERROR(INDEX(Turno!$C$3:$V$32,MATCH($C556,Turno!$B$3:$B$32,0),MATCH(DAY($A556),Turno!$C$1:$V$1,0)),""))</f>
        <v/>
      </c>
      <c r="T556" t="str">
        <f>IF(OR($E556="",$S556=""),"",IFERROR(MAX(0,ROUND((INDEX(Config!$D$15:$D$18,MATCH($S556,Config!$B$15:$B$18,0))-$E556)*1440,0)),""))</f>
        <v/>
      </c>
      <c r="U556" s="13" t="str">
        <f>IF(OR($N556="",$T556=""),"",IFERROR(MAX(0,1-($N556+$T556+MAX(0,N($Q556)))/ROUND((INDEX(Config!$D$15:$D$18,MATCH($S556,Config!$B$15:$B$18,0))-INDEX(Config!$C$15:$C$18,MATCH($S556,Config!$B$15:$B$18,0)))*1440,0)),""))</f>
        <v/>
      </c>
      <c r="V556" s="5"/>
    </row>
    <row r="557" spans="1:22" x14ac:dyDescent="0.25">
      <c r="A557" s="11"/>
      <c r="B557" s="5"/>
      <c r="C557" s="6" t="str">
        <f>IFERROR(INDEX(Ejecutivos!$B$2:$B$100,MATCH(B557,Ejecutivos!$A$2:$A$100,0)),"")</f>
        <v/>
      </c>
      <c r="D557" s="12"/>
      <c r="E557" s="12"/>
      <c r="F557" s="12"/>
      <c r="G557" s="12"/>
      <c r="H557" s="5"/>
      <c r="I557" s="5"/>
      <c r="J557" s="5"/>
      <c r="K557" s="5"/>
      <c r="L557" s="18">
        <v>0</v>
      </c>
      <c r="M557" t="str">
        <f t="shared" si="35"/>
        <v/>
      </c>
      <c r="N557" t="str">
        <f>IF(OR($D557="",$S557=""),"",IFERROR(MAX(0,ROUND(($D557-INDEX(Config!$C$15:$C$18,MATCH($S557,Config!$B$15:$B$18,0)))*24*60,0)),""))</f>
        <v/>
      </c>
      <c r="O557" t="str">
        <f t="shared" si="36"/>
        <v/>
      </c>
      <c r="P557" t="str">
        <f t="shared" si="37"/>
        <v/>
      </c>
      <c r="Q557" t="str">
        <f>IF(OR($P557="",$S557=""),"",IFERROR($P557-INDEX(Config!$E$15:$E$18,MATCH($S557,Config!$B$15:$B$18,0)),""))</f>
        <v/>
      </c>
      <c r="R557" t="str">
        <f t="shared" si="38"/>
        <v/>
      </c>
      <c r="S557" s="6" t="str">
        <f>IF(OR($A557="",$C557=""),"",IFERROR(INDEX(Turno!$C$3:$V$32,MATCH($C557,Turno!$B$3:$B$32,0),MATCH(DAY($A557),Turno!$C$1:$V$1,0)),""))</f>
        <v/>
      </c>
      <c r="T557" t="str">
        <f>IF(OR($E557="",$S557=""),"",IFERROR(MAX(0,ROUND((INDEX(Config!$D$15:$D$18,MATCH($S557,Config!$B$15:$B$18,0))-$E557)*1440,0)),""))</f>
        <v/>
      </c>
      <c r="U557" s="13" t="str">
        <f>IF(OR($N557="",$T557=""),"",IFERROR(MAX(0,1-($N557+$T557+MAX(0,N($Q557)))/ROUND((INDEX(Config!$D$15:$D$18,MATCH($S557,Config!$B$15:$B$18,0))-INDEX(Config!$C$15:$C$18,MATCH($S557,Config!$B$15:$B$18,0)))*1440,0)),""))</f>
        <v/>
      </c>
      <c r="V557" s="5"/>
    </row>
    <row r="558" spans="1:22" x14ac:dyDescent="0.25">
      <c r="A558" s="11"/>
      <c r="B558" s="5"/>
      <c r="C558" s="6" t="str">
        <f>IFERROR(INDEX(Ejecutivos!$B$2:$B$100,MATCH(B558,Ejecutivos!$A$2:$A$100,0)),"")</f>
        <v/>
      </c>
      <c r="D558" s="12"/>
      <c r="E558" s="12"/>
      <c r="F558" s="12"/>
      <c r="G558" s="12"/>
      <c r="H558" s="5"/>
      <c r="I558" s="5"/>
      <c r="J558" s="5"/>
      <c r="K558" s="5"/>
      <c r="L558" s="18">
        <v>0</v>
      </c>
      <c r="M558" t="str">
        <f t="shared" si="35"/>
        <v/>
      </c>
      <c r="N558" t="str">
        <f>IF(OR($D558="",$S558=""),"",IFERROR(MAX(0,ROUND(($D558-INDEX(Config!$C$15:$C$18,MATCH($S558,Config!$B$15:$B$18,0)))*24*60,0)),""))</f>
        <v/>
      </c>
      <c r="O558" t="str">
        <f t="shared" si="36"/>
        <v/>
      </c>
      <c r="P558" t="str">
        <f t="shared" si="37"/>
        <v/>
      </c>
      <c r="Q558" t="str">
        <f>IF(OR($P558="",$S558=""),"",IFERROR($P558-INDEX(Config!$E$15:$E$18,MATCH($S558,Config!$B$15:$B$18,0)),""))</f>
        <v/>
      </c>
      <c r="R558" t="str">
        <f t="shared" si="38"/>
        <v/>
      </c>
      <c r="S558" s="6" t="str">
        <f>IF(OR($A558="",$C558=""),"",IFERROR(INDEX(Turno!$C$3:$V$32,MATCH($C558,Turno!$B$3:$B$32,0),MATCH(DAY($A558),Turno!$C$1:$V$1,0)),""))</f>
        <v/>
      </c>
      <c r="T558" t="str">
        <f>IF(OR($E558="",$S558=""),"",IFERROR(MAX(0,ROUND((INDEX(Config!$D$15:$D$18,MATCH($S558,Config!$B$15:$B$18,0))-$E558)*1440,0)),""))</f>
        <v/>
      </c>
      <c r="U558" s="13" t="str">
        <f>IF(OR($N558="",$T558=""),"",IFERROR(MAX(0,1-($N558+$T558+MAX(0,N($Q558)))/ROUND((INDEX(Config!$D$15:$D$18,MATCH($S558,Config!$B$15:$B$18,0))-INDEX(Config!$C$15:$C$18,MATCH($S558,Config!$B$15:$B$18,0)))*1440,0)),""))</f>
        <v/>
      </c>
      <c r="V558" s="5"/>
    </row>
    <row r="559" spans="1:22" x14ac:dyDescent="0.25">
      <c r="A559" s="11"/>
      <c r="B559" s="5"/>
      <c r="C559" s="6" t="str">
        <f>IFERROR(INDEX(Ejecutivos!$B$2:$B$100,MATCH(B559,Ejecutivos!$A$2:$A$100,0)),"")</f>
        <v/>
      </c>
      <c r="D559" s="12"/>
      <c r="E559" s="12"/>
      <c r="F559" s="12"/>
      <c r="G559" s="12"/>
      <c r="H559" s="5"/>
      <c r="I559" s="5"/>
      <c r="J559" s="5"/>
      <c r="K559" s="5"/>
      <c r="L559" s="18">
        <v>0</v>
      </c>
      <c r="M559" t="str">
        <f t="shared" si="35"/>
        <v/>
      </c>
      <c r="N559" t="str">
        <f>IF(OR($D559="",$S559=""),"",IFERROR(MAX(0,ROUND(($D559-INDEX(Config!$C$15:$C$18,MATCH($S559,Config!$B$15:$B$18,0)))*24*60,0)),""))</f>
        <v/>
      </c>
      <c r="O559" t="str">
        <f t="shared" si="36"/>
        <v/>
      </c>
      <c r="P559" t="str">
        <f t="shared" si="37"/>
        <v/>
      </c>
      <c r="Q559" t="str">
        <f>IF(OR($P559="",$S559=""),"",IFERROR($P559-INDEX(Config!$E$15:$E$18,MATCH($S559,Config!$B$15:$B$18,0)),""))</f>
        <v/>
      </c>
      <c r="R559" t="str">
        <f t="shared" si="38"/>
        <v/>
      </c>
      <c r="S559" s="6" t="str">
        <f>IF(OR($A559="",$C559=""),"",IFERROR(INDEX(Turno!$C$3:$V$32,MATCH($C559,Turno!$B$3:$B$32,0),MATCH(DAY($A559),Turno!$C$1:$V$1,0)),""))</f>
        <v/>
      </c>
      <c r="T559" t="str">
        <f>IF(OR($E559="",$S559=""),"",IFERROR(MAX(0,ROUND((INDEX(Config!$D$15:$D$18,MATCH($S559,Config!$B$15:$B$18,0))-$E559)*1440,0)),""))</f>
        <v/>
      </c>
      <c r="U559" s="13" t="str">
        <f>IF(OR($N559="",$T559=""),"",IFERROR(MAX(0,1-($N559+$T559+MAX(0,N($Q559)))/ROUND((INDEX(Config!$D$15:$D$18,MATCH($S559,Config!$B$15:$B$18,0))-INDEX(Config!$C$15:$C$18,MATCH($S559,Config!$B$15:$B$18,0)))*1440,0)),""))</f>
        <v/>
      </c>
      <c r="V559" s="5"/>
    </row>
    <row r="560" spans="1:22" x14ac:dyDescent="0.25">
      <c r="A560" s="11"/>
      <c r="B560" s="5"/>
      <c r="C560" s="6" t="str">
        <f>IFERROR(INDEX(Ejecutivos!$B$2:$B$100,MATCH(B560,Ejecutivos!$A$2:$A$100,0)),"")</f>
        <v/>
      </c>
      <c r="D560" s="12"/>
      <c r="E560" s="12"/>
      <c r="F560" s="12"/>
      <c r="G560" s="12"/>
      <c r="H560" s="5"/>
      <c r="I560" s="5"/>
      <c r="J560" s="5"/>
      <c r="K560" s="5"/>
      <c r="L560" s="18">
        <v>0</v>
      </c>
      <c r="M560" t="str">
        <f t="shared" si="35"/>
        <v/>
      </c>
      <c r="N560" t="str">
        <f>IF(OR($D560="",$S560=""),"",IFERROR(MAX(0,ROUND(($D560-INDEX(Config!$C$15:$C$18,MATCH($S560,Config!$B$15:$B$18,0)))*24*60,0)),""))</f>
        <v/>
      </c>
      <c r="O560" t="str">
        <f t="shared" si="36"/>
        <v/>
      </c>
      <c r="P560" t="str">
        <f t="shared" si="37"/>
        <v/>
      </c>
      <c r="Q560" t="str">
        <f>IF(OR($P560="",$S560=""),"",IFERROR($P560-INDEX(Config!$E$15:$E$18,MATCH($S560,Config!$B$15:$B$18,0)),""))</f>
        <v/>
      </c>
      <c r="R560" t="str">
        <f t="shared" si="38"/>
        <v/>
      </c>
      <c r="S560" s="6" t="str">
        <f>IF(OR($A560="",$C560=""),"",IFERROR(INDEX(Turno!$C$3:$V$32,MATCH($C560,Turno!$B$3:$B$32,0),MATCH(DAY($A560),Turno!$C$1:$V$1,0)),""))</f>
        <v/>
      </c>
      <c r="T560" t="str">
        <f>IF(OR($E560="",$S560=""),"",IFERROR(MAX(0,ROUND((INDEX(Config!$D$15:$D$18,MATCH($S560,Config!$B$15:$B$18,0))-$E560)*1440,0)),""))</f>
        <v/>
      </c>
      <c r="U560" s="13" t="str">
        <f>IF(OR($N560="",$T560=""),"",IFERROR(MAX(0,1-($N560+$T560+MAX(0,N($Q560)))/ROUND((INDEX(Config!$D$15:$D$18,MATCH($S560,Config!$B$15:$B$18,0))-INDEX(Config!$C$15:$C$18,MATCH($S560,Config!$B$15:$B$18,0)))*1440,0)),""))</f>
        <v/>
      </c>
      <c r="V560" s="5"/>
    </row>
    <row r="561" spans="1:22" x14ac:dyDescent="0.25">
      <c r="A561" s="11"/>
      <c r="B561" s="5"/>
      <c r="C561" s="6" t="str">
        <f>IFERROR(INDEX(Ejecutivos!$B$2:$B$100,MATCH(B561,Ejecutivos!$A$2:$A$100,0)),"")</f>
        <v/>
      </c>
      <c r="D561" s="12"/>
      <c r="E561" s="12"/>
      <c r="F561" s="12"/>
      <c r="G561" s="12"/>
      <c r="H561" s="5"/>
      <c r="I561" s="5"/>
      <c r="J561" s="5"/>
      <c r="K561" s="5"/>
      <c r="L561" s="18">
        <v>0</v>
      </c>
      <c r="M561" t="str">
        <f t="shared" si="35"/>
        <v/>
      </c>
      <c r="N561" t="str">
        <f>IF(OR($D561="",$S561=""),"",IFERROR(MAX(0,ROUND(($D561-INDEX(Config!$C$15:$C$18,MATCH($S561,Config!$B$15:$B$18,0)))*24*60,0)),""))</f>
        <v/>
      </c>
      <c r="O561" t="str">
        <f t="shared" si="36"/>
        <v/>
      </c>
      <c r="P561" t="str">
        <f t="shared" si="37"/>
        <v/>
      </c>
      <c r="Q561" t="str">
        <f>IF(OR($P561="",$S561=""),"",IFERROR($P561-INDEX(Config!$E$15:$E$18,MATCH($S561,Config!$B$15:$B$18,0)),""))</f>
        <v/>
      </c>
      <c r="R561" t="str">
        <f t="shared" si="38"/>
        <v/>
      </c>
      <c r="S561" s="6" t="str">
        <f>IF(OR($A561="",$C561=""),"",IFERROR(INDEX(Turno!$C$3:$V$32,MATCH($C561,Turno!$B$3:$B$32,0),MATCH(DAY($A561),Turno!$C$1:$V$1,0)),""))</f>
        <v/>
      </c>
      <c r="T561" t="str">
        <f>IF(OR($E561="",$S561=""),"",IFERROR(MAX(0,ROUND((INDEX(Config!$D$15:$D$18,MATCH($S561,Config!$B$15:$B$18,0))-$E561)*1440,0)),""))</f>
        <v/>
      </c>
      <c r="U561" s="13" t="str">
        <f>IF(OR($N561="",$T561=""),"",IFERROR(MAX(0,1-($N561+$T561+MAX(0,N($Q561)))/ROUND((INDEX(Config!$D$15:$D$18,MATCH($S561,Config!$B$15:$B$18,0))-INDEX(Config!$C$15:$C$18,MATCH($S561,Config!$B$15:$B$18,0)))*1440,0)),""))</f>
        <v/>
      </c>
      <c r="V561" s="5"/>
    </row>
    <row r="562" spans="1:22" x14ac:dyDescent="0.25">
      <c r="A562" s="11"/>
      <c r="B562" s="5"/>
      <c r="C562" s="6" t="str">
        <f>IFERROR(INDEX(Ejecutivos!$B$2:$B$100,MATCH(B562,Ejecutivos!$A$2:$A$100,0)),"")</f>
        <v/>
      </c>
      <c r="D562" s="12"/>
      <c r="E562" s="12"/>
      <c r="F562" s="12"/>
      <c r="G562" s="12"/>
      <c r="H562" s="5"/>
      <c r="I562" s="5"/>
      <c r="J562" s="5"/>
      <c r="K562" s="5"/>
      <c r="L562" s="18">
        <v>0</v>
      </c>
      <c r="M562" t="str">
        <f t="shared" si="35"/>
        <v/>
      </c>
      <c r="N562" t="str">
        <f>IF(OR($D562="",$S562=""),"",IFERROR(MAX(0,ROUND(($D562-INDEX(Config!$C$15:$C$18,MATCH($S562,Config!$B$15:$B$18,0)))*24*60,0)),""))</f>
        <v/>
      </c>
      <c r="O562" t="str">
        <f t="shared" si="36"/>
        <v/>
      </c>
      <c r="P562" t="str">
        <f t="shared" si="37"/>
        <v/>
      </c>
      <c r="Q562" t="str">
        <f>IF(OR($P562="",$S562=""),"",IFERROR($P562-INDEX(Config!$E$15:$E$18,MATCH($S562,Config!$B$15:$B$18,0)),""))</f>
        <v/>
      </c>
      <c r="R562" t="str">
        <f t="shared" si="38"/>
        <v/>
      </c>
      <c r="S562" s="6" t="str">
        <f>IF(OR($A562="",$C562=""),"",IFERROR(INDEX(Turno!$C$3:$V$32,MATCH($C562,Turno!$B$3:$B$32,0),MATCH(DAY($A562),Turno!$C$1:$V$1,0)),""))</f>
        <v/>
      </c>
      <c r="T562" t="str">
        <f>IF(OR($E562="",$S562=""),"",IFERROR(MAX(0,ROUND((INDEX(Config!$D$15:$D$18,MATCH($S562,Config!$B$15:$B$18,0))-$E562)*1440,0)),""))</f>
        <v/>
      </c>
      <c r="U562" s="13" t="str">
        <f>IF(OR($N562="",$T562=""),"",IFERROR(MAX(0,1-($N562+$T562+MAX(0,N($Q562)))/ROUND((INDEX(Config!$D$15:$D$18,MATCH($S562,Config!$B$15:$B$18,0))-INDEX(Config!$C$15:$C$18,MATCH($S562,Config!$B$15:$B$18,0)))*1440,0)),""))</f>
        <v/>
      </c>
      <c r="V562" s="5"/>
    </row>
    <row r="563" spans="1:22" x14ac:dyDescent="0.25">
      <c r="A563" s="11"/>
      <c r="B563" s="5"/>
      <c r="C563" s="6" t="str">
        <f>IFERROR(INDEX(Ejecutivos!$B$2:$B$100,MATCH(B563,Ejecutivos!$A$2:$A$100,0)),"")</f>
        <v/>
      </c>
      <c r="D563" s="12"/>
      <c r="E563" s="12"/>
      <c r="F563" s="12"/>
      <c r="G563" s="12"/>
      <c r="H563" s="5"/>
      <c r="I563" s="5"/>
      <c r="J563" s="5"/>
      <c r="K563" s="5"/>
      <c r="L563" s="18">
        <v>0</v>
      </c>
      <c r="M563" t="str">
        <f t="shared" si="35"/>
        <v/>
      </c>
      <c r="N563" t="str">
        <f>IF(OR($D563="",$S563=""),"",IFERROR(MAX(0,ROUND(($D563-INDEX(Config!$C$15:$C$18,MATCH($S563,Config!$B$15:$B$18,0)))*24*60,0)),""))</f>
        <v/>
      </c>
      <c r="O563" t="str">
        <f t="shared" si="36"/>
        <v/>
      </c>
      <c r="P563" t="str">
        <f t="shared" si="37"/>
        <v/>
      </c>
      <c r="Q563" t="str">
        <f>IF(OR($P563="",$S563=""),"",IFERROR($P563-INDEX(Config!$E$15:$E$18,MATCH($S563,Config!$B$15:$B$18,0)),""))</f>
        <v/>
      </c>
      <c r="R563" t="str">
        <f t="shared" si="38"/>
        <v/>
      </c>
      <c r="S563" s="6" t="str">
        <f>IF(OR($A563="",$C563=""),"",IFERROR(INDEX(Turno!$C$3:$V$32,MATCH($C563,Turno!$B$3:$B$32,0),MATCH(DAY($A563),Turno!$C$1:$V$1,0)),""))</f>
        <v/>
      </c>
      <c r="T563" t="str">
        <f>IF(OR($E563="",$S563=""),"",IFERROR(MAX(0,ROUND((INDEX(Config!$D$15:$D$18,MATCH($S563,Config!$B$15:$B$18,0))-$E563)*1440,0)),""))</f>
        <v/>
      </c>
      <c r="U563" s="13" t="str">
        <f>IF(OR($N563="",$T563=""),"",IFERROR(MAX(0,1-($N563+$T563+MAX(0,N($Q563)))/ROUND((INDEX(Config!$D$15:$D$18,MATCH($S563,Config!$B$15:$B$18,0))-INDEX(Config!$C$15:$C$18,MATCH($S563,Config!$B$15:$B$18,0)))*1440,0)),""))</f>
        <v/>
      </c>
      <c r="V563" s="5"/>
    </row>
    <row r="564" spans="1:22" x14ac:dyDescent="0.25">
      <c r="A564" s="11"/>
      <c r="B564" s="5"/>
      <c r="C564" s="6" t="str">
        <f>IFERROR(INDEX(Ejecutivos!$B$2:$B$100,MATCH(B564,Ejecutivos!$A$2:$A$100,0)),"")</f>
        <v/>
      </c>
      <c r="D564" s="12"/>
      <c r="E564" s="12"/>
      <c r="F564" s="12"/>
      <c r="G564" s="12"/>
      <c r="H564" s="5"/>
      <c r="I564" s="5"/>
      <c r="J564" s="5"/>
      <c r="K564" s="5"/>
      <c r="L564" s="18">
        <v>0</v>
      </c>
      <c r="M564" t="str">
        <f t="shared" si="35"/>
        <v/>
      </c>
      <c r="N564" t="str">
        <f>IF(OR($D564="",$S564=""),"",IFERROR(MAX(0,ROUND(($D564-INDEX(Config!$C$15:$C$18,MATCH($S564,Config!$B$15:$B$18,0)))*24*60,0)),""))</f>
        <v/>
      </c>
      <c r="O564" t="str">
        <f t="shared" si="36"/>
        <v/>
      </c>
      <c r="P564" t="str">
        <f t="shared" si="37"/>
        <v/>
      </c>
      <c r="Q564" t="str">
        <f>IF(OR($P564="",$S564=""),"",IFERROR($P564-INDEX(Config!$E$15:$E$18,MATCH($S564,Config!$B$15:$B$18,0)),""))</f>
        <v/>
      </c>
      <c r="R564" t="str">
        <f t="shared" si="38"/>
        <v/>
      </c>
      <c r="S564" s="6" t="str">
        <f>IF(OR($A564="",$C564=""),"",IFERROR(INDEX(Turno!$C$3:$V$32,MATCH($C564,Turno!$B$3:$B$32,0),MATCH(DAY($A564),Turno!$C$1:$V$1,0)),""))</f>
        <v/>
      </c>
      <c r="T564" t="str">
        <f>IF(OR($E564="",$S564=""),"",IFERROR(MAX(0,ROUND((INDEX(Config!$D$15:$D$18,MATCH($S564,Config!$B$15:$B$18,0))-$E564)*1440,0)),""))</f>
        <v/>
      </c>
      <c r="U564" s="13" t="str">
        <f>IF(OR($N564="",$T564=""),"",IFERROR(MAX(0,1-($N564+$T564+MAX(0,N($Q564)))/ROUND((INDEX(Config!$D$15:$D$18,MATCH($S564,Config!$B$15:$B$18,0))-INDEX(Config!$C$15:$C$18,MATCH($S564,Config!$B$15:$B$18,0)))*1440,0)),""))</f>
        <v/>
      </c>
      <c r="V564" s="5"/>
    </row>
    <row r="565" spans="1:22" x14ac:dyDescent="0.25">
      <c r="A565" s="11"/>
      <c r="B565" s="5"/>
      <c r="C565" s="6" t="str">
        <f>IFERROR(INDEX(Ejecutivos!$B$2:$B$100,MATCH(B565,Ejecutivos!$A$2:$A$100,0)),"")</f>
        <v/>
      </c>
      <c r="D565" s="12"/>
      <c r="E565" s="12"/>
      <c r="F565" s="12"/>
      <c r="G565" s="12"/>
      <c r="H565" s="5"/>
      <c r="I565" s="5"/>
      <c r="J565" s="5"/>
      <c r="K565" s="5"/>
      <c r="L565" s="18">
        <v>0</v>
      </c>
      <c r="M565" t="str">
        <f t="shared" ref="M565:M628" si="39">IF(OR(D565="",E565=""),"",ROUND(((E565-D565)*24)-((G565-F565)*24)-((H565+I565)/60),2))</f>
        <v/>
      </c>
      <c r="N565" t="str">
        <f>IF(OR($D565="",$S565=""),"",IFERROR(MAX(0,ROUND(($D565-INDEX(Config!$C$15:$C$18,MATCH($S565,Config!$B$15:$B$18,0)))*24*60,0)),""))</f>
        <v/>
      </c>
      <c r="O565" t="str">
        <f t="shared" ref="O565:O628" si="40">IF(OR(F565="",G565=""),"",ROUND((G565-F565)*24*60,0))</f>
        <v/>
      </c>
      <c r="P565" t="str">
        <f t="shared" ref="P565:P628" si="41">IF(O565="","",O565+H565+I565)</f>
        <v/>
      </c>
      <c r="Q565" t="str">
        <f>IF(OR($P565="",$S565=""),"",IFERROR($P565-INDEX(Config!$E$15:$E$18,MATCH($S565,Config!$B$15:$B$18,0)),""))</f>
        <v/>
      </c>
      <c r="R565" t="str">
        <f t="shared" ref="R565:R628" si="42">IF($A565="","",IF($D565="","Ausente",IF($N565="","",IF($N565&gt;0,"Atrasado","Puntual"))))</f>
        <v/>
      </c>
      <c r="S565" s="6" t="str">
        <f>IF(OR($A565="",$C565=""),"",IFERROR(INDEX(Turno!$C$3:$V$32,MATCH($C565,Turno!$B$3:$B$32,0),MATCH(DAY($A565),Turno!$C$1:$V$1,0)),""))</f>
        <v/>
      </c>
      <c r="T565" t="str">
        <f>IF(OR($E565="",$S565=""),"",IFERROR(MAX(0,ROUND((INDEX(Config!$D$15:$D$18,MATCH($S565,Config!$B$15:$B$18,0))-$E565)*1440,0)),""))</f>
        <v/>
      </c>
      <c r="U565" s="13" t="str">
        <f>IF(OR($N565="",$T565=""),"",IFERROR(MAX(0,1-($N565+$T565+MAX(0,N($Q565)))/ROUND((INDEX(Config!$D$15:$D$18,MATCH($S565,Config!$B$15:$B$18,0))-INDEX(Config!$C$15:$C$18,MATCH($S565,Config!$B$15:$B$18,0)))*1440,0)),""))</f>
        <v/>
      </c>
      <c r="V565" s="5"/>
    </row>
    <row r="566" spans="1:22" x14ac:dyDescent="0.25">
      <c r="A566" s="11"/>
      <c r="B566" s="5"/>
      <c r="C566" s="6" t="str">
        <f>IFERROR(INDEX(Ejecutivos!$B$2:$B$100,MATCH(B566,Ejecutivos!$A$2:$A$100,0)),"")</f>
        <v/>
      </c>
      <c r="D566" s="12"/>
      <c r="E566" s="12"/>
      <c r="F566" s="12"/>
      <c r="G566" s="12"/>
      <c r="H566" s="5"/>
      <c r="I566" s="5"/>
      <c r="J566" s="5"/>
      <c r="K566" s="5"/>
      <c r="L566" s="18">
        <v>0</v>
      </c>
      <c r="M566" t="str">
        <f t="shared" si="39"/>
        <v/>
      </c>
      <c r="N566" t="str">
        <f>IF(OR($D566="",$S566=""),"",IFERROR(MAX(0,ROUND(($D566-INDEX(Config!$C$15:$C$18,MATCH($S566,Config!$B$15:$B$18,0)))*24*60,0)),""))</f>
        <v/>
      </c>
      <c r="O566" t="str">
        <f t="shared" si="40"/>
        <v/>
      </c>
      <c r="P566" t="str">
        <f t="shared" si="41"/>
        <v/>
      </c>
      <c r="Q566" t="str">
        <f>IF(OR($P566="",$S566=""),"",IFERROR($P566-INDEX(Config!$E$15:$E$18,MATCH($S566,Config!$B$15:$B$18,0)),""))</f>
        <v/>
      </c>
      <c r="R566" t="str">
        <f t="shared" si="42"/>
        <v/>
      </c>
      <c r="S566" s="6" t="str">
        <f>IF(OR($A566="",$C566=""),"",IFERROR(INDEX(Turno!$C$3:$V$32,MATCH($C566,Turno!$B$3:$B$32,0),MATCH(DAY($A566),Turno!$C$1:$V$1,0)),""))</f>
        <v/>
      </c>
      <c r="T566" t="str">
        <f>IF(OR($E566="",$S566=""),"",IFERROR(MAX(0,ROUND((INDEX(Config!$D$15:$D$18,MATCH($S566,Config!$B$15:$B$18,0))-$E566)*1440,0)),""))</f>
        <v/>
      </c>
      <c r="U566" s="13" t="str">
        <f>IF(OR($N566="",$T566=""),"",IFERROR(MAX(0,1-($N566+$T566+MAX(0,N($Q566)))/ROUND((INDEX(Config!$D$15:$D$18,MATCH($S566,Config!$B$15:$B$18,0))-INDEX(Config!$C$15:$C$18,MATCH($S566,Config!$B$15:$B$18,0)))*1440,0)),""))</f>
        <v/>
      </c>
      <c r="V566" s="5"/>
    </row>
    <row r="567" spans="1:22" x14ac:dyDescent="0.25">
      <c r="A567" s="11"/>
      <c r="B567" s="5"/>
      <c r="C567" s="6" t="str">
        <f>IFERROR(INDEX(Ejecutivos!$B$2:$B$100,MATCH(B567,Ejecutivos!$A$2:$A$100,0)),"")</f>
        <v/>
      </c>
      <c r="D567" s="12"/>
      <c r="E567" s="12"/>
      <c r="F567" s="12"/>
      <c r="G567" s="12"/>
      <c r="H567" s="5"/>
      <c r="I567" s="5"/>
      <c r="J567" s="5"/>
      <c r="K567" s="5"/>
      <c r="L567" s="18">
        <v>0</v>
      </c>
      <c r="M567" t="str">
        <f t="shared" si="39"/>
        <v/>
      </c>
      <c r="N567" t="str">
        <f>IF(OR($D567="",$S567=""),"",IFERROR(MAX(0,ROUND(($D567-INDEX(Config!$C$15:$C$18,MATCH($S567,Config!$B$15:$B$18,0)))*24*60,0)),""))</f>
        <v/>
      </c>
      <c r="O567" t="str">
        <f t="shared" si="40"/>
        <v/>
      </c>
      <c r="P567" t="str">
        <f t="shared" si="41"/>
        <v/>
      </c>
      <c r="Q567" t="str">
        <f>IF(OR($P567="",$S567=""),"",IFERROR($P567-INDEX(Config!$E$15:$E$18,MATCH($S567,Config!$B$15:$B$18,0)),""))</f>
        <v/>
      </c>
      <c r="R567" t="str">
        <f t="shared" si="42"/>
        <v/>
      </c>
      <c r="S567" s="6" t="str">
        <f>IF(OR($A567="",$C567=""),"",IFERROR(INDEX(Turno!$C$3:$V$32,MATCH($C567,Turno!$B$3:$B$32,0),MATCH(DAY($A567),Turno!$C$1:$V$1,0)),""))</f>
        <v/>
      </c>
      <c r="T567" t="str">
        <f>IF(OR($E567="",$S567=""),"",IFERROR(MAX(0,ROUND((INDEX(Config!$D$15:$D$18,MATCH($S567,Config!$B$15:$B$18,0))-$E567)*1440,0)),""))</f>
        <v/>
      </c>
      <c r="U567" s="13" t="str">
        <f>IF(OR($N567="",$T567=""),"",IFERROR(MAX(0,1-($N567+$T567+MAX(0,N($Q567)))/ROUND((INDEX(Config!$D$15:$D$18,MATCH($S567,Config!$B$15:$B$18,0))-INDEX(Config!$C$15:$C$18,MATCH($S567,Config!$B$15:$B$18,0)))*1440,0)),""))</f>
        <v/>
      </c>
      <c r="V567" s="5"/>
    </row>
    <row r="568" spans="1:22" x14ac:dyDescent="0.25">
      <c r="A568" s="11"/>
      <c r="B568" s="5"/>
      <c r="C568" s="6" t="str">
        <f>IFERROR(INDEX(Ejecutivos!$B$2:$B$100,MATCH(B568,Ejecutivos!$A$2:$A$100,0)),"")</f>
        <v/>
      </c>
      <c r="D568" s="12"/>
      <c r="E568" s="12"/>
      <c r="F568" s="12"/>
      <c r="G568" s="12"/>
      <c r="H568" s="5"/>
      <c r="I568" s="5"/>
      <c r="J568" s="5"/>
      <c r="K568" s="5"/>
      <c r="L568" s="18">
        <v>0</v>
      </c>
      <c r="M568" t="str">
        <f t="shared" si="39"/>
        <v/>
      </c>
      <c r="N568" t="str">
        <f>IF(OR($D568="",$S568=""),"",IFERROR(MAX(0,ROUND(($D568-INDEX(Config!$C$15:$C$18,MATCH($S568,Config!$B$15:$B$18,0)))*24*60,0)),""))</f>
        <v/>
      </c>
      <c r="O568" t="str">
        <f t="shared" si="40"/>
        <v/>
      </c>
      <c r="P568" t="str">
        <f t="shared" si="41"/>
        <v/>
      </c>
      <c r="Q568" t="str">
        <f>IF(OR($P568="",$S568=""),"",IFERROR($P568-INDEX(Config!$E$15:$E$18,MATCH($S568,Config!$B$15:$B$18,0)),""))</f>
        <v/>
      </c>
      <c r="R568" t="str">
        <f t="shared" si="42"/>
        <v/>
      </c>
      <c r="S568" s="6" t="str">
        <f>IF(OR($A568="",$C568=""),"",IFERROR(INDEX(Turno!$C$3:$V$32,MATCH($C568,Turno!$B$3:$B$32,0),MATCH(DAY($A568),Turno!$C$1:$V$1,0)),""))</f>
        <v/>
      </c>
      <c r="T568" t="str">
        <f>IF(OR($E568="",$S568=""),"",IFERROR(MAX(0,ROUND((INDEX(Config!$D$15:$D$18,MATCH($S568,Config!$B$15:$B$18,0))-$E568)*1440,0)),""))</f>
        <v/>
      </c>
      <c r="U568" s="13" t="str">
        <f>IF(OR($N568="",$T568=""),"",IFERROR(MAX(0,1-($N568+$T568+MAX(0,N($Q568)))/ROUND((INDEX(Config!$D$15:$D$18,MATCH($S568,Config!$B$15:$B$18,0))-INDEX(Config!$C$15:$C$18,MATCH($S568,Config!$B$15:$B$18,0)))*1440,0)),""))</f>
        <v/>
      </c>
      <c r="V568" s="5"/>
    </row>
    <row r="569" spans="1:22" x14ac:dyDescent="0.25">
      <c r="A569" s="11"/>
      <c r="B569" s="5"/>
      <c r="C569" s="6" t="str">
        <f>IFERROR(INDEX(Ejecutivos!$B$2:$B$100,MATCH(B569,Ejecutivos!$A$2:$A$100,0)),"")</f>
        <v/>
      </c>
      <c r="D569" s="12"/>
      <c r="E569" s="12"/>
      <c r="F569" s="12"/>
      <c r="G569" s="12"/>
      <c r="H569" s="5"/>
      <c r="I569" s="5"/>
      <c r="J569" s="5"/>
      <c r="K569" s="5"/>
      <c r="L569" s="18">
        <v>0</v>
      </c>
      <c r="M569" t="str">
        <f t="shared" si="39"/>
        <v/>
      </c>
      <c r="N569" t="str">
        <f>IF(OR($D569="",$S569=""),"",IFERROR(MAX(0,ROUND(($D569-INDEX(Config!$C$15:$C$18,MATCH($S569,Config!$B$15:$B$18,0)))*24*60,0)),""))</f>
        <v/>
      </c>
      <c r="O569" t="str">
        <f t="shared" si="40"/>
        <v/>
      </c>
      <c r="P569" t="str">
        <f t="shared" si="41"/>
        <v/>
      </c>
      <c r="Q569" t="str">
        <f>IF(OR($P569="",$S569=""),"",IFERROR($P569-INDEX(Config!$E$15:$E$18,MATCH($S569,Config!$B$15:$B$18,0)),""))</f>
        <v/>
      </c>
      <c r="R569" t="str">
        <f t="shared" si="42"/>
        <v/>
      </c>
      <c r="S569" s="6" t="str">
        <f>IF(OR($A569="",$C569=""),"",IFERROR(INDEX(Turno!$C$3:$V$32,MATCH($C569,Turno!$B$3:$B$32,0),MATCH(DAY($A569),Turno!$C$1:$V$1,0)),""))</f>
        <v/>
      </c>
      <c r="T569" t="str">
        <f>IF(OR($E569="",$S569=""),"",IFERROR(MAX(0,ROUND((INDEX(Config!$D$15:$D$18,MATCH($S569,Config!$B$15:$B$18,0))-$E569)*1440,0)),""))</f>
        <v/>
      </c>
      <c r="U569" s="13" t="str">
        <f>IF(OR($N569="",$T569=""),"",IFERROR(MAX(0,1-($N569+$T569+MAX(0,N($Q569)))/ROUND((INDEX(Config!$D$15:$D$18,MATCH($S569,Config!$B$15:$B$18,0))-INDEX(Config!$C$15:$C$18,MATCH($S569,Config!$B$15:$B$18,0)))*1440,0)),""))</f>
        <v/>
      </c>
      <c r="V569" s="5"/>
    </row>
    <row r="570" spans="1:22" x14ac:dyDescent="0.25">
      <c r="A570" s="11"/>
      <c r="B570" s="5"/>
      <c r="C570" s="6" t="str">
        <f>IFERROR(INDEX(Ejecutivos!$B$2:$B$100,MATCH(B570,Ejecutivos!$A$2:$A$100,0)),"")</f>
        <v/>
      </c>
      <c r="D570" s="12"/>
      <c r="E570" s="12"/>
      <c r="F570" s="12"/>
      <c r="G570" s="12"/>
      <c r="H570" s="5"/>
      <c r="I570" s="5"/>
      <c r="J570" s="5"/>
      <c r="K570" s="5"/>
      <c r="L570" s="18">
        <v>0</v>
      </c>
      <c r="M570" t="str">
        <f t="shared" si="39"/>
        <v/>
      </c>
      <c r="N570" t="str">
        <f>IF(OR($D570="",$S570=""),"",IFERROR(MAX(0,ROUND(($D570-INDEX(Config!$C$15:$C$18,MATCH($S570,Config!$B$15:$B$18,0)))*24*60,0)),""))</f>
        <v/>
      </c>
      <c r="O570" t="str">
        <f t="shared" si="40"/>
        <v/>
      </c>
      <c r="P570" t="str">
        <f t="shared" si="41"/>
        <v/>
      </c>
      <c r="Q570" t="str">
        <f>IF(OR($P570="",$S570=""),"",IFERROR($P570-INDEX(Config!$E$15:$E$18,MATCH($S570,Config!$B$15:$B$18,0)),""))</f>
        <v/>
      </c>
      <c r="R570" t="str">
        <f t="shared" si="42"/>
        <v/>
      </c>
      <c r="S570" s="6" t="str">
        <f>IF(OR($A570="",$C570=""),"",IFERROR(INDEX(Turno!$C$3:$V$32,MATCH($C570,Turno!$B$3:$B$32,0),MATCH(DAY($A570),Turno!$C$1:$V$1,0)),""))</f>
        <v/>
      </c>
      <c r="T570" t="str">
        <f>IF(OR($E570="",$S570=""),"",IFERROR(MAX(0,ROUND((INDEX(Config!$D$15:$D$18,MATCH($S570,Config!$B$15:$B$18,0))-$E570)*1440,0)),""))</f>
        <v/>
      </c>
      <c r="U570" s="13" t="str">
        <f>IF(OR($N570="",$T570=""),"",IFERROR(MAX(0,1-($N570+$T570+MAX(0,N($Q570)))/ROUND((INDEX(Config!$D$15:$D$18,MATCH($S570,Config!$B$15:$B$18,0))-INDEX(Config!$C$15:$C$18,MATCH($S570,Config!$B$15:$B$18,0)))*1440,0)),""))</f>
        <v/>
      </c>
      <c r="V570" s="5"/>
    </row>
    <row r="571" spans="1:22" x14ac:dyDescent="0.25">
      <c r="A571" s="11"/>
      <c r="B571" s="5"/>
      <c r="C571" s="6" t="str">
        <f>IFERROR(INDEX(Ejecutivos!$B$2:$B$100,MATCH(B571,Ejecutivos!$A$2:$A$100,0)),"")</f>
        <v/>
      </c>
      <c r="D571" s="12"/>
      <c r="E571" s="12"/>
      <c r="F571" s="12"/>
      <c r="G571" s="12"/>
      <c r="H571" s="5"/>
      <c r="I571" s="5"/>
      <c r="J571" s="5"/>
      <c r="K571" s="5"/>
      <c r="L571" s="18">
        <v>0</v>
      </c>
      <c r="M571" t="str">
        <f t="shared" si="39"/>
        <v/>
      </c>
      <c r="N571" t="str">
        <f>IF(OR($D571="",$S571=""),"",IFERROR(MAX(0,ROUND(($D571-INDEX(Config!$C$15:$C$18,MATCH($S571,Config!$B$15:$B$18,0)))*24*60,0)),""))</f>
        <v/>
      </c>
      <c r="O571" t="str">
        <f t="shared" si="40"/>
        <v/>
      </c>
      <c r="P571" t="str">
        <f t="shared" si="41"/>
        <v/>
      </c>
      <c r="Q571" t="str">
        <f>IF(OR($P571="",$S571=""),"",IFERROR($P571-INDEX(Config!$E$15:$E$18,MATCH($S571,Config!$B$15:$B$18,0)),""))</f>
        <v/>
      </c>
      <c r="R571" t="str">
        <f t="shared" si="42"/>
        <v/>
      </c>
      <c r="S571" s="6" t="str">
        <f>IF(OR($A571="",$C571=""),"",IFERROR(INDEX(Turno!$C$3:$V$32,MATCH($C571,Turno!$B$3:$B$32,0),MATCH(DAY($A571),Turno!$C$1:$V$1,0)),""))</f>
        <v/>
      </c>
      <c r="T571" t="str">
        <f>IF(OR($E571="",$S571=""),"",IFERROR(MAX(0,ROUND((INDEX(Config!$D$15:$D$18,MATCH($S571,Config!$B$15:$B$18,0))-$E571)*1440,0)),""))</f>
        <v/>
      </c>
      <c r="U571" s="13" t="str">
        <f>IF(OR($N571="",$T571=""),"",IFERROR(MAX(0,1-($N571+$T571+MAX(0,N($Q571)))/ROUND((INDEX(Config!$D$15:$D$18,MATCH($S571,Config!$B$15:$B$18,0))-INDEX(Config!$C$15:$C$18,MATCH($S571,Config!$B$15:$B$18,0)))*1440,0)),""))</f>
        <v/>
      </c>
      <c r="V571" s="5"/>
    </row>
    <row r="572" spans="1:22" x14ac:dyDescent="0.25">
      <c r="A572" s="11"/>
      <c r="B572" s="5"/>
      <c r="C572" s="6" t="str">
        <f>IFERROR(INDEX(Ejecutivos!$B$2:$B$100,MATCH(B572,Ejecutivos!$A$2:$A$100,0)),"")</f>
        <v/>
      </c>
      <c r="D572" s="12"/>
      <c r="E572" s="12"/>
      <c r="F572" s="12"/>
      <c r="G572" s="12"/>
      <c r="H572" s="5"/>
      <c r="I572" s="5"/>
      <c r="J572" s="5"/>
      <c r="K572" s="5"/>
      <c r="L572" s="18">
        <v>0</v>
      </c>
      <c r="M572" t="str">
        <f t="shared" si="39"/>
        <v/>
      </c>
      <c r="N572" t="str">
        <f>IF(OR($D572="",$S572=""),"",IFERROR(MAX(0,ROUND(($D572-INDEX(Config!$C$15:$C$18,MATCH($S572,Config!$B$15:$B$18,0)))*24*60,0)),""))</f>
        <v/>
      </c>
      <c r="O572" t="str">
        <f t="shared" si="40"/>
        <v/>
      </c>
      <c r="P572" t="str">
        <f t="shared" si="41"/>
        <v/>
      </c>
      <c r="Q572" t="str">
        <f>IF(OR($P572="",$S572=""),"",IFERROR($P572-INDEX(Config!$E$15:$E$18,MATCH($S572,Config!$B$15:$B$18,0)),""))</f>
        <v/>
      </c>
      <c r="R572" t="str">
        <f t="shared" si="42"/>
        <v/>
      </c>
      <c r="S572" s="6" t="str">
        <f>IF(OR($A572="",$C572=""),"",IFERROR(INDEX(Turno!$C$3:$V$32,MATCH($C572,Turno!$B$3:$B$32,0),MATCH(DAY($A572),Turno!$C$1:$V$1,0)),""))</f>
        <v/>
      </c>
      <c r="T572" t="str">
        <f>IF(OR($E572="",$S572=""),"",IFERROR(MAX(0,ROUND((INDEX(Config!$D$15:$D$18,MATCH($S572,Config!$B$15:$B$18,0))-$E572)*1440,0)),""))</f>
        <v/>
      </c>
      <c r="U572" s="13" t="str">
        <f>IF(OR($N572="",$T572=""),"",IFERROR(MAX(0,1-($N572+$T572+MAX(0,N($Q572)))/ROUND((INDEX(Config!$D$15:$D$18,MATCH($S572,Config!$B$15:$B$18,0))-INDEX(Config!$C$15:$C$18,MATCH($S572,Config!$B$15:$B$18,0)))*1440,0)),""))</f>
        <v/>
      </c>
      <c r="V572" s="5"/>
    </row>
    <row r="573" spans="1:22" x14ac:dyDescent="0.25">
      <c r="A573" s="11"/>
      <c r="B573" s="5"/>
      <c r="C573" s="6" t="str">
        <f>IFERROR(INDEX(Ejecutivos!$B$2:$B$100,MATCH(B573,Ejecutivos!$A$2:$A$100,0)),"")</f>
        <v/>
      </c>
      <c r="D573" s="12"/>
      <c r="E573" s="12"/>
      <c r="F573" s="12"/>
      <c r="G573" s="12"/>
      <c r="H573" s="5"/>
      <c r="I573" s="5"/>
      <c r="J573" s="5"/>
      <c r="K573" s="5"/>
      <c r="L573" s="18">
        <v>0</v>
      </c>
      <c r="M573" t="str">
        <f t="shared" si="39"/>
        <v/>
      </c>
      <c r="N573" t="str">
        <f>IF(OR($D573="",$S573=""),"",IFERROR(MAX(0,ROUND(($D573-INDEX(Config!$C$15:$C$18,MATCH($S573,Config!$B$15:$B$18,0)))*24*60,0)),""))</f>
        <v/>
      </c>
      <c r="O573" t="str">
        <f t="shared" si="40"/>
        <v/>
      </c>
      <c r="P573" t="str">
        <f t="shared" si="41"/>
        <v/>
      </c>
      <c r="Q573" t="str">
        <f>IF(OR($P573="",$S573=""),"",IFERROR($P573-INDEX(Config!$E$15:$E$18,MATCH($S573,Config!$B$15:$B$18,0)),""))</f>
        <v/>
      </c>
      <c r="R573" t="str">
        <f t="shared" si="42"/>
        <v/>
      </c>
      <c r="S573" s="6" t="str">
        <f>IF(OR($A573="",$C573=""),"",IFERROR(INDEX(Turno!$C$3:$V$32,MATCH($C573,Turno!$B$3:$B$32,0),MATCH(DAY($A573),Turno!$C$1:$V$1,0)),""))</f>
        <v/>
      </c>
      <c r="T573" t="str">
        <f>IF(OR($E573="",$S573=""),"",IFERROR(MAX(0,ROUND((INDEX(Config!$D$15:$D$18,MATCH($S573,Config!$B$15:$B$18,0))-$E573)*1440,0)),""))</f>
        <v/>
      </c>
      <c r="U573" s="13" t="str">
        <f>IF(OR($N573="",$T573=""),"",IFERROR(MAX(0,1-($N573+$T573+MAX(0,N($Q573)))/ROUND((INDEX(Config!$D$15:$D$18,MATCH($S573,Config!$B$15:$B$18,0))-INDEX(Config!$C$15:$C$18,MATCH($S573,Config!$B$15:$B$18,0)))*1440,0)),""))</f>
        <v/>
      </c>
      <c r="V573" s="5"/>
    </row>
    <row r="574" spans="1:22" x14ac:dyDescent="0.25">
      <c r="A574" s="11"/>
      <c r="B574" s="5"/>
      <c r="C574" s="6" t="str">
        <f>IFERROR(INDEX(Ejecutivos!$B$2:$B$100,MATCH(B574,Ejecutivos!$A$2:$A$100,0)),"")</f>
        <v/>
      </c>
      <c r="D574" s="12"/>
      <c r="E574" s="12"/>
      <c r="F574" s="12"/>
      <c r="G574" s="12"/>
      <c r="H574" s="5"/>
      <c r="I574" s="5"/>
      <c r="J574" s="5"/>
      <c r="K574" s="5"/>
      <c r="L574" s="18">
        <v>0</v>
      </c>
      <c r="M574" t="str">
        <f t="shared" si="39"/>
        <v/>
      </c>
      <c r="N574" t="str">
        <f>IF(OR($D574="",$S574=""),"",IFERROR(MAX(0,ROUND(($D574-INDEX(Config!$C$15:$C$18,MATCH($S574,Config!$B$15:$B$18,0)))*24*60,0)),""))</f>
        <v/>
      </c>
      <c r="O574" t="str">
        <f t="shared" si="40"/>
        <v/>
      </c>
      <c r="P574" t="str">
        <f t="shared" si="41"/>
        <v/>
      </c>
      <c r="Q574" t="str">
        <f>IF(OR($P574="",$S574=""),"",IFERROR($P574-INDEX(Config!$E$15:$E$18,MATCH($S574,Config!$B$15:$B$18,0)),""))</f>
        <v/>
      </c>
      <c r="R574" t="str">
        <f t="shared" si="42"/>
        <v/>
      </c>
      <c r="S574" s="6" t="str">
        <f>IF(OR($A574="",$C574=""),"",IFERROR(INDEX(Turno!$C$3:$V$32,MATCH($C574,Turno!$B$3:$B$32,0),MATCH(DAY($A574),Turno!$C$1:$V$1,0)),""))</f>
        <v/>
      </c>
      <c r="T574" t="str">
        <f>IF(OR($E574="",$S574=""),"",IFERROR(MAX(0,ROUND((INDEX(Config!$D$15:$D$18,MATCH($S574,Config!$B$15:$B$18,0))-$E574)*1440,0)),""))</f>
        <v/>
      </c>
      <c r="U574" s="13" t="str">
        <f>IF(OR($N574="",$T574=""),"",IFERROR(MAX(0,1-($N574+$T574+MAX(0,N($Q574)))/ROUND((INDEX(Config!$D$15:$D$18,MATCH($S574,Config!$B$15:$B$18,0))-INDEX(Config!$C$15:$C$18,MATCH($S574,Config!$B$15:$B$18,0)))*1440,0)),""))</f>
        <v/>
      </c>
      <c r="V574" s="5"/>
    </row>
    <row r="575" spans="1:22" x14ac:dyDescent="0.25">
      <c r="A575" s="11"/>
      <c r="B575" s="5"/>
      <c r="C575" s="6" t="str">
        <f>IFERROR(INDEX(Ejecutivos!$B$2:$B$100,MATCH(B575,Ejecutivos!$A$2:$A$100,0)),"")</f>
        <v/>
      </c>
      <c r="D575" s="12"/>
      <c r="E575" s="12"/>
      <c r="F575" s="12"/>
      <c r="G575" s="12"/>
      <c r="H575" s="5"/>
      <c r="I575" s="5"/>
      <c r="J575" s="5"/>
      <c r="K575" s="5"/>
      <c r="L575" s="18">
        <v>0</v>
      </c>
      <c r="M575" t="str">
        <f t="shared" si="39"/>
        <v/>
      </c>
      <c r="N575" t="str">
        <f>IF(OR($D575="",$S575=""),"",IFERROR(MAX(0,ROUND(($D575-INDEX(Config!$C$15:$C$18,MATCH($S575,Config!$B$15:$B$18,0)))*24*60,0)),""))</f>
        <v/>
      </c>
      <c r="O575" t="str">
        <f t="shared" si="40"/>
        <v/>
      </c>
      <c r="P575" t="str">
        <f t="shared" si="41"/>
        <v/>
      </c>
      <c r="Q575" t="str">
        <f>IF(OR($P575="",$S575=""),"",IFERROR($P575-INDEX(Config!$E$15:$E$18,MATCH($S575,Config!$B$15:$B$18,0)),""))</f>
        <v/>
      </c>
      <c r="R575" t="str">
        <f t="shared" si="42"/>
        <v/>
      </c>
      <c r="S575" s="6" t="str">
        <f>IF(OR($A575="",$C575=""),"",IFERROR(INDEX(Turno!$C$3:$V$32,MATCH($C575,Turno!$B$3:$B$32,0),MATCH(DAY($A575),Turno!$C$1:$V$1,0)),""))</f>
        <v/>
      </c>
      <c r="T575" t="str">
        <f>IF(OR($E575="",$S575=""),"",IFERROR(MAX(0,ROUND((INDEX(Config!$D$15:$D$18,MATCH($S575,Config!$B$15:$B$18,0))-$E575)*1440,0)),""))</f>
        <v/>
      </c>
      <c r="U575" s="13" t="str">
        <f>IF(OR($N575="",$T575=""),"",IFERROR(MAX(0,1-($N575+$T575+MAX(0,N($Q575)))/ROUND((INDEX(Config!$D$15:$D$18,MATCH($S575,Config!$B$15:$B$18,0))-INDEX(Config!$C$15:$C$18,MATCH($S575,Config!$B$15:$B$18,0)))*1440,0)),""))</f>
        <v/>
      </c>
      <c r="V575" s="5"/>
    </row>
    <row r="576" spans="1:22" x14ac:dyDescent="0.25">
      <c r="A576" s="11"/>
      <c r="B576" s="5"/>
      <c r="C576" s="6" t="str">
        <f>IFERROR(INDEX(Ejecutivos!$B$2:$B$100,MATCH(B576,Ejecutivos!$A$2:$A$100,0)),"")</f>
        <v/>
      </c>
      <c r="D576" s="12"/>
      <c r="E576" s="12"/>
      <c r="F576" s="12"/>
      <c r="G576" s="12"/>
      <c r="H576" s="5"/>
      <c r="I576" s="5"/>
      <c r="J576" s="5"/>
      <c r="K576" s="5"/>
      <c r="L576" s="18">
        <v>0</v>
      </c>
      <c r="M576" t="str">
        <f t="shared" si="39"/>
        <v/>
      </c>
      <c r="N576" t="str">
        <f>IF(OR($D576="",$S576=""),"",IFERROR(MAX(0,ROUND(($D576-INDEX(Config!$C$15:$C$18,MATCH($S576,Config!$B$15:$B$18,0)))*24*60,0)),""))</f>
        <v/>
      </c>
      <c r="O576" t="str">
        <f t="shared" si="40"/>
        <v/>
      </c>
      <c r="P576" t="str">
        <f t="shared" si="41"/>
        <v/>
      </c>
      <c r="Q576" t="str">
        <f>IF(OR($P576="",$S576=""),"",IFERROR($P576-INDEX(Config!$E$15:$E$18,MATCH($S576,Config!$B$15:$B$18,0)),""))</f>
        <v/>
      </c>
      <c r="R576" t="str">
        <f t="shared" si="42"/>
        <v/>
      </c>
      <c r="S576" s="6" t="str">
        <f>IF(OR($A576="",$C576=""),"",IFERROR(INDEX(Turno!$C$3:$V$32,MATCH($C576,Turno!$B$3:$B$32,0),MATCH(DAY($A576),Turno!$C$1:$V$1,0)),""))</f>
        <v/>
      </c>
      <c r="T576" t="str">
        <f>IF(OR($E576="",$S576=""),"",IFERROR(MAX(0,ROUND((INDEX(Config!$D$15:$D$18,MATCH($S576,Config!$B$15:$B$18,0))-$E576)*1440,0)),""))</f>
        <v/>
      </c>
      <c r="U576" s="13" t="str">
        <f>IF(OR($N576="",$T576=""),"",IFERROR(MAX(0,1-($N576+$T576+MAX(0,N($Q576)))/ROUND((INDEX(Config!$D$15:$D$18,MATCH($S576,Config!$B$15:$B$18,0))-INDEX(Config!$C$15:$C$18,MATCH($S576,Config!$B$15:$B$18,0)))*1440,0)),""))</f>
        <v/>
      </c>
      <c r="V576" s="5"/>
    </row>
    <row r="577" spans="1:22" x14ac:dyDescent="0.25">
      <c r="A577" s="11"/>
      <c r="B577" s="5"/>
      <c r="C577" s="6" t="str">
        <f>IFERROR(INDEX(Ejecutivos!$B$2:$B$100,MATCH(B577,Ejecutivos!$A$2:$A$100,0)),"")</f>
        <v/>
      </c>
      <c r="D577" s="12"/>
      <c r="E577" s="12"/>
      <c r="F577" s="12"/>
      <c r="G577" s="12"/>
      <c r="H577" s="5"/>
      <c r="I577" s="5"/>
      <c r="J577" s="5"/>
      <c r="K577" s="5"/>
      <c r="L577" s="18">
        <v>0</v>
      </c>
      <c r="M577" t="str">
        <f t="shared" si="39"/>
        <v/>
      </c>
      <c r="N577" t="str">
        <f>IF(OR($D577="",$S577=""),"",IFERROR(MAX(0,ROUND(($D577-INDEX(Config!$C$15:$C$18,MATCH($S577,Config!$B$15:$B$18,0)))*24*60,0)),""))</f>
        <v/>
      </c>
      <c r="O577" t="str">
        <f t="shared" si="40"/>
        <v/>
      </c>
      <c r="P577" t="str">
        <f t="shared" si="41"/>
        <v/>
      </c>
      <c r="Q577" t="str">
        <f>IF(OR($P577="",$S577=""),"",IFERROR($P577-INDEX(Config!$E$15:$E$18,MATCH($S577,Config!$B$15:$B$18,0)),""))</f>
        <v/>
      </c>
      <c r="R577" t="str">
        <f t="shared" si="42"/>
        <v/>
      </c>
      <c r="S577" s="6" t="str">
        <f>IF(OR($A577="",$C577=""),"",IFERROR(INDEX(Turno!$C$3:$V$32,MATCH($C577,Turno!$B$3:$B$32,0),MATCH(DAY($A577),Turno!$C$1:$V$1,0)),""))</f>
        <v/>
      </c>
      <c r="T577" t="str">
        <f>IF(OR($E577="",$S577=""),"",IFERROR(MAX(0,ROUND((INDEX(Config!$D$15:$D$18,MATCH($S577,Config!$B$15:$B$18,0))-$E577)*1440,0)),""))</f>
        <v/>
      </c>
      <c r="U577" s="13" t="str">
        <f>IF(OR($N577="",$T577=""),"",IFERROR(MAX(0,1-($N577+$T577+MAX(0,N($Q577)))/ROUND((INDEX(Config!$D$15:$D$18,MATCH($S577,Config!$B$15:$B$18,0))-INDEX(Config!$C$15:$C$18,MATCH($S577,Config!$B$15:$B$18,0)))*1440,0)),""))</f>
        <v/>
      </c>
      <c r="V577" s="5"/>
    </row>
    <row r="578" spans="1:22" x14ac:dyDescent="0.25">
      <c r="A578" s="11"/>
      <c r="B578" s="5"/>
      <c r="C578" s="6" t="str">
        <f>IFERROR(INDEX(Ejecutivos!$B$2:$B$100,MATCH(B578,Ejecutivos!$A$2:$A$100,0)),"")</f>
        <v/>
      </c>
      <c r="D578" s="12"/>
      <c r="E578" s="12"/>
      <c r="F578" s="12"/>
      <c r="G578" s="12"/>
      <c r="H578" s="5"/>
      <c r="I578" s="5"/>
      <c r="J578" s="5"/>
      <c r="K578" s="5"/>
      <c r="L578" s="18">
        <v>0</v>
      </c>
      <c r="M578" t="str">
        <f t="shared" si="39"/>
        <v/>
      </c>
      <c r="N578" t="str">
        <f>IF(OR($D578="",$S578=""),"",IFERROR(MAX(0,ROUND(($D578-INDEX(Config!$C$15:$C$18,MATCH($S578,Config!$B$15:$B$18,0)))*24*60,0)),""))</f>
        <v/>
      </c>
      <c r="O578" t="str">
        <f t="shared" si="40"/>
        <v/>
      </c>
      <c r="P578" t="str">
        <f t="shared" si="41"/>
        <v/>
      </c>
      <c r="Q578" t="str">
        <f>IF(OR($P578="",$S578=""),"",IFERROR($P578-INDEX(Config!$E$15:$E$18,MATCH($S578,Config!$B$15:$B$18,0)),""))</f>
        <v/>
      </c>
      <c r="R578" t="str">
        <f t="shared" si="42"/>
        <v/>
      </c>
      <c r="S578" s="6" t="str">
        <f>IF(OR($A578="",$C578=""),"",IFERROR(INDEX(Turno!$C$3:$V$32,MATCH($C578,Turno!$B$3:$B$32,0),MATCH(DAY($A578),Turno!$C$1:$V$1,0)),""))</f>
        <v/>
      </c>
      <c r="T578" t="str">
        <f>IF(OR($E578="",$S578=""),"",IFERROR(MAX(0,ROUND((INDEX(Config!$D$15:$D$18,MATCH($S578,Config!$B$15:$B$18,0))-$E578)*1440,0)),""))</f>
        <v/>
      </c>
      <c r="U578" s="13" t="str">
        <f>IF(OR($N578="",$T578=""),"",IFERROR(MAX(0,1-($N578+$T578+MAX(0,N($Q578)))/ROUND((INDEX(Config!$D$15:$D$18,MATCH($S578,Config!$B$15:$B$18,0))-INDEX(Config!$C$15:$C$18,MATCH($S578,Config!$B$15:$B$18,0)))*1440,0)),""))</f>
        <v/>
      </c>
      <c r="V578" s="5"/>
    </row>
    <row r="579" spans="1:22" x14ac:dyDescent="0.25">
      <c r="A579" s="11"/>
      <c r="B579" s="5"/>
      <c r="C579" s="6" t="str">
        <f>IFERROR(INDEX(Ejecutivos!$B$2:$B$100,MATCH(B579,Ejecutivos!$A$2:$A$100,0)),"")</f>
        <v/>
      </c>
      <c r="D579" s="12"/>
      <c r="E579" s="12"/>
      <c r="F579" s="12"/>
      <c r="G579" s="12"/>
      <c r="H579" s="5"/>
      <c r="I579" s="5"/>
      <c r="J579" s="5"/>
      <c r="K579" s="5"/>
      <c r="L579" s="18">
        <v>0</v>
      </c>
      <c r="M579" t="str">
        <f t="shared" si="39"/>
        <v/>
      </c>
      <c r="N579" t="str">
        <f>IF(OR($D579="",$S579=""),"",IFERROR(MAX(0,ROUND(($D579-INDEX(Config!$C$15:$C$18,MATCH($S579,Config!$B$15:$B$18,0)))*24*60,0)),""))</f>
        <v/>
      </c>
      <c r="O579" t="str">
        <f t="shared" si="40"/>
        <v/>
      </c>
      <c r="P579" t="str">
        <f t="shared" si="41"/>
        <v/>
      </c>
      <c r="Q579" t="str">
        <f>IF(OR($P579="",$S579=""),"",IFERROR($P579-INDEX(Config!$E$15:$E$18,MATCH($S579,Config!$B$15:$B$18,0)),""))</f>
        <v/>
      </c>
      <c r="R579" t="str">
        <f t="shared" si="42"/>
        <v/>
      </c>
      <c r="S579" s="6" t="str">
        <f>IF(OR($A579="",$C579=""),"",IFERROR(INDEX(Turno!$C$3:$V$32,MATCH($C579,Turno!$B$3:$B$32,0),MATCH(DAY($A579),Turno!$C$1:$V$1,0)),""))</f>
        <v/>
      </c>
      <c r="T579" t="str">
        <f>IF(OR($E579="",$S579=""),"",IFERROR(MAX(0,ROUND((INDEX(Config!$D$15:$D$18,MATCH($S579,Config!$B$15:$B$18,0))-$E579)*1440,0)),""))</f>
        <v/>
      </c>
      <c r="U579" s="13" t="str">
        <f>IF(OR($N579="",$T579=""),"",IFERROR(MAX(0,1-($N579+$T579+MAX(0,N($Q579)))/ROUND((INDEX(Config!$D$15:$D$18,MATCH($S579,Config!$B$15:$B$18,0))-INDEX(Config!$C$15:$C$18,MATCH($S579,Config!$B$15:$B$18,0)))*1440,0)),""))</f>
        <v/>
      </c>
      <c r="V579" s="5"/>
    </row>
    <row r="580" spans="1:22" x14ac:dyDescent="0.25">
      <c r="A580" s="11"/>
      <c r="B580" s="5"/>
      <c r="C580" s="6" t="str">
        <f>IFERROR(INDEX(Ejecutivos!$B$2:$B$100,MATCH(B580,Ejecutivos!$A$2:$A$100,0)),"")</f>
        <v/>
      </c>
      <c r="D580" s="12"/>
      <c r="E580" s="12"/>
      <c r="F580" s="12"/>
      <c r="G580" s="12"/>
      <c r="H580" s="5"/>
      <c r="I580" s="5"/>
      <c r="J580" s="5"/>
      <c r="K580" s="5"/>
      <c r="L580" s="18">
        <v>0</v>
      </c>
      <c r="M580" t="str">
        <f t="shared" si="39"/>
        <v/>
      </c>
      <c r="N580" t="str">
        <f>IF(OR($D580="",$S580=""),"",IFERROR(MAX(0,ROUND(($D580-INDEX(Config!$C$15:$C$18,MATCH($S580,Config!$B$15:$B$18,0)))*24*60,0)),""))</f>
        <v/>
      </c>
      <c r="O580" t="str">
        <f t="shared" si="40"/>
        <v/>
      </c>
      <c r="P580" t="str">
        <f t="shared" si="41"/>
        <v/>
      </c>
      <c r="Q580" t="str">
        <f>IF(OR($P580="",$S580=""),"",IFERROR($P580-INDEX(Config!$E$15:$E$18,MATCH($S580,Config!$B$15:$B$18,0)),""))</f>
        <v/>
      </c>
      <c r="R580" t="str">
        <f t="shared" si="42"/>
        <v/>
      </c>
      <c r="S580" s="6" t="str">
        <f>IF(OR($A580="",$C580=""),"",IFERROR(INDEX(Turno!$C$3:$V$32,MATCH($C580,Turno!$B$3:$B$32,0),MATCH(DAY($A580),Turno!$C$1:$V$1,0)),""))</f>
        <v/>
      </c>
      <c r="T580" t="str">
        <f>IF(OR($E580="",$S580=""),"",IFERROR(MAX(0,ROUND((INDEX(Config!$D$15:$D$18,MATCH($S580,Config!$B$15:$B$18,0))-$E580)*1440,0)),""))</f>
        <v/>
      </c>
      <c r="U580" s="13" t="str">
        <f>IF(OR($N580="",$T580=""),"",IFERROR(MAX(0,1-($N580+$T580+MAX(0,N($Q580)))/ROUND((INDEX(Config!$D$15:$D$18,MATCH($S580,Config!$B$15:$B$18,0))-INDEX(Config!$C$15:$C$18,MATCH($S580,Config!$B$15:$B$18,0)))*1440,0)),""))</f>
        <v/>
      </c>
      <c r="V580" s="5"/>
    </row>
    <row r="581" spans="1:22" x14ac:dyDescent="0.25">
      <c r="A581" s="11"/>
      <c r="B581" s="5"/>
      <c r="C581" s="6" t="str">
        <f>IFERROR(INDEX(Ejecutivos!$B$2:$B$100,MATCH(B581,Ejecutivos!$A$2:$A$100,0)),"")</f>
        <v/>
      </c>
      <c r="D581" s="12"/>
      <c r="E581" s="12"/>
      <c r="F581" s="12"/>
      <c r="G581" s="12"/>
      <c r="H581" s="5"/>
      <c r="I581" s="5"/>
      <c r="J581" s="5"/>
      <c r="K581" s="5"/>
      <c r="L581" s="18">
        <v>0</v>
      </c>
      <c r="M581" t="str">
        <f t="shared" si="39"/>
        <v/>
      </c>
      <c r="N581" t="str">
        <f>IF(OR($D581="",$S581=""),"",IFERROR(MAX(0,ROUND(($D581-INDEX(Config!$C$15:$C$18,MATCH($S581,Config!$B$15:$B$18,0)))*24*60,0)),""))</f>
        <v/>
      </c>
      <c r="O581" t="str">
        <f t="shared" si="40"/>
        <v/>
      </c>
      <c r="P581" t="str">
        <f t="shared" si="41"/>
        <v/>
      </c>
      <c r="Q581" t="str">
        <f>IF(OR($P581="",$S581=""),"",IFERROR($P581-INDEX(Config!$E$15:$E$18,MATCH($S581,Config!$B$15:$B$18,0)),""))</f>
        <v/>
      </c>
      <c r="R581" t="str">
        <f t="shared" si="42"/>
        <v/>
      </c>
      <c r="S581" s="6" t="str">
        <f>IF(OR($A581="",$C581=""),"",IFERROR(INDEX(Turno!$C$3:$V$32,MATCH($C581,Turno!$B$3:$B$32,0),MATCH(DAY($A581),Turno!$C$1:$V$1,0)),""))</f>
        <v/>
      </c>
      <c r="T581" t="str">
        <f>IF(OR($E581="",$S581=""),"",IFERROR(MAX(0,ROUND((INDEX(Config!$D$15:$D$18,MATCH($S581,Config!$B$15:$B$18,0))-$E581)*1440,0)),""))</f>
        <v/>
      </c>
      <c r="U581" s="13" t="str">
        <f>IF(OR($N581="",$T581=""),"",IFERROR(MAX(0,1-($N581+$T581+MAX(0,N($Q581)))/ROUND((INDEX(Config!$D$15:$D$18,MATCH($S581,Config!$B$15:$B$18,0))-INDEX(Config!$C$15:$C$18,MATCH($S581,Config!$B$15:$B$18,0)))*1440,0)),""))</f>
        <v/>
      </c>
      <c r="V581" s="5"/>
    </row>
    <row r="582" spans="1:22" x14ac:dyDescent="0.25">
      <c r="A582" s="11"/>
      <c r="B582" s="5"/>
      <c r="C582" s="6" t="str">
        <f>IFERROR(INDEX(Ejecutivos!$B$2:$B$100,MATCH(B582,Ejecutivos!$A$2:$A$100,0)),"")</f>
        <v/>
      </c>
      <c r="D582" s="12"/>
      <c r="E582" s="12"/>
      <c r="F582" s="12"/>
      <c r="G582" s="12"/>
      <c r="H582" s="5"/>
      <c r="I582" s="5"/>
      <c r="J582" s="5"/>
      <c r="K582" s="5"/>
      <c r="L582" s="18">
        <v>0</v>
      </c>
      <c r="M582" t="str">
        <f t="shared" si="39"/>
        <v/>
      </c>
      <c r="N582" t="str">
        <f>IF(OR($D582="",$S582=""),"",IFERROR(MAX(0,ROUND(($D582-INDEX(Config!$C$15:$C$18,MATCH($S582,Config!$B$15:$B$18,0)))*24*60,0)),""))</f>
        <v/>
      </c>
      <c r="O582" t="str">
        <f t="shared" si="40"/>
        <v/>
      </c>
      <c r="P582" t="str">
        <f t="shared" si="41"/>
        <v/>
      </c>
      <c r="Q582" t="str">
        <f>IF(OR($P582="",$S582=""),"",IFERROR($P582-INDEX(Config!$E$15:$E$18,MATCH($S582,Config!$B$15:$B$18,0)),""))</f>
        <v/>
      </c>
      <c r="R582" t="str">
        <f t="shared" si="42"/>
        <v/>
      </c>
      <c r="S582" s="6" t="str">
        <f>IF(OR($A582="",$C582=""),"",IFERROR(INDEX(Turno!$C$3:$V$32,MATCH($C582,Turno!$B$3:$B$32,0),MATCH(DAY($A582),Turno!$C$1:$V$1,0)),""))</f>
        <v/>
      </c>
      <c r="T582" t="str">
        <f>IF(OR($E582="",$S582=""),"",IFERROR(MAX(0,ROUND((INDEX(Config!$D$15:$D$18,MATCH($S582,Config!$B$15:$B$18,0))-$E582)*1440,0)),""))</f>
        <v/>
      </c>
      <c r="U582" s="13" t="str">
        <f>IF(OR($N582="",$T582=""),"",IFERROR(MAX(0,1-($N582+$T582+MAX(0,N($Q582)))/ROUND((INDEX(Config!$D$15:$D$18,MATCH($S582,Config!$B$15:$B$18,0))-INDEX(Config!$C$15:$C$18,MATCH($S582,Config!$B$15:$B$18,0)))*1440,0)),""))</f>
        <v/>
      </c>
      <c r="V582" s="5"/>
    </row>
    <row r="583" spans="1:22" x14ac:dyDescent="0.25">
      <c r="A583" s="11"/>
      <c r="B583" s="5"/>
      <c r="C583" s="6" t="str">
        <f>IFERROR(INDEX(Ejecutivos!$B$2:$B$100,MATCH(B583,Ejecutivos!$A$2:$A$100,0)),"")</f>
        <v/>
      </c>
      <c r="D583" s="12"/>
      <c r="E583" s="12"/>
      <c r="F583" s="12"/>
      <c r="G583" s="12"/>
      <c r="H583" s="5"/>
      <c r="I583" s="5"/>
      <c r="J583" s="5"/>
      <c r="K583" s="5"/>
      <c r="L583" s="18">
        <v>0</v>
      </c>
      <c r="M583" t="str">
        <f t="shared" si="39"/>
        <v/>
      </c>
      <c r="N583" t="str">
        <f>IF(OR($D583="",$S583=""),"",IFERROR(MAX(0,ROUND(($D583-INDEX(Config!$C$15:$C$18,MATCH($S583,Config!$B$15:$B$18,0)))*24*60,0)),""))</f>
        <v/>
      </c>
      <c r="O583" t="str">
        <f t="shared" si="40"/>
        <v/>
      </c>
      <c r="P583" t="str">
        <f t="shared" si="41"/>
        <v/>
      </c>
      <c r="Q583" t="str">
        <f>IF(OR($P583="",$S583=""),"",IFERROR($P583-INDEX(Config!$E$15:$E$18,MATCH($S583,Config!$B$15:$B$18,0)),""))</f>
        <v/>
      </c>
      <c r="R583" t="str">
        <f t="shared" si="42"/>
        <v/>
      </c>
      <c r="S583" s="6" t="str">
        <f>IF(OR($A583="",$C583=""),"",IFERROR(INDEX(Turno!$C$3:$V$32,MATCH($C583,Turno!$B$3:$B$32,0),MATCH(DAY($A583),Turno!$C$1:$V$1,0)),""))</f>
        <v/>
      </c>
      <c r="T583" t="str">
        <f>IF(OR($E583="",$S583=""),"",IFERROR(MAX(0,ROUND((INDEX(Config!$D$15:$D$18,MATCH($S583,Config!$B$15:$B$18,0))-$E583)*1440,0)),""))</f>
        <v/>
      </c>
      <c r="U583" s="13" t="str">
        <f>IF(OR($N583="",$T583=""),"",IFERROR(MAX(0,1-($N583+$T583+MAX(0,N($Q583)))/ROUND((INDEX(Config!$D$15:$D$18,MATCH($S583,Config!$B$15:$B$18,0))-INDEX(Config!$C$15:$C$18,MATCH($S583,Config!$B$15:$B$18,0)))*1440,0)),""))</f>
        <v/>
      </c>
      <c r="V583" s="5"/>
    </row>
    <row r="584" spans="1:22" x14ac:dyDescent="0.25">
      <c r="A584" s="11"/>
      <c r="B584" s="5"/>
      <c r="C584" s="6" t="str">
        <f>IFERROR(INDEX(Ejecutivos!$B$2:$B$100,MATCH(B584,Ejecutivos!$A$2:$A$100,0)),"")</f>
        <v/>
      </c>
      <c r="D584" s="12"/>
      <c r="E584" s="12"/>
      <c r="F584" s="12"/>
      <c r="G584" s="12"/>
      <c r="H584" s="5"/>
      <c r="I584" s="5"/>
      <c r="J584" s="5"/>
      <c r="K584" s="5"/>
      <c r="L584" s="18">
        <v>0</v>
      </c>
      <c r="M584" t="str">
        <f t="shared" si="39"/>
        <v/>
      </c>
      <c r="N584" t="str">
        <f>IF(OR($D584="",$S584=""),"",IFERROR(MAX(0,ROUND(($D584-INDEX(Config!$C$15:$C$18,MATCH($S584,Config!$B$15:$B$18,0)))*24*60,0)),""))</f>
        <v/>
      </c>
      <c r="O584" t="str">
        <f t="shared" si="40"/>
        <v/>
      </c>
      <c r="P584" t="str">
        <f t="shared" si="41"/>
        <v/>
      </c>
      <c r="Q584" t="str">
        <f>IF(OR($P584="",$S584=""),"",IFERROR($P584-INDEX(Config!$E$15:$E$18,MATCH($S584,Config!$B$15:$B$18,0)),""))</f>
        <v/>
      </c>
      <c r="R584" t="str">
        <f t="shared" si="42"/>
        <v/>
      </c>
      <c r="S584" s="6" t="str">
        <f>IF(OR($A584="",$C584=""),"",IFERROR(INDEX(Turno!$C$3:$V$32,MATCH($C584,Turno!$B$3:$B$32,0),MATCH(DAY($A584),Turno!$C$1:$V$1,0)),""))</f>
        <v/>
      </c>
      <c r="T584" t="str">
        <f>IF(OR($E584="",$S584=""),"",IFERROR(MAX(0,ROUND((INDEX(Config!$D$15:$D$18,MATCH($S584,Config!$B$15:$B$18,0))-$E584)*1440,0)),""))</f>
        <v/>
      </c>
      <c r="U584" s="13" t="str">
        <f>IF(OR($N584="",$T584=""),"",IFERROR(MAX(0,1-($N584+$T584+MAX(0,N($Q584)))/ROUND((INDEX(Config!$D$15:$D$18,MATCH($S584,Config!$B$15:$B$18,0))-INDEX(Config!$C$15:$C$18,MATCH($S584,Config!$B$15:$B$18,0)))*1440,0)),""))</f>
        <v/>
      </c>
      <c r="V584" s="5"/>
    </row>
    <row r="585" spans="1:22" x14ac:dyDescent="0.25">
      <c r="A585" s="11"/>
      <c r="B585" s="5"/>
      <c r="C585" s="6" t="str">
        <f>IFERROR(INDEX(Ejecutivos!$B$2:$B$100,MATCH(B585,Ejecutivos!$A$2:$A$100,0)),"")</f>
        <v/>
      </c>
      <c r="D585" s="12"/>
      <c r="E585" s="12"/>
      <c r="F585" s="12"/>
      <c r="G585" s="12"/>
      <c r="H585" s="5"/>
      <c r="I585" s="5"/>
      <c r="J585" s="5"/>
      <c r="K585" s="5"/>
      <c r="L585" s="18">
        <v>0</v>
      </c>
      <c r="M585" t="str">
        <f t="shared" si="39"/>
        <v/>
      </c>
      <c r="N585" t="str">
        <f>IF(OR($D585="",$S585=""),"",IFERROR(MAX(0,ROUND(($D585-INDEX(Config!$C$15:$C$18,MATCH($S585,Config!$B$15:$B$18,0)))*24*60,0)),""))</f>
        <v/>
      </c>
      <c r="O585" t="str">
        <f t="shared" si="40"/>
        <v/>
      </c>
      <c r="P585" t="str">
        <f t="shared" si="41"/>
        <v/>
      </c>
      <c r="Q585" t="str">
        <f>IF(OR($P585="",$S585=""),"",IFERROR($P585-INDEX(Config!$E$15:$E$18,MATCH($S585,Config!$B$15:$B$18,0)),""))</f>
        <v/>
      </c>
      <c r="R585" t="str">
        <f t="shared" si="42"/>
        <v/>
      </c>
      <c r="S585" s="6" t="str">
        <f>IF(OR($A585="",$C585=""),"",IFERROR(INDEX(Turno!$C$3:$V$32,MATCH($C585,Turno!$B$3:$B$32,0),MATCH(DAY($A585),Turno!$C$1:$V$1,0)),""))</f>
        <v/>
      </c>
      <c r="T585" t="str">
        <f>IF(OR($E585="",$S585=""),"",IFERROR(MAX(0,ROUND((INDEX(Config!$D$15:$D$18,MATCH($S585,Config!$B$15:$B$18,0))-$E585)*1440,0)),""))</f>
        <v/>
      </c>
      <c r="U585" s="13" t="str">
        <f>IF(OR($N585="",$T585=""),"",IFERROR(MAX(0,1-($N585+$T585+MAX(0,N($Q585)))/ROUND((INDEX(Config!$D$15:$D$18,MATCH($S585,Config!$B$15:$B$18,0))-INDEX(Config!$C$15:$C$18,MATCH($S585,Config!$B$15:$B$18,0)))*1440,0)),""))</f>
        <v/>
      </c>
      <c r="V585" s="5"/>
    </row>
    <row r="586" spans="1:22" x14ac:dyDescent="0.25">
      <c r="A586" s="11"/>
      <c r="B586" s="5"/>
      <c r="C586" s="6" t="str">
        <f>IFERROR(INDEX(Ejecutivos!$B$2:$B$100,MATCH(B586,Ejecutivos!$A$2:$A$100,0)),"")</f>
        <v/>
      </c>
      <c r="D586" s="12"/>
      <c r="E586" s="12"/>
      <c r="F586" s="12"/>
      <c r="G586" s="12"/>
      <c r="H586" s="5"/>
      <c r="I586" s="5"/>
      <c r="J586" s="5"/>
      <c r="K586" s="5"/>
      <c r="L586" s="18">
        <v>0</v>
      </c>
      <c r="M586" t="str">
        <f t="shared" si="39"/>
        <v/>
      </c>
      <c r="N586" t="str">
        <f>IF(OR($D586="",$S586=""),"",IFERROR(MAX(0,ROUND(($D586-INDEX(Config!$C$15:$C$18,MATCH($S586,Config!$B$15:$B$18,0)))*24*60,0)),""))</f>
        <v/>
      </c>
      <c r="O586" t="str">
        <f t="shared" si="40"/>
        <v/>
      </c>
      <c r="P586" t="str">
        <f t="shared" si="41"/>
        <v/>
      </c>
      <c r="Q586" t="str">
        <f>IF(OR($P586="",$S586=""),"",IFERROR($P586-INDEX(Config!$E$15:$E$18,MATCH($S586,Config!$B$15:$B$18,0)),""))</f>
        <v/>
      </c>
      <c r="R586" t="str">
        <f t="shared" si="42"/>
        <v/>
      </c>
      <c r="S586" s="6" t="str">
        <f>IF(OR($A586="",$C586=""),"",IFERROR(INDEX(Turno!$C$3:$V$32,MATCH($C586,Turno!$B$3:$B$32,0),MATCH(DAY($A586),Turno!$C$1:$V$1,0)),""))</f>
        <v/>
      </c>
      <c r="T586" t="str">
        <f>IF(OR($E586="",$S586=""),"",IFERROR(MAX(0,ROUND((INDEX(Config!$D$15:$D$18,MATCH($S586,Config!$B$15:$B$18,0))-$E586)*1440,0)),""))</f>
        <v/>
      </c>
      <c r="U586" s="13" t="str">
        <f>IF(OR($N586="",$T586=""),"",IFERROR(MAX(0,1-($N586+$T586+MAX(0,N($Q586)))/ROUND((INDEX(Config!$D$15:$D$18,MATCH($S586,Config!$B$15:$B$18,0))-INDEX(Config!$C$15:$C$18,MATCH($S586,Config!$B$15:$B$18,0)))*1440,0)),""))</f>
        <v/>
      </c>
      <c r="V586" s="5"/>
    </row>
    <row r="587" spans="1:22" x14ac:dyDescent="0.25">
      <c r="A587" s="11"/>
      <c r="B587" s="5"/>
      <c r="C587" s="6" t="str">
        <f>IFERROR(INDEX(Ejecutivos!$B$2:$B$100,MATCH(B587,Ejecutivos!$A$2:$A$100,0)),"")</f>
        <v/>
      </c>
      <c r="D587" s="12"/>
      <c r="E587" s="12"/>
      <c r="F587" s="12"/>
      <c r="G587" s="12"/>
      <c r="H587" s="5"/>
      <c r="I587" s="5"/>
      <c r="J587" s="5"/>
      <c r="K587" s="5"/>
      <c r="L587" s="18">
        <v>0</v>
      </c>
      <c r="M587" t="str">
        <f t="shared" si="39"/>
        <v/>
      </c>
      <c r="N587" t="str">
        <f>IF(OR($D587="",$S587=""),"",IFERROR(MAX(0,ROUND(($D587-INDEX(Config!$C$15:$C$18,MATCH($S587,Config!$B$15:$B$18,0)))*24*60,0)),""))</f>
        <v/>
      </c>
      <c r="O587" t="str">
        <f t="shared" si="40"/>
        <v/>
      </c>
      <c r="P587" t="str">
        <f t="shared" si="41"/>
        <v/>
      </c>
      <c r="Q587" t="str">
        <f>IF(OR($P587="",$S587=""),"",IFERROR($P587-INDEX(Config!$E$15:$E$18,MATCH($S587,Config!$B$15:$B$18,0)),""))</f>
        <v/>
      </c>
      <c r="R587" t="str">
        <f t="shared" si="42"/>
        <v/>
      </c>
      <c r="S587" s="6" t="str">
        <f>IF(OR($A587="",$C587=""),"",IFERROR(INDEX(Turno!$C$3:$V$32,MATCH($C587,Turno!$B$3:$B$32,0),MATCH(DAY($A587),Turno!$C$1:$V$1,0)),""))</f>
        <v/>
      </c>
      <c r="T587" t="str">
        <f>IF(OR($E587="",$S587=""),"",IFERROR(MAX(0,ROUND((INDEX(Config!$D$15:$D$18,MATCH($S587,Config!$B$15:$B$18,0))-$E587)*1440,0)),""))</f>
        <v/>
      </c>
      <c r="U587" s="13" t="str">
        <f>IF(OR($N587="",$T587=""),"",IFERROR(MAX(0,1-($N587+$T587+MAX(0,N($Q587)))/ROUND((INDEX(Config!$D$15:$D$18,MATCH($S587,Config!$B$15:$B$18,0))-INDEX(Config!$C$15:$C$18,MATCH($S587,Config!$B$15:$B$18,0)))*1440,0)),""))</f>
        <v/>
      </c>
      <c r="V587" s="5"/>
    </row>
    <row r="588" spans="1:22" x14ac:dyDescent="0.25">
      <c r="A588" s="11"/>
      <c r="B588" s="5"/>
      <c r="C588" s="6" t="str">
        <f>IFERROR(INDEX(Ejecutivos!$B$2:$B$100,MATCH(B588,Ejecutivos!$A$2:$A$100,0)),"")</f>
        <v/>
      </c>
      <c r="D588" s="12"/>
      <c r="E588" s="12"/>
      <c r="F588" s="12"/>
      <c r="G588" s="12"/>
      <c r="H588" s="5"/>
      <c r="I588" s="5"/>
      <c r="J588" s="5"/>
      <c r="K588" s="5"/>
      <c r="L588" s="18">
        <v>0</v>
      </c>
      <c r="M588" t="str">
        <f t="shared" si="39"/>
        <v/>
      </c>
      <c r="N588" t="str">
        <f>IF(OR($D588="",$S588=""),"",IFERROR(MAX(0,ROUND(($D588-INDEX(Config!$C$15:$C$18,MATCH($S588,Config!$B$15:$B$18,0)))*24*60,0)),""))</f>
        <v/>
      </c>
      <c r="O588" t="str">
        <f t="shared" si="40"/>
        <v/>
      </c>
      <c r="P588" t="str">
        <f t="shared" si="41"/>
        <v/>
      </c>
      <c r="Q588" t="str">
        <f>IF(OR($P588="",$S588=""),"",IFERROR($P588-INDEX(Config!$E$15:$E$18,MATCH($S588,Config!$B$15:$B$18,0)),""))</f>
        <v/>
      </c>
      <c r="R588" t="str">
        <f t="shared" si="42"/>
        <v/>
      </c>
      <c r="S588" s="6" t="str">
        <f>IF(OR($A588="",$C588=""),"",IFERROR(INDEX(Turno!$C$3:$V$32,MATCH($C588,Turno!$B$3:$B$32,0),MATCH(DAY($A588),Turno!$C$1:$V$1,0)),""))</f>
        <v/>
      </c>
      <c r="T588" t="str">
        <f>IF(OR($E588="",$S588=""),"",IFERROR(MAX(0,ROUND((INDEX(Config!$D$15:$D$18,MATCH($S588,Config!$B$15:$B$18,0))-$E588)*1440,0)),""))</f>
        <v/>
      </c>
      <c r="U588" s="13" t="str">
        <f>IF(OR($N588="",$T588=""),"",IFERROR(MAX(0,1-($N588+$T588+MAX(0,N($Q588)))/ROUND((INDEX(Config!$D$15:$D$18,MATCH($S588,Config!$B$15:$B$18,0))-INDEX(Config!$C$15:$C$18,MATCH($S588,Config!$B$15:$B$18,0)))*1440,0)),""))</f>
        <v/>
      </c>
      <c r="V588" s="5"/>
    </row>
    <row r="589" spans="1:22" x14ac:dyDescent="0.25">
      <c r="A589" s="11"/>
      <c r="B589" s="5"/>
      <c r="C589" s="6" t="str">
        <f>IFERROR(INDEX(Ejecutivos!$B$2:$B$100,MATCH(B589,Ejecutivos!$A$2:$A$100,0)),"")</f>
        <v/>
      </c>
      <c r="D589" s="12"/>
      <c r="E589" s="12"/>
      <c r="F589" s="12"/>
      <c r="G589" s="12"/>
      <c r="H589" s="5"/>
      <c r="I589" s="5"/>
      <c r="J589" s="5"/>
      <c r="K589" s="5"/>
      <c r="L589" s="18">
        <v>0</v>
      </c>
      <c r="M589" t="str">
        <f t="shared" si="39"/>
        <v/>
      </c>
      <c r="N589" t="str">
        <f>IF(OR($D589="",$S589=""),"",IFERROR(MAX(0,ROUND(($D589-INDEX(Config!$C$15:$C$18,MATCH($S589,Config!$B$15:$B$18,0)))*24*60,0)),""))</f>
        <v/>
      </c>
      <c r="O589" t="str">
        <f t="shared" si="40"/>
        <v/>
      </c>
      <c r="P589" t="str">
        <f t="shared" si="41"/>
        <v/>
      </c>
      <c r="Q589" t="str">
        <f>IF(OR($P589="",$S589=""),"",IFERROR($P589-INDEX(Config!$E$15:$E$18,MATCH($S589,Config!$B$15:$B$18,0)),""))</f>
        <v/>
      </c>
      <c r="R589" t="str">
        <f t="shared" si="42"/>
        <v/>
      </c>
      <c r="S589" s="6" t="str">
        <f>IF(OR($A589="",$C589=""),"",IFERROR(INDEX(Turno!$C$3:$V$32,MATCH($C589,Turno!$B$3:$B$32,0),MATCH(DAY($A589),Turno!$C$1:$V$1,0)),""))</f>
        <v/>
      </c>
      <c r="T589" t="str">
        <f>IF(OR($E589="",$S589=""),"",IFERROR(MAX(0,ROUND((INDEX(Config!$D$15:$D$18,MATCH($S589,Config!$B$15:$B$18,0))-$E589)*1440,0)),""))</f>
        <v/>
      </c>
      <c r="U589" s="13" t="str">
        <f>IF(OR($N589="",$T589=""),"",IFERROR(MAX(0,1-($N589+$T589+MAX(0,N($Q589)))/ROUND((INDEX(Config!$D$15:$D$18,MATCH($S589,Config!$B$15:$B$18,0))-INDEX(Config!$C$15:$C$18,MATCH($S589,Config!$B$15:$B$18,0)))*1440,0)),""))</f>
        <v/>
      </c>
      <c r="V589" s="5"/>
    </row>
    <row r="590" spans="1:22" x14ac:dyDescent="0.25">
      <c r="A590" s="11"/>
      <c r="B590" s="5"/>
      <c r="C590" s="6" t="str">
        <f>IFERROR(INDEX(Ejecutivos!$B$2:$B$100,MATCH(B590,Ejecutivos!$A$2:$A$100,0)),"")</f>
        <v/>
      </c>
      <c r="D590" s="12"/>
      <c r="E590" s="12"/>
      <c r="F590" s="12"/>
      <c r="G590" s="12"/>
      <c r="H590" s="5"/>
      <c r="I590" s="5"/>
      <c r="J590" s="5"/>
      <c r="K590" s="5"/>
      <c r="L590" s="18">
        <v>0</v>
      </c>
      <c r="M590" t="str">
        <f t="shared" si="39"/>
        <v/>
      </c>
      <c r="N590" t="str">
        <f>IF(OR($D590="",$S590=""),"",IFERROR(MAX(0,ROUND(($D590-INDEX(Config!$C$15:$C$18,MATCH($S590,Config!$B$15:$B$18,0)))*24*60,0)),""))</f>
        <v/>
      </c>
      <c r="O590" t="str">
        <f t="shared" si="40"/>
        <v/>
      </c>
      <c r="P590" t="str">
        <f t="shared" si="41"/>
        <v/>
      </c>
      <c r="Q590" t="str">
        <f>IF(OR($P590="",$S590=""),"",IFERROR($P590-INDEX(Config!$E$15:$E$18,MATCH($S590,Config!$B$15:$B$18,0)),""))</f>
        <v/>
      </c>
      <c r="R590" t="str">
        <f t="shared" si="42"/>
        <v/>
      </c>
      <c r="S590" s="6" t="str">
        <f>IF(OR($A590="",$C590=""),"",IFERROR(INDEX(Turno!$C$3:$V$32,MATCH($C590,Turno!$B$3:$B$32,0),MATCH(DAY($A590),Turno!$C$1:$V$1,0)),""))</f>
        <v/>
      </c>
      <c r="T590" t="str">
        <f>IF(OR($E590="",$S590=""),"",IFERROR(MAX(0,ROUND((INDEX(Config!$D$15:$D$18,MATCH($S590,Config!$B$15:$B$18,0))-$E590)*1440,0)),""))</f>
        <v/>
      </c>
      <c r="U590" s="13" t="str">
        <f>IF(OR($N590="",$T590=""),"",IFERROR(MAX(0,1-($N590+$T590+MAX(0,N($Q590)))/ROUND((INDEX(Config!$D$15:$D$18,MATCH($S590,Config!$B$15:$B$18,0))-INDEX(Config!$C$15:$C$18,MATCH($S590,Config!$B$15:$B$18,0)))*1440,0)),""))</f>
        <v/>
      </c>
      <c r="V590" s="5"/>
    </row>
    <row r="591" spans="1:22" x14ac:dyDescent="0.25">
      <c r="A591" s="11"/>
      <c r="B591" s="5"/>
      <c r="C591" s="6" t="str">
        <f>IFERROR(INDEX(Ejecutivos!$B$2:$B$100,MATCH(B591,Ejecutivos!$A$2:$A$100,0)),"")</f>
        <v/>
      </c>
      <c r="D591" s="12"/>
      <c r="E591" s="12"/>
      <c r="F591" s="12"/>
      <c r="G591" s="12"/>
      <c r="H591" s="5"/>
      <c r="I591" s="5"/>
      <c r="J591" s="5"/>
      <c r="K591" s="5"/>
      <c r="L591" s="18">
        <v>0</v>
      </c>
      <c r="M591" t="str">
        <f t="shared" si="39"/>
        <v/>
      </c>
      <c r="N591" t="str">
        <f>IF(OR($D591="",$S591=""),"",IFERROR(MAX(0,ROUND(($D591-INDEX(Config!$C$15:$C$18,MATCH($S591,Config!$B$15:$B$18,0)))*24*60,0)),""))</f>
        <v/>
      </c>
      <c r="O591" t="str">
        <f t="shared" si="40"/>
        <v/>
      </c>
      <c r="P591" t="str">
        <f t="shared" si="41"/>
        <v/>
      </c>
      <c r="Q591" t="str">
        <f>IF(OR($P591="",$S591=""),"",IFERROR($P591-INDEX(Config!$E$15:$E$18,MATCH($S591,Config!$B$15:$B$18,0)),""))</f>
        <v/>
      </c>
      <c r="R591" t="str">
        <f t="shared" si="42"/>
        <v/>
      </c>
      <c r="S591" s="6" t="str">
        <f>IF(OR($A591="",$C591=""),"",IFERROR(INDEX(Turno!$C$3:$V$32,MATCH($C591,Turno!$B$3:$B$32,0),MATCH(DAY($A591),Turno!$C$1:$V$1,0)),""))</f>
        <v/>
      </c>
      <c r="T591" t="str">
        <f>IF(OR($E591="",$S591=""),"",IFERROR(MAX(0,ROUND((INDEX(Config!$D$15:$D$18,MATCH($S591,Config!$B$15:$B$18,0))-$E591)*1440,0)),""))</f>
        <v/>
      </c>
      <c r="U591" s="13" t="str">
        <f>IF(OR($N591="",$T591=""),"",IFERROR(MAX(0,1-($N591+$T591+MAX(0,N($Q591)))/ROUND((INDEX(Config!$D$15:$D$18,MATCH($S591,Config!$B$15:$B$18,0))-INDEX(Config!$C$15:$C$18,MATCH($S591,Config!$B$15:$B$18,0)))*1440,0)),""))</f>
        <v/>
      </c>
      <c r="V591" s="5"/>
    </row>
    <row r="592" spans="1:22" x14ac:dyDescent="0.25">
      <c r="A592" s="11"/>
      <c r="B592" s="5"/>
      <c r="C592" s="6" t="str">
        <f>IFERROR(INDEX(Ejecutivos!$B$2:$B$100,MATCH(B592,Ejecutivos!$A$2:$A$100,0)),"")</f>
        <v/>
      </c>
      <c r="D592" s="12"/>
      <c r="E592" s="12"/>
      <c r="F592" s="12"/>
      <c r="G592" s="12"/>
      <c r="H592" s="5"/>
      <c r="I592" s="5"/>
      <c r="J592" s="5"/>
      <c r="K592" s="5"/>
      <c r="L592" s="18">
        <v>0</v>
      </c>
      <c r="M592" t="str">
        <f t="shared" si="39"/>
        <v/>
      </c>
      <c r="N592" t="str">
        <f>IF(OR($D592="",$S592=""),"",IFERROR(MAX(0,ROUND(($D592-INDEX(Config!$C$15:$C$18,MATCH($S592,Config!$B$15:$B$18,0)))*24*60,0)),""))</f>
        <v/>
      </c>
      <c r="O592" t="str">
        <f t="shared" si="40"/>
        <v/>
      </c>
      <c r="P592" t="str">
        <f t="shared" si="41"/>
        <v/>
      </c>
      <c r="Q592" t="str">
        <f>IF(OR($P592="",$S592=""),"",IFERROR($P592-INDEX(Config!$E$15:$E$18,MATCH($S592,Config!$B$15:$B$18,0)),""))</f>
        <v/>
      </c>
      <c r="R592" t="str">
        <f t="shared" si="42"/>
        <v/>
      </c>
      <c r="S592" s="6" t="str">
        <f>IF(OR($A592="",$C592=""),"",IFERROR(INDEX(Turno!$C$3:$V$32,MATCH($C592,Turno!$B$3:$B$32,0),MATCH(DAY($A592),Turno!$C$1:$V$1,0)),""))</f>
        <v/>
      </c>
      <c r="T592" t="str">
        <f>IF(OR($E592="",$S592=""),"",IFERROR(MAX(0,ROUND((INDEX(Config!$D$15:$D$18,MATCH($S592,Config!$B$15:$B$18,0))-$E592)*1440,0)),""))</f>
        <v/>
      </c>
      <c r="U592" s="13" t="str">
        <f>IF(OR($N592="",$T592=""),"",IFERROR(MAX(0,1-($N592+$T592+MAX(0,N($Q592)))/ROUND((INDEX(Config!$D$15:$D$18,MATCH($S592,Config!$B$15:$B$18,0))-INDEX(Config!$C$15:$C$18,MATCH($S592,Config!$B$15:$B$18,0)))*1440,0)),""))</f>
        <v/>
      </c>
      <c r="V592" s="5"/>
    </row>
    <row r="593" spans="1:22" x14ac:dyDescent="0.25">
      <c r="A593" s="11"/>
      <c r="B593" s="5"/>
      <c r="C593" s="6" t="str">
        <f>IFERROR(INDEX(Ejecutivos!$B$2:$B$100,MATCH(B593,Ejecutivos!$A$2:$A$100,0)),"")</f>
        <v/>
      </c>
      <c r="D593" s="12"/>
      <c r="E593" s="12"/>
      <c r="F593" s="12"/>
      <c r="G593" s="12"/>
      <c r="H593" s="5"/>
      <c r="I593" s="5"/>
      <c r="J593" s="5"/>
      <c r="K593" s="5"/>
      <c r="L593" s="18">
        <v>0</v>
      </c>
      <c r="M593" t="str">
        <f t="shared" si="39"/>
        <v/>
      </c>
      <c r="N593" t="str">
        <f>IF(OR($D593="",$S593=""),"",IFERROR(MAX(0,ROUND(($D593-INDEX(Config!$C$15:$C$18,MATCH($S593,Config!$B$15:$B$18,0)))*24*60,0)),""))</f>
        <v/>
      </c>
      <c r="O593" t="str">
        <f t="shared" si="40"/>
        <v/>
      </c>
      <c r="P593" t="str">
        <f t="shared" si="41"/>
        <v/>
      </c>
      <c r="Q593" t="str">
        <f>IF(OR($P593="",$S593=""),"",IFERROR($P593-INDEX(Config!$E$15:$E$18,MATCH($S593,Config!$B$15:$B$18,0)),""))</f>
        <v/>
      </c>
      <c r="R593" t="str">
        <f t="shared" si="42"/>
        <v/>
      </c>
      <c r="S593" s="6" t="str">
        <f>IF(OR($A593="",$C593=""),"",IFERROR(INDEX(Turno!$C$3:$V$32,MATCH($C593,Turno!$B$3:$B$32,0),MATCH(DAY($A593),Turno!$C$1:$V$1,0)),""))</f>
        <v/>
      </c>
      <c r="T593" t="str">
        <f>IF(OR($E593="",$S593=""),"",IFERROR(MAX(0,ROUND((INDEX(Config!$D$15:$D$18,MATCH($S593,Config!$B$15:$B$18,0))-$E593)*1440,0)),""))</f>
        <v/>
      </c>
      <c r="U593" s="13" t="str">
        <f>IF(OR($N593="",$T593=""),"",IFERROR(MAX(0,1-($N593+$T593+MAX(0,N($Q593)))/ROUND((INDEX(Config!$D$15:$D$18,MATCH($S593,Config!$B$15:$B$18,0))-INDEX(Config!$C$15:$C$18,MATCH($S593,Config!$B$15:$B$18,0)))*1440,0)),""))</f>
        <v/>
      </c>
      <c r="V593" s="5"/>
    </row>
    <row r="594" spans="1:22" x14ac:dyDescent="0.25">
      <c r="A594" s="11"/>
      <c r="B594" s="5"/>
      <c r="C594" s="6" t="str">
        <f>IFERROR(INDEX(Ejecutivos!$B$2:$B$100,MATCH(B594,Ejecutivos!$A$2:$A$100,0)),"")</f>
        <v/>
      </c>
      <c r="D594" s="12"/>
      <c r="E594" s="12"/>
      <c r="F594" s="12"/>
      <c r="G594" s="12"/>
      <c r="H594" s="5"/>
      <c r="I594" s="5"/>
      <c r="J594" s="5"/>
      <c r="K594" s="5"/>
      <c r="L594" s="18">
        <v>0</v>
      </c>
      <c r="M594" t="str">
        <f t="shared" si="39"/>
        <v/>
      </c>
      <c r="N594" t="str">
        <f>IF(OR($D594="",$S594=""),"",IFERROR(MAX(0,ROUND(($D594-INDEX(Config!$C$15:$C$18,MATCH($S594,Config!$B$15:$B$18,0)))*24*60,0)),""))</f>
        <v/>
      </c>
      <c r="O594" t="str">
        <f t="shared" si="40"/>
        <v/>
      </c>
      <c r="P594" t="str">
        <f t="shared" si="41"/>
        <v/>
      </c>
      <c r="Q594" t="str">
        <f>IF(OR($P594="",$S594=""),"",IFERROR($P594-INDEX(Config!$E$15:$E$18,MATCH($S594,Config!$B$15:$B$18,0)),""))</f>
        <v/>
      </c>
      <c r="R594" t="str">
        <f t="shared" si="42"/>
        <v/>
      </c>
      <c r="S594" s="6" t="str">
        <f>IF(OR($A594="",$C594=""),"",IFERROR(INDEX(Turno!$C$3:$V$32,MATCH($C594,Turno!$B$3:$B$32,0),MATCH(DAY($A594),Turno!$C$1:$V$1,0)),""))</f>
        <v/>
      </c>
      <c r="T594" t="str">
        <f>IF(OR($E594="",$S594=""),"",IFERROR(MAX(0,ROUND((INDEX(Config!$D$15:$D$18,MATCH($S594,Config!$B$15:$B$18,0))-$E594)*1440,0)),""))</f>
        <v/>
      </c>
      <c r="U594" s="13" t="str">
        <f>IF(OR($N594="",$T594=""),"",IFERROR(MAX(0,1-($N594+$T594+MAX(0,N($Q594)))/ROUND((INDEX(Config!$D$15:$D$18,MATCH($S594,Config!$B$15:$B$18,0))-INDEX(Config!$C$15:$C$18,MATCH($S594,Config!$B$15:$B$18,0)))*1440,0)),""))</f>
        <v/>
      </c>
      <c r="V594" s="5"/>
    </row>
    <row r="595" spans="1:22" x14ac:dyDescent="0.25">
      <c r="A595" s="11"/>
      <c r="B595" s="5"/>
      <c r="C595" s="6" t="str">
        <f>IFERROR(INDEX(Ejecutivos!$B$2:$B$100,MATCH(B595,Ejecutivos!$A$2:$A$100,0)),"")</f>
        <v/>
      </c>
      <c r="D595" s="12"/>
      <c r="E595" s="12"/>
      <c r="F595" s="12"/>
      <c r="G595" s="12"/>
      <c r="H595" s="5"/>
      <c r="I595" s="5"/>
      <c r="J595" s="5"/>
      <c r="K595" s="5"/>
      <c r="L595" s="18">
        <v>0</v>
      </c>
      <c r="M595" t="str">
        <f t="shared" si="39"/>
        <v/>
      </c>
      <c r="N595" t="str">
        <f>IF(OR($D595="",$S595=""),"",IFERROR(MAX(0,ROUND(($D595-INDEX(Config!$C$15:$C$18,MATCH($S595,Config!$B$15:$B$18,0)))*24*60,0)),""))</f>
        <v/>
      </c>
      <c r="O595" t="str">
        <f t="shared" si="40"/>
        <v/>
      </c>
      <c r="P595" t="str">
        <f t="shared" si="41"/>
        <v/>
      </c>
      <c r="Q595" t="str">
        <f>IF(OR($P595="",$S595=""),"",IFERROR($P595-INDEX(Config!$E$15:$E$18,MATCH($S595,Config!$B$15:$B$18,0)),""))</f>
        <v/>
      </c>
      <c r="R595" t="str">
        <f t="shared" si="42"/>
        <v/>
      </c>
      <c r="S595" s="6" t="str">
        <f>IF(OR($A595="",$C595=""),"",IFERROR(INDEX(Turno!$C$3:$V$32,MATCH($C595,Turno!$B$3:$B$32,0),MATCH(DAY($A595),Turno!$C$1:$V$1,0)),""))</f>
        <v/>
      </c>
      <c r="T595" t="str">
        <f>IF(OR($E595="",$S595=""),"",IFERROR(MAX(0,ROUND((INDEX(Config!$D$15:$D$18,MATCH($S595,Config!$B$15:$B$18,0))-$E595)*1440,0)),""))</f>
        <v/>
      </c>
      <c r="U595" s="13" t="str">
        <f>IF(OR($N595="",$T595=""),"",IFERROR(MAX(0,1-($N595+$T595+MAX(0,N($Q595)))/ROUND((INDEX(Config!$D$15:$D$18,MATCH($S595,Config!$B$15:$B$18,0))-INDEX(Config!$C$15:$C$18,MATCH($S595,Config!$B$15:$B$18,0)))*1440,0)),""))</f>
        <v/>
      </c>
      <c r="V595" s="5"/>
    </row>
    <row r="596" spans="1:22" x14ac:dyDescent="0.25">
      <c r="A596" s="11"/>
      <c r="B596" s="5"/>
      <c r="C596" s="6" t="str">
        <f>IFERROR(INDEX(Ejecutivos!$B$2:$B$100,MATCH(B596,Ejecutivos!$A$2:$A$100,0)),"")</f>
        <v/>
      </c>
      <c r="D596" s="12"/>
      <c r="E596" s="12"/>
      <c r="F596" s="12"/>
      <c r="G596" s="12"/>
      <c r="H596" s="5"/>
      <c r="I596" s="5"/>
      <c r="J596" s="5"/>
      <c r="K596" s="5"/>
      <c r="L596" s="18">
        <v>0</v>
      </c>
      <c r="M596" t="str">
        <f t="shared" si="39"/>
        <v/>
      </c>
      <c r="N596" t="str">
        <f>IF(OR($D596="",$S596=""),"",IFERROR(MAX(0,ROUND(($D596-INDEX(Config!$C$15:$C$18,MATCH($S596,Config!$B$15:$B$18,0)))*24*60,0)),""))</f>
        <v/>
      </c>
      <c r="O596" t="str">
        <f t="shared" si="40"/>
        <v/>
      </c>
      <c r="P596" t="str">
        <f t="shared" si="41"/>
        <v/>
      </c>
      <c r="Q596" t="str">
        <f>IF(OR($P596="",$S596=""),"",IFERROR($P596-INDEX(Config!$E$15:$E$18,MATCH($S596,Config!$B$15:$B$18,0)),""))</f>
        <v/>
      </c>
      <c r="R596" t="str">
        <f t="shared" si="42"/>
        <v/>
      </c>
      <c r="S596" s="6" t="str">
        <f>IF(OR($A596="",$C596=""),"",IFERROR(INDEX(Turno!$C$3:$V$32,MATCH($C596,Turno!$B$3:$B$32,0),MATCH(DAY($A596),Turno!$C$1:$V$1,0)),""))</f>
        <v/>
      </c>
      <c r="T596" t="str">
        <f>IF(OR($E596="",$S596=""),"",IFERROR(MAX(0,ROUND((INDEX(Config!$D$15:$D$18,MATCH($S596,Config!$B$15:$B$18,0))-$E596)*1440,0)),""))</f>
        <v/>
      </c>
      <c r="U596" s="13" t="str">
        <f>IF(OR($N596="",$T596=""),"",IFERROR(MAX(0,1-($N596+$T596+MAX(0,N($Q596)))/ROUND((INDEX(Config!$D$15:$D$18,MATCH($S596,Config!$B$15:$B$18,0))-INDEX(Config!$C$15:$C$18,MATCH($S596,Config!$B$15:$B$18,0)))*1440,0)),""))</f>
        <v/>
      </c>
      <c r="V596" s="5"/>
    </row>
    <row r="597" spans="1:22" x14ac:dyDescent="0.25">
      <c r="A597" s="11"/>
      <c r="B597" s="5"/>
      <c r="C597" s="6" t="str">
        <f>IFERROR(INDEX(Ejecutivos!$B$2:$B$100,MATCH(B597,Ejecutivos!$A$2:$A$100,0)),"")</f>
        <v/>
      </c>
      <c r="D597" s="12"/>
      <c r="E597" s="12"/>
      <c r="F597" s="12"/>
      <c r="G597" s="12"/>
      <c r="H597" s="5"/>
      <c r="I597" s="5"/>
      <c r="J597" s="5"/>
      <c r="K597" s="5"/>
      <c r="L597" s="18">
        <v>0</v>
      </c>
      <c r="M597" t="str">
        <f t="shared" si="39"/>
        <v/>
      </c>
      <c r="N597" t="str">
        <f>IF(OR($D597="",$S597=""),"",IFERROR(MAX(0,ROUND(($D597-INDEX(Config!$C$15:$C$18,MATCH($S597,Config!$B$15:$B$18,0)))*24*60,0)),""))</f>
        <v/>
      </c>
      <c r="O597" t="str">
        <f t="shared" si="40"/>
        <v/>
      </c>
      <c r="P597" t="str">
        <f t="shared" si="41"/>
        <v/>
      </c>
      <c r="Q597" t="str">
        <f>IF(OR($P597="",$S597=""),"",IFERROR($P597-INDEX(Config!$E$15:$E$18,MATCH($S597,Config!$B$15:$B$18,0)),""))</f>
        <v/>
      </c>
      <c r="R597" t="str">
        <f t="shared" si="42"/>
        <v/>
      </c>
      <c r="S597" s="6" t="str">
        <f>IF(OR($A597="",$C597=""),"",IFERROR(INDEX(Turno!$C$3:$V$32,MATCH($C597,Turno!$B$3:$B$32,0),MATCH(DAY($A597),Turno!$C$1:$V$1,0)),""))</f>
        <v/>
      </c>
      <c r="T597" t="str">
        <f>IF(OR($E597="",$S597=""),"",IFERROR(MAX(0,ROUND((INDEX(Config!$D$15:$D$18,MATCH($S597,Config!$B$15:$B$18,0))-$E597)*1440,0)),""))</f>
        <v/>
      </c>
      <c r="U597" s="13" t="str">
        <f>IF(OR($N597="",$T597=""),"",IFERROR(MAX(0,1-($N597+$T597+MAX(0,N($Q597)))/ROUND((INDEX(Config!$D$15:$D$18,MATCH($S597,Config!$B$15:$B$18,0))-INDEX(Config!$C$15:$C$18,MATCH($S597,Config!$B$15:$B$18,0)))*1440,0)),""))</f>
        <v/>
      </c>
      <c r="V597" s="5"/>
    </row>
    <row r="598" spans="1:22" x14ac:dyDescent="0.25">
      <c r="A598" s="11"/>
      <c r="B598" s="5"/>
      <c r="C598" s="6" t="str">
        <f>IFERROR(INDEX(Ejecutivos!$B$2:$B$100,MATCH(B598,Ejecutivos!$A$2:$A$100,0)),"")</f>
        <v/>
      </c>
      <c r="D598" s="12"/>
      <c r="E598" s="12"/>
      <c r="F598" s="12"/>
      <c r="G598" s="12"/>
      <c r="H598" s="5"/>
      <c r="I598" s="5"/>
      <c r="J598" s="5"/>
      <c r="K598" s="5"/>
      <c r="L598" s="18">
        <v>0</v>
      </c>
      <c r="M598" t="str">
        <f t="shared" si="39"/>
        <v/>
      </c>
      <c r="N598" t="str">
        <f>IF(OR($D598="",$S598=""),"",IFERROR(MAX(0,ROUND(($D598-INDEX(Config!$C$15:$C$18,MATCH($S598,Config!$B$15:$B$18,0)))*24*60,0)),""))</f>
        <v/>
      </c>
      <c r="O598" t="str">
        <f t="shared" si="40"/>
        <v/>
      </c>
      <c r="P598" t="str">
        <f t="shared" si="41"/>
        <v/>
      </c>
      <c r="Q598" t="str">
        <f>IF(OR($P598="",$S598=""),"",IFERROR($P598-INDEX(Config!$E$15:$E$18,MATCH($S598,Config!$B$15:$B$18,0)),""))</f>
        <v/>
      </c>
      <c r="R598" t="str">
        <f t="shared" si="42"/>
        <v/>
      </c>
      <c r="S598" s="6" t="str">
        <f>IF(OR($A598="",$C598=""),"",IFERROR(INDEX(Turno!$C$3:$V$32,MATCH($C598,Turno!$B$3:$B$32,0),MATCH(DAY($A598),Turno!$C$1:$V$1,0)),""))</f>
        <v/>
      </c>
      <c r="T598" t="str">
        <f>IF(OR($E598="",$S598=""),"",IFERROR(MAX(0,ROUND((INDEX(Config!$D$15:$D$18,MATCH($S598,Config!$B$15:$B$18,0))-$E598)*1440,0)),""))</f>
        <v/>
      </c>
      <c r="U598" s="13" t="str">
        <f>IF(OR($N598="",$T598=""),"",IFERROR(MAX(0,1-($N598+$T598+MAX(0,N($Q598)))/ROUND((INDEX(Config!$D$15:$D$18,MATCH($S598,Config!$B$15:$B$18,0))-INDEX(Config!$C$15:$C$18,MATCH($S598,Config!$B$15:$B$18,0)))*1440,0)),""))</f>
        <v/>
      </c>
      <c r="V598" s="5"/>
    </row>
    <row r="599" spans="1:22" x14ac:dyDescent="0.25">
      <c r="A599" s="11"/>
      <c r="B599" s="5"/>
      <c r="C599" s="6" t="str">
        <f>IFERROR(INDEX(Ejecutivos!$B$2:$B$100,MATCH(B599,Ejecutivos!$A$2:$A$100,0)),"")</f>
        <v/>
      </c>
      <c r="D599" s="12"/>
      <c r="E599" s="12"/>
      <c r="F599" s="12"/>
      <c r="G599" s="12"/>
      <c r="H599" s="5"/>
      <c r="I599" s="5"/>
      <c r="J599" s="5"/>
      <c r="K599" s="5"/>
      <c r="L599" s="18">
        <v>0</v>
      </c>
      <c r="M599" t="str">
        <f t="shared" si="39"/>
        <v/>
      </c>
      <c r="N599" t="str">
        <f>IF(OR($D599="",$S599=""),"",IFERROR(MAX(0,ROUND(($D599-INDEX(Config!$C$15:$C$18,MATCH($S599,Config!$B$15:$B$18,0)))*24*60,0)),""))</f>
        <v/>
      </c>
      <c r="O599" t="str">
        <f t="shared" si="40"/>
        <v/>
      </c>
      <c r="P599" t="str">
        <f t="shared" si="41"/>
        <v/>
      </c>
      <c r="Q599" t="str">
        <f>IF(OR($P599="",$S599=""),"",IFERROR($P599-INDEX(Config!$E$15:$E$18,MATCH($S599,Config!$B$15:$B$18,0)),""))</f>
        <v/>
      </c>
      <c r="R599" t="str">
        <f t="shared" si="42"/>
        <v/>
      </c>
      <c r="S599" s="6" t="str">
        <f>IF(OR($A599="",$C599=""),"",IFERROR(INDEX(Turno!$C$3:$V$32,MATCH($C599,Turno!$B$3:$B$32,0),MATCH(DAY($A599),Turno!$C$1:$V$1,0)),""))</f>
        <v/>
      </c>
      <c r="T599" t="str">
        <f>IF(OR($E599="",$S599=""),"",IFERROR(MAX(0,ROUND((INDEX(Config!$D$15:$D$18,MATCH($S599,Config!$B$15:$B$18,0))-$E599)*1440,0)),""))</f>
        <v/>
      </c>
      <c r="U599" s="13" t="str">
        <f>IF(OR($N599="",$T599=""),"",IFERROR(MAX(0,1-($N599+$T599+MAX(0,N($Q599)))/ROUND((INDEX(Config!$D$15:$D$18,MATCH($S599,Config!$B$15:$B$18,0))-INDEX(Config!$C$15:$C$18,MATCH($S599,Config!$B$15:$B$18,0)))*1440,0)),""))</f>
        <v/>
      </c>
      <c r="V599" s="5"/>
    </row>
    <row r="600" spans="1:22" x14ac:dyDescent="0.25">
      <c r="A600" s="11"/>
      <c r="B600" s="5"/>
      <c r="C600" s="6" t="str">
        <f>IFERROR(INDEX(Ejecutivos!$B$2:$B$100,MATCH(B600,Ejecutivos!$A$2:$A$100,0)),"")</f>
        <v/>
      </c>
      <c r="D600" s="12"/>
      <c r="E600" s="12"/>
      <c r="F600" s="12"/>
      <c r="G600" s="12"/>
      <c r="H600" s="5"/>
      <c r="I600" s="5"/>
      <c r="J600" s="5"/>
      <c r="K600" s="5"/>
      <c r="L600" s="18">
        <v>0</v>
      </c>
      <c r="M600" t="str">
        <f t="shared" si="39"/>
        <v/>
      </c>
      <c r="N600" t="str">
        <f>IF(OR($D600="",$S600=""),"",IFERROR(MAX(0,ROUND(($D600-INDEX(Config!$C$15:$C$18,MATCH($S600,Config!$B$15:$B$18,0)))*24*60,0)),""))</f>
        <v/>
      </c>
      <c r="O600" t="str">
        <f t="shared" si="40"/>
        <v/>
      </c>
      <c r="P600" t="str">
        <f t="shared" si="41"/>
        <v/>
      </c>
      <c r="Q600" t="str">
        <f>IF(OR($P600="",$S600=""),"",IFERROR($P600-INDEX(Config!$E$15:$E$18,MATCH($S600,Config!$B$15:$B$18,0)),""))</f>
        <v/>
      </c>
      <c r="R600" t="str">
        <f t="shared" si="42"/>
        <v/>
      </c>
      <c r="S600" s="6" t="str">
        <f>IF(OR($A600="",$C600=""),"",IFERROR(INDEX(Turno!$C$3:$V$32,MATCH($C600,Turno!$B$3:$B$32,0),MATCH(DAY($A600),Turno!$C$1:$V$1,0)),""))</f>
        <v/>
      </c>
      <c r="T600" t="str">
        <f>IF(OR($E600="",$S600=""),"",IFERROR(MAX(0,ROUND((INDEX(Config!$D$15:$D$18,MATCH($S600,Config!$B$15:$B$18,0))-$E600)*1440,0)),""))</f>
        <v/>
      </c>
      <c r="U600" s="13" t="str">
        <f>IF(OR($N600="",$T600=""),"",IFERROR(MAX(0,1-($N600+$T600+MAX(0,N($Q600)))/ROUND((INDEX(Config!$D$15:$D$18,MATCH($S600,Config!$B$15:$B$18,0))-INDEX(Config!$C$15:$C$18,MATCH($S600,Config!$B$15:$B$18,0)))*1440,0)),""))</f>
        <v/>
      </c>
      <c r="V600" s="5"/>
    </row>
    <row r="601" spans="1:22" x14ac:dyDescent="0.25">
      <c r="A601" s="11"/>
      <c r="B601" s="5"/>
      <c r="C601" s="6" t="str">
        <f>IFERROR(INDEX(Ejecutivos!$B$2:$B$100,MATCH(B601,Ejecutivos!$A$2:$A$100,0)),"")</f>
        <v/>
      </c>
      <c r="D601" s="12"/>
      <c r="E601" s="12"/>
      <c r="F601" s="12"/>
      <c r="G601" s="12"/>
      <c r="H601" s="5"/>
      <c r="I601" s="5"/>
      <c r="J601" s="5"/>
      <c r="K601" s="5"/>
      <c r="L601" s="18">
        <v>0</v>
      </c>
      <c r="M601" t="str">
        <f t="shared" si="39"/>
        <v/>
      </c>
      <c r="N601" t="str">
        <f>IF(OR($D601="",$S601=""),"",IFERROR(MAX(0,ROUND(($D601-INDEX(Config!$C$15:$C$18,MATCH($S601,Config!$B$15:$B$18,0)))*24*60,0)),""))</f>
        <v/>
      </c>
      <c r="O601" t="str">
        <f t="shared" si="40"/>
        <v/>
      </c>
      <c r="P601" t="str">
        <f t="shared" si="41"/>
        <v/>
      </c>
      <c r="Q601" t="str">
        <f>IF(OR($P601="",$S601=""),"",IFERROR($P601-INDEX(Config!$E$15:$E$18,MATCH($S601,Config!$B$15:$B$18,0)),""))</f>
        <v/>
      </c>
      <c r="R601" t="str">
        <f t="shared" si="42"/>
        <v/>
      </c>
      <c r="S601" s="6" t="str">
        <f>IF(OR($A601="",$C601=""),"",IFERROR(INDEX(Turno!$C$3:$V$32,MATCH($C601,Turno!$B$3:$B$32,0),MATCH(DAY($A601),Turno!$C$1:$V$1,0)),""))</f>
        <v/>
      </c>
      <c r="T601" t="str">
        <f>IF(OR($E601="",$S601=""),"",IFERROR(MAX(0,ROUND((INDEX(Config!$D$15:$D$18,MATCH($S601,Config!$B$15:$B$18,0))-$E601)*1440,0)),""))</f>
        <v/>
      </c>
      <c r="U601" s="13" t="str">
        <f>IF(OR($N601="",$T601=""),"",IFERROR(MAX(0,1-($N601+$T601+MAX(0,N($Q601)))/ROUND((INDEX(Config!$D$15:$D$18,MATCH($S601,Config!$B$15:$B$18,0))-INDEX(Config!$C$15:$C$18,MATCH($S601,Config!$B$15:$B$18,0)))*1440,0)),""))</f>
        <v/>
      </c>
      <c r="V601" s="5"/>
    </row>
    <row r="602" spans="1:22" x14ac:dyDescent="0.25">
      <c r="A602" s="11"/>
      <c r="B602" s="5"/>
      <c r="C602" s="6" t="str">
        <f>IFERROR(INDEX(Ejecutivos!$B$2:$B$100,MATCH(B602,Ejecutivos!$A$2:$A$100,0)),"")</f>
        <v/>
      </c>
      <c r="D602" s="12"/>
      <c r="E602" s="12"/>
      <c r="F602" s="12"/>
      <c r="G602" s="12"/>
      <c r="H602" s="5"/>
      <c r="I602" s="5"/>
      <c r="J602" s="5"/>
      <c r="K602" s="5"/>
      <c r="L602" s="18">
        <v>0</v>
      </c>
      <c r="M602" t="str">
        <f t="shared" si="39"/>
        <v/>
      </c>
      <c r="N602" t="str">
        <f>IF(OR($D602="",$S602=""),"",IFERROR(MAX(0,ROUND(($D602-INDEX(Config!$C$15:$C$18,MATCH($S602,Config!$B$15:$B$18,0)))*24*60,0)),""))</f>
        <v/>
      </c>
      <c r="O602" t="str">
        <f t="shared" si="40"/>
        <v/>
      </c>
      <c r="P602" t="str">
        <f t="shared" si="41"/>
        <v/>
      </c>
      <c r="Q602" t="str">
        <f>IF(OR($P602="",$S602=""),"",IFERROR($P602-INDEX(Config!$E$15:$E$18,MATCH($S602,Config!$B$15:$B$18,0)),""))</f>
        <v/>
      </c>
      <c r="R602" t="str">
        <f t="shared" si="42"/>
        <v/>
      </c>
      <c r="S602" s="6" t="str">
        <f>IF(OR($A602="",$C602=""),"",IFERROR(INDEX(Turno!$C$3:$V$32,MATCH($C602,Turno!$B$3:$B$32,0),MATCH(DAY($A602),Turno!$C$1:$V$1,0)),""))</f>
        <v/>
      </c>
      <c r="T602" t="str">
        <f>IF(OR($E602="",$S602=""),"",IFERROR(MAX(0,ROUND((INDEX(Config!$D$15:$D$18,MATCH($S602,Config!$B$15:$B$18,0))-$E602)*1440,0)),""))</f>
        <v/>
      </c>
      <c r="U602" s="13" t="str">
        <f>IF(OR($N602="",$T602=""),"",IFERROR(MAX(0,1-($N602+$T602+MAX(0,N($Q602)))/ROUND((INDEX(Config!$D$15:$D$18,MATCH($S602,Config!$B$15:$B$18,0))-INDEX(Config!$C$15:$C$18,MATCH($S602,Config!$B$15:$B$18,0)))*1440,0)),""))</f>
        <v/>
      </c>
      <c r="V602" s="5"/>
    </row>
    <row r="603" spans="1:22" x14ac:dyDescent="0.25">
      <c r="A603" s="11"/>
      <c r="B603" s="5"/>
      <c r="C603" s="6" t="str">
        <f>IFERROR(INDEX(Ejecutivos!$B$2:$B$100,MATCH(B603,Ejecutivos!$A$2:$A$100,0)),"")</f>
        <v/>
      </c>
      <c r="D603" s="12"/>
      <c r="E603" s="12"/>
      <c r="F603" s="12"/>
      <c r="G603" s="12"/>
      <c r="H603" s="5"/>
      <c r="I603" s="5"/>
      <c r="J603" s="5"/>
      <c r="K603" s="5"/>
      <c r="L603" s="18">
        <v>0</v>
      </c>
      <c r="M603" t="str">
        <f t="shared" si="39"/>
        <v/>
      </c>
      <c r="N603" t="str">
        <f>IF(OR($D603="",$S603=""),"",IFERROR(MAX(0,ROUND(($D603-INDEX(Config!$C$15:$C$18,MATCH($S603,Config!$B$15:$B$18,0)))*24*60,0)),""))</f>
        <v/>
      </c>
      <c r="O603" t="str">
        <f t="shared" si="40"/>
        <v/>
      </c>
      <c r="P603" t="str">
        <f t="shared" si="41"/>
        <v/>
      </c>
      <c r="Q603" t="str">
        <f>IF(OR($P603="",$S603=""),"",IFERROR($P603-INDEX(Config!$E$15:$E$18,MATCH($S603,Config!$B$15:$B$18,0)),""))</f>
        <v/>
      </c>
      <c r="R603" t="str">
        <f t="shared" si="42"/>
        <v/>
      </c>
      <c r="S603" s="6" t="str">
        <f>IF(OR($A603="",$C603=""),"",IFERROR(INDEX(Turno!$C$3:$V$32,MATCH($C603,Turno!$B$3:$B$32,0),MATCH(DAY($A603),Turno!$C$1:$V$1,0)),""))</f>
        <v/>
      </c>
      <c r="T603" t="str">
        <f>IF(OR($E603="",$S603=""),"",IFERROR(MAX(0,ROUND((INDEX(Config!$D$15:$D$18,MATCH($S603,Config!$B$15:$B$18,0))-$E603)*1440,0)),""))</f>
        <v/>
      </c>
      <c r="U603" s="13" t="str">
        <f>IF(OR($N603="",$T603=""),"",IFERROR(MAX(0,1-($N603+$T603+MAX(0,N($Q603)))/ROUND((INDEX(Config!$D$15:$D$18,MATCH($S603,Config!$B$15:$B$18,0))-INDEX(Config!$C$15:$C$18,MATCH($S603,Config!$B$15:$B$18,0)))*1440,0)),""))</f>
        <v/>
      </c>
      <c r="V603" s="5"/>
    </row>
    <row r="604" spans="1:22" x14ac:dyDescent="0.25">
      <c r="A604" s="11"/>
      <c r="B604" s="5"/>
      <c r="C604" s="6" t="str">
        <f>IFERROR(INDEX(Ejecutivos!$B$2:$B$100,MATCH(B604,Ejecutivos!$A$2:$A$100,0)),"")</f>
        <v/>
      </c>
      <c r="D604" s="12"/>
      <c r="E604" s="12"/>
      <c r="F604" s="12"/>
      <c r="G604" s="12"/>
      <c r="H604" s="5"/>
      <c r="I604" s="5"/>
      <c r="J604" s="5"/>
      <c r="K604" s="5"/>
      <c r="L604" s="18">
        <v>0</v>
      </c>
      <c r="M604" t="str">
        <f t="shared" si="39"/>
        <v/>
      </c>
      <c r="N604" t="str">
        <f>IF(OR($D604="",$S604=""),"",IFERROR(MAX(0,ROUND(($D604-INDEX(Config!$C$15:$C$18,MATCH($S604,Config!$B$15:$B$18,0)))*24*60,0)),""))</f>
        <v/>
      </c>
      <c r="O604" t="str">
        <f t="shared" si="40"/>
        <v/>
      </c>
      <c r="P604" t="str">
        <f t="shared" si="41"/>
        <v/>
      </c>
      <c r="Q604" t="str">
        <f>IF(OR($P604="",$S604=""),"",IFERROR($P604-INDEX(Config!$E$15:$E$18,MATCH($S604,Config!$B$15:$B$18,0)),""))</f>
        <v/>
      </c>
      <c r="R604" t="str">
        <f t="shared" si="42"/>
        <v/>
      </c>
      <c r="S604" s="6" t="str">
        <f>IF(OR($A604="",$C604=""),"",IFERROR(INDEX(Turno!$C$3:$V$32,MATCH($C604,Turno!$B$3:$B$32,0),MATCH(DAY($A604),Turno!$C$1:$V$1,0)),""))</f>
        <v/>
      </c>
      <c r="T604" t="str">
        <f>IF(OR($E604="",$S604=""),"",IFERROR(MAX(0,ROUND((INDEX(Config!$D$15:$D$18,MATCH($S604,Config!$B$15:$B$18,0))-$E604)*1440,0)),""))</f>
        <v/>
      </c>
      <c r="U604" s="13" t="str">
        <f>IF(OR($N604="",$T604=""),"",IFERROR(MAX(0,1-($N604+$T604+MAX(0,N($Q604)))/ROUND((INDEX(Config!$D$15:$D$18,MATCH($S604,Config!$B$15:$B$18,0))-INDEX(Config!$C$15:$C$18,MATCH($S604,Config!$B$15:$B$18,0)))*1440,0)),""))</f>
        <v/>
      </c>
      <c r="V604" s="5"/>
    </row>
    <row r="605" spans="1:22" x14ac:dyDescent="0.25">
      <c r="A605" s="11"/>
      <c r="B605" s="5"/>
      <c r="C605" s="6" t="str">
        <f>IFERROR(INDEX(Ejecutivos!$B$2:$B$100,MATCH(B605,Ejecutivos!$A$2:$A$100,0)),"")</f>
        <v/>
      </c>
      <c r="D605" s="12"/>
      <c r="E605" s="12"/>
      <c r="F605" s="12"/>
      <c r="G605" s="12"/>
      <c r="H605" s="5"/>
      <c r="I605" s="5"/>
      <c r="J605" s="5"/>
      <c r="K605" s="5"/>
      <c r="L605" s="18">
        <v>0</v>
      </c>
      <c r="M605" t="str">
        <f t="shared" si="39"/>
        <v/>
      </c>
      <c r="N605" t="str">
        <f>IF(OR($D605="",$S605=""),"",IFERROR(MAX(0,ROUND(($D605-INDEX(Config!$C$15:$C$18,MATCH($S605,Config!$B$15:$B$18,0)))*24*60,0)),""))</f>
        <v/>
      </c>
      <c r="O605" t="str">
        <f t="shared" si="40"/>
        <v/>
      </c>
      <c r="P605" t="str">
        <f t="shared" si="41"/>
        <v/>
      </c>
      <c r="Q605" t="str">
        <f>IF(OR($P605="",$S605=""),"",IFERROR($P605-INDEX(Config!$E$15:$E$18,MATCH($S605,Config!$B$15:$B$18,0)),""))</f>
        <v/>
      </c>
      <c r="R605" t="str">
        <f t="shared" si="42"/>
        <v/>
      </c>
      <c r="S605" s="6" t="str">
        <f>IF(OR($A605="",$C605=""),"",IFERROR(INDEX(Turno!$C$3:$V$32,MATCH($C605,Turno!$B$3:$B$32,0),MATCH(DAY($A605),Turno!$C$1:$V$1,0)),""))</f>
        <v/>
      </c>
      <c r="T605" t="str">
        <f>IF(OR($E605="",$S605=""),"",IFERROR(MAX(0,ROUND((INDEX(Config!$D$15:$D$18,MATCH($S605,Config!$B$15:$B$18,0))-$E605)*1440,0)),""))</f>
        <v/>
      </c>
      <c r="U605" s="13" t="str">
        <f>IF(OR($N605="",$T605=""),"",IFERROR(MAX(0,1-($N605+$T605+MAX(0,N($Q605)))/ROUND((INDEX(Config!$D$15:$D$18,MATCH($S605,Config!$B$15:$B$18,0))-INDEX(Config!$C$15:$C$18,MATCH($S605,Config!$B$15:$B$18,0)))*1440,0)),""))</f>
        <v/>
      </c>
      <c r="V605" s="5"/>
    </row>
    <row r="606" spans="1:22" x14ac:dyDescent="0.25">
      <c r="A606" s="11"/>
      <c r="B606" s="5"/>
      <c r="C606" s="6" t="str">
        <f>IFERROR(INDEX(Ejecutivos!$B$2:$B$100,MATCH(B606,Ejecutivos!$A$2:$A$100,0)),"")</f>
        <v/>
      </c>
      <c r="D606" s="12"/>
      <c r="E606" s="12"/>
      <c r="F606" s="12"/>
      <c r="G606" s="12"/>
      <c r="H606" s="5"/>
      <c r="I606" s="5"/>
      <c r="J606" s="5"/>
      <c r="K606" s="5"/>
      <c r="L606" s="18">
        <v>0</v>
      </c>
      <c r="M606" t="str">
        <f t="shared" si="39"/>
        <v/>
      </c>
      <c r="N606" t="str">
        <f>IF(OR($D606="",$S606=""),"",IFERROR(MAX(0,ROUND(($D606-INDEX(Config!$C$15:$C$18,MATCH($S606,Config!$B$15:$B$18,0)))*24*60,0)),""))</f>
        <v/>
      </c>
      <c r="O606" t="str">
        <f t="shared" si="40"/>
        <v/>
      </c>
      <c r="P606" t="str">
        <f t="shared" si="41"/>
        <v/>
      </c>
      <c r="Q606" t="str">
        <f>IF(OR($P606="",$S606=""),"",IFERROR($P606-INDEX(Config!$E$15:$E$18,MATCH($S606,Config!$B$15:$B$18,0)),""))</f>
        <v/>
      </c>
      <c r="R606" t="str">
        <f t="shared" si="42"/>
        <v/>
      </c>
      <c r="S606" s="6" t="str">
        <f>IF(OR($A606="",$C606=""),"",IFERROR(INDEX(Turno!$C$3:$V$32,MATCH($C606,Turno!$B$3:$B$32,0),MATCH(DAY($A606),Turno!$C$1:$V$1,0)),""))</f>
        <v/>
      </c>
      <c r="T606" t="str">
        <f>IF(OR($E606="",$S606=""),"",IFERROR(MAX(0,ROUND((INDEX(Config!$D$15:$D$18,MATCH($S606,Config!$B$15:$B$18,0))-$E606)*1440,0)),""))</f>
        <v/>
      </c>
      <c r="U606" s="13" t="str">
        <f>IF(OR($N606="",$T606=""),"",IFERROR(MAX(0,1-($N606+$T606+MAX(0,N($Q606)))/ROUND((INDEX(Config!$D$15:$D$18,MATCH($S606,Config!$B$15:$B$18,0))-INDEX(Config!$C$15:$C$18,MATCH($S606,Config!$B$15:$B$18,0)))*1440,0)),""))</f>
        <v/>
      </c>
      <c r="V606" s="5"/>
    </row>
    <row r="607" spans="1:22" x14ac:dyDescent="0.25">
      <c r="A607" s="11"/>
      <c r="B607" s="5"/>
      <c r="C607" s="6" t="str">
        <f>IFERROR(INDEX(Ejecutivos!$B$2:$B$100,MATCH(B607,Ejecutivos!$A$2:$A$100,0)),"")</f>
        <v/>
      </c>
      <c r="D607" s="12"/>
      <c r="E607" s="12"/>
      <c r="F607" s="12"/>
      <c r="G607" s="12"/>
      <c r="H607" s="5"/>
      <c r="I607" s="5"/>
      <c r="J607" s="5"/>
      <c r="K607" s="5"/>
      <c r="L607" s="18">
        <v>0</v>
      </c>
      <c r="M607" t="str">
        <f t="shared" si="39"/>
        <v/>
      </c>
      <c r="N607" t="str">
        <f>IF(OR($D607="",$S607=""),"",IFERROR(MAX(0,ROUND(($D607-INDEX(Config!$C$15:$C$18,MATCH($S607,Config!$B$15:$B$18,0)))*24*60,0)),""))</f>
        <v/>
      </c>
      <c r="O607" t="str">
        <f t="shared" si="40"/>
        <v/>
      </c>
      <c r="P607" t="str">
        <f t="shared" si="41"/>
        <v/>
      </c>
      <c r="Q607" t="str">
        <f>IF(OR($P607="",$S607=""),"",IFERROR($P607-INDEX(Config!$E$15:$E$18,MATCH($S607,Config!$B$15:$B$18,0)),""))</f>
        <v/>
      </c>
      <c r="R607" t="str">
        <f t="shared" si="42"/>
        <v/>
      </c>
      <c r="S607" s="6" t="str">
        <f>IF(OR($A607="",$C607=""),"",IFERROR(INDEX(Turno!$C$3:$V$32,MATCH($C607,Turno!$B$3:$B$32,0),MATCH(DAY($A607),Turno!$C$1:$V$1,0)),""))</f>
        <v/>
      </c>
      <c r="T607" t="str">
        <f>IF(OR($E607="",$S607=""),"",IFERROR(MAX(0,ROUND((INDEX(Config!$D$15:$D$18,MATCH($S607,Config!$B$15:$B$18,0))-$E607)*1440,0)),""))</f>
        <v/>
      </c>
      <c r="U607" s="13" t="str">
        <f>IF(OR($N607="",$T607=""),"",IFERROR(MAX(0,1-($N607+$T607+MAX(0,N($Q607)))/ROUND((INDEX(Config!$D$15:$D$18,MATCH($S607,Config!$B$15:$B$18,0))-INDEX(Config!$C$15:$C$18,MATCH($S607,Config!$B$15:$B$18,0)))*1440,0)),""))</f>
        <v/>
      </c>
      <c r="V607" s="5"/>
    </row>
    <row r="608" spans="1:22" x14ac:dyDescent="0.25">
      <c r="A608" s="11"/>
      <c r="B608" s="5"/>
      <c r="C608" s="6" t="str">
        <f>IFERROR(INDEX(Ejecutivos!$B$2:$B$100,MATCH(B608,Ejecutivos!$A$2:$A$100,0)),"")</f>
        <v/>
      </c>
      <c r="D608" s="12"/>
      <c r="E608" s="12"/>
      <c r="F608" s="12"/>
      <c r="G608" s="12"/>
      <c r="H608" s="5"/>
      <c r="I608" s="5"/>
      <c r="J608" s="5"/>
      <c r="K608" s="5"/>
      <c r="L608" s="18">
        <v>0</v>
      </c>
      <c r="M608" t="str">
        <f t="shared" si="39"/>
        <v/>
      </c>
      <c r="N608" t="str">
        <f>IF(OR($D608="",$S608=""),"",IFERROR(MAX(0,ROUND(($D608-INDEX(Config!$C$15:$C$18,MATCH($S608,Config!$B$15:$B$18,0)))*24*60,0)),""))</f>
        <v/>
      </c>
      <c r="O608" t="str">
        <f t="shared" si="40"/>
        <v/>
      </c>
      <c r="P608" t="str">
        <f t="shared" si="41"/>
        <v/>
      </c>
      <c r="Q608" t="str">
        <f>IF(OR($P608="",$S608=""),"",IFERROR($P608-INDEX(Config!$E$15:$E$18,MATCH($S608,Config!$B$15:$B$18,0)),""))</f>
        <v/>
      </c>
      <c r="R608" t="str">
        <f t="shared" si="42"/>
        <v/>
      </c>
      <c r="S608" s="6" t="str">
        <f>IF(OR($A608="",$C608=""),"",IFERROR(INDEX(Turno!$C$3:$V$32,MATCH($C608,Turno!$B$3:$B$32,0),MATCH(DAY($A608),Turno!$C$1:$V$1,0)),""))</f>
        <v/>
      </c>
      <c r="T608" t="str">
        <f>IF(OR($E608="",$S608=""),"",IFERROR(MAX(0,ROUND((INDEX(Config!$D$15:$D$18,MATCH($S608,Config!$B$15:$B$18,0))-$E608)*1440,0)),""))</f>
        <v/>
      </c>
      <c r="U608" s="13" t="str">
        <f>IF(OR($N608="",$T608=""),"",IFERROR(MAX(0,1-($N608+$T608+MAX(0,N($Q608)))/ROUND((INDEX(Config!$D$15:$D$18,MATCH($S608,Config!$B$15:$B$18,0))-INDEX(Config!$C$15:$C$18,MATCH($S608,Config!$B$15:$B$18,0)))*1440,0)),""))</f>
        <v/>
      </c>
      <c r="V608" s="5"/>
    </row>
    <row r="609" spans="1:22" x14ac:dyDescent="0.25">
      <c r="A609" s="11"/>
      <c r="B609" s="5"/>
      <c r="C609" s="6" t="str">
        <f>IFERROR(INDEX(Ejecutivos!$B$2:$B$100,MATCH(B609,Ejecutivos!$A$2:$A$100,0)),"")</f>
        <v/>
      </c>
      <c r="D609" s="12"/>
      <c r="E609" s="12"/>
      <c r="F609" s="12"/>
      <c r="G609" s="12"/>
      <c r="H609" s="5"/>
      <c r="I609" s="5"/>
      <c r="J609" s="5"/>
      <c r="K609" s="5"/>
      <c r="L609" s="18">
        <v>0</v>
      </c>
      <c r="M609" t="str">
        <f t="shared" si="39"/>
        <v/>
      </c>
      <c r="N609" t="str">
        <f>IF(OR($D609="",$S609=""),"",IFERROR(MAX(0,ROUND(($D609-INDEX(Config!$C$15:$C$18,MATCH($S609,Config!$B$15:$B$18,0)))*24*60,0)),""))</f>
        <v/>
      </c>
      <c r="O609" t="str">
        <f t="shared" si="40"/>
        <v/>
      </c>
      <c r="P609" t="str">
        <f t="shared" si="41"/>
        <v/>
      </c>
      <c r="Q609" t="str">
        <f>IF(OR($P609="",$S609=""),"",IFERROR($P609-INDEX(Config!$E$15:$E$18,MATCH($S609,Config!$B$15:$B$18,0)),""))</f>
        <v/>
      </c>
      <c r="R609" t="str">
        <f t="shared" si="42"/>
        <v/>
      </c>
      <c r="S609" s="6" t="str">
        <f>IF(OR($A609="",$C609=""),"",IFERROR(INDEX(Turno!$C$3:$V$32,MATCH($C609,Turno!$B$3:$B$32,0),MATCH(DAY($A609),Turno!$C$1:$V$1,0)),""))</f>
        <v/>
      </c>
      <c r="T609" t="str">
        <f>IF(OR($E609="",$S609=""),"",IFERROR(MAX(0,ROUND((INDEX(Config!$D$15:$D$18,MATCH($S609,Config!$B$15:$B$18,0))-$E609)*1440,0)),""))</f>
        <v/>
      </c>
      <c r="U609" s="13" t="str">
        <f>IF(OR($N609="",$T609=""),"",IFERROR(MAX(0,1-($N609+$T609+MAX(0,N($Q609)))/ROUND((INDEX(Config!$D$15:$D$18,MATCH($S609,Config!$B$15:$B$18,0))-INDEX(Config!$C$15:$C$18,MATCH($S609,Config!$B$15:$B$18,0)))*1440,0)),""))</f>
        <v/>
      </c>
      <c r="V609" s="5"/>
    </row>
    <row r="610" spans="1:22" x14ac:dyDescent="0.25">
      <c r="A610" s="11"/>
      <c r="B610" s="5"/>
      <c r="C610" s="6" t="str">
        <f>IFERROR(INDEX(Ejecutivos!$B$2:$B$100,MATCH(B610,Ejecutivos!$A$2:$A$100,0)),"")</f>
        <v/>
      </c>
      <c r="D610" s="12"/>
      <c r="E610" s="12"/>
      <c r="F610" s="12"/>
      <c r="G610" s="12"/>
      <c r="H610" s="5"/>
      <c r="I610" s="5"/>
      <c r="J610" s="5"/>
      <c r="K610" s="5"/>
      <c r="L610" s="18">
        <v>0</v>
      </c>
      <c r="M610" t="str">
        <f t="shared" si="39"/>
        <v/>
      </c>
      <c r="N610" t="str">
        <f>IF(OR($D610="",$S610=""),"",IFERROR(MAX(0,ROUND(($D610-INDEX(Config!$C$15:$C$18,MATCH($S610,Config!$B$15:$B$18,0)))*24*60,0)),""))</f>
        <v/>
      </c>
      <c r="O610" t="str">
        <f t="shared" si="40"/>
        <v/>
      </c>
      <c r="P610" t="str">
        <f t="shared" si="41"/>
        <v/>
      </c>
      <c r="Q610" t="str">
        <f>IF(OR($P610="",$S610=""),"",IFERROR($P610-INDEX(Config!$E$15:$E$18,MATCH($S610,Config!$B$15:$B$18,0)),""))</f>
        <v/>
      </c>
      <c r="R610" t="str">
        <f t="shared" si="42"/>
        <v/>
      </c>
      <c r="S610" s="6" t="str">
        <f>IF(OR($A610="",$C610=""),"",IFERROR(INDEX(Turno!$C$3:$V$32,MATCH($C610,Turno!$B$3:$B$32,0),MATCH(DAY($A610),Turno!$C$1:$V$1,0)),""))</f>
        <v/>
      </c>
      <c r="T610" t="str">
        <f>IF(OR($E610="",$S610=""),"",IFERROR(MAX(0,ROUND((INDEX(Config!$D$15:$D$18,MATCH($S610,Config!$B$15:$B$18,0))-$E610)*1440,0)),""))</f>
        <v/>
      </c>
      <c r="U610" s="13" t="str">
        <f>IF(OR($N610="",$T610=""),"",IFERROR(MAX(0,1-($N610+$T610+MAX(0,N($Q610)))/ROUND((INDEX(Config!$D$15:$D$18,MATCH($S610,Config!$B$15:$B$18,0))-INDEX(Config!$C$15:$C$18,MATCH($S610,Config!$B$15:$B$18,0)))*1440,0)),""))</f>
        <v/>
      </c>
      <c r="V610" s="5"/>
    </row>
    <row r="611" spans="1:22" x14ac:dyDescent="0.25">
      <c r="A611" s="11"/>
      <c r="B611" s="5"/>
      <c r="C611" s="6" t="str">
        <f>IFERROR(INDEX(Ejecutivos!$B$2:$B$100,MATCH(B611,Ejecutivos!$A$2:$A$100,0)),"")</f>
        <v/>
      </c>
      <c r="D611" s="12"/>
      <c r="E611" s="12"/>
      <c r="F611" s="12"/>
      <c r="G611" s="12"/>
      <c r="H611" s="5"/>
      <c r="I611" s="5"/>
      <c r="J611" s="5"/>
      <c r="K611" s="5"/>
      <c r="L611" s="18">
        <v>0</v>
      </c>
      <c r="M611" t="str">
        <f t="shared" si="39"/>
        <v/>
      </c>
      <c r="N611" t="str">
        <f>IF(OR($D611="",$S611=""),"",IFERROR(MAX(0,ROUND(($D611-INDEX(Config!$C$15:$C$18,MATCH($S611,Config!$B$15:$B$18,0)))*24*60,0)),""))</f>
        <v/>
      </c>
      <c r="O611" t="str">
        <f t="shared" si="40"/>
        <v/>
      </c>
      <c r="P611" t="str">
        <f t="shared" si="41"/>
        <v/>
      </c>
      <c r="Q611" t="str">
        <f>IF(OR($P611="",$S611=""),"",IFERROR($P611-INDEX(Config!$E$15:$E$18,MATCH($S611,Config!$B$15:$B$18,0)),""))</f>
        <v/>
      </c>
      <c r="R611" t="str">
        <f t="shared" si="42"/>
        <v/>
      </c>
      <c r="S611" s="6" t="str">
        <f>IF(OR($A611="",$C611=""),"",IFERROR(INDEX(Turno!$C$3:$V$32,MATCH($C611,Turno!$B$3:$B$32,0),MATCH(DAY($A611),Turno!$C$1:$V$1,0)),""))</f>
        <v/>
      </c>
      <c r="T611" t="str">
        <f>IF(OR($E611="",$S611=""),"",IFERROR(MAX(0,ROUND((INDEX(Config!$D$15:$D$18,MATCH($S611,Config!$B$15:$B$18,0))-$E611)*1440,0)),""))</f>
        <v/>
      </c>
      <c r="U611" s="13" t="str">
        <f>IF(OR($N611="",$T611=""),"",IFERROR(MAX(0,1-($N611+$T611+MAX(0,N($Q611)))/ROUND((INDEX(Config!$D$15:$D$18,MATCH($S611,Config!$B$15:$B$18,0))-INDEX(Config!$C$15:$C$18,MATCH($S611,Config!$B$15:$B$18,0)))*1440,0)),""))</f>
        <v/>
      </c>
      <c r="V611" s="5"/>
    </row>
    <row r="612" spans="1:22" x14ac:dyDescent="0.25">
      <c r="A612" s="11"/>
      <c r="B612" s="5"/>
      <c r="C612" s="6" t="str">
        <f>IFERROR(INDEX(Ejecutivos!$B$2:$B$100,MATCH(B612,Ejecutivos!$A$2:$A$100,0)),"")</f>
        <v/>
      </c>
      <c r="D612" s="12"/>
      <c r="E612" s="12"/>
      <c r="F612" s="12"/>
      <c r="G612" s="12"/>
      <c r="H612" s="5"/>
      <c r="I612" s="5"/>
      <c r="J612" s="5"/>
      <c r="K612" s="5"/>
      <c r="L612" s="18">
        <v>0</v>
      </c>
      <c r="M612" t="str">
        <f t="shared" si="39"/>
        <v/>
      </c>
      <c r="N612" t="str">
        <f>IF(OR($D612="",$S612=""),"",IFERROR(MAX(0,ROUND(($D612-INDEX(Config!$C$15:$C$18,MATCH($S612,Config!$B$15:$B$18,0)))*24*60,0)),""))</f>
        <v/>
      </c>
      <c r="O612" t="str">
        <f t="shared" si="40"/>
        <v/>
      </c>
      <c r="P612" t="str">
        <f t="shared" si="41"/>
        <v/>
      </c>
      <c r="Q612" t="str">
        <f>IF(OR($P612="",$S612=""),"",IFERROR($P612-INDEX(Config!$E$15:$E$18,MATCH($S612,Config!$B$15:$B$18,0)),""))</f>
        <v/>
      </c>
      <c r="R612" t="str">
        <f t="shared" si="42"/>
        <v/>
      </c>
      <c r="S612" s="6" t="str">
        <f>IF(OR($A612="",$C612=""),"",IFERROR(INDEX(Turno!$C$3:$V$32,MATCH($C612,Turno!$B$3:$B$32,0),MATCH(DAY($A612),Turno!$C$1:$V$1,0)),""))</f>
        <v/>
      </c>
      <c r="T612" t="str">
        <f>IF(OR($E612="",$S612=""),"",IFERROR(MAX(0,ROUND((INDEX(Config!$D$15:$D$18,MATCH($S612,Config!$B$15:$B$18,0))-$E612)*1440,0)),""))</f>
        <v/>
      </c>
      <c r="U612" s="13" t="str">
        <f>IF(OR($N612="",$T612=""),"",IFERROR(MAX(0,1-($N612+$T612+MAX(0,N($Q612)))/ROUND((INDEX(Config!$D$15:$D$18,MATCH($S612,Config!$B$15:$B$18,0))-INDEX(Config!$C$15:$C$18,MATCH($S612,Config!$B$15:$B$18,0)))*1440,0)),""))</f>
        <v/>
      </c>
      <c r="V612" s="5"/>
    </row>
    <row r="613" spans="1:22" x14ac:dyDescent="0.25">
      <c r="A613" s="11"/>
      <c r="B613" s="5"/>
      <c r="C613" s="6" t="str">
        <f>IFERROR(INDEX(Ejecutivos!$B$2:$B$100,MATCH(B613,Ejecutivos!$A$2:$A$100,0)),"")</f>
        <v/>
      </c>
      <c r="D613" s="12"/>
      <c r="E613" s="12"/>
      <c r="F613" s="12"/>
      <c r="G613" s="12"/>
      <c r="H613" s="5"/>
      <c r="I613" s="5"/>
      <c r="J613" s="5"/>
      <c r="K613" s="5"/>
      <c r="L613" s="18">
        <v>0</v>
      </c>
      <c r="M613" t="str">
        <f t="shared" si="39"/>
        <v/>
      </c>
      <c r="N613" t="str">
        <f>IF(OR($D613="",$S613=""),"",IFERROR(MAX(0,ROUND(($D613-INDEX(Config!$C$15:$C$18,MATCH($S613,Config!$B$15:$B$18,0)))*24*60,0)),""))</f>
        <v/>
      </c>
      <c r="O613" t="str">
        <f t="shared" si="40"/>
        <v/>
      </c>
      <c r="P613" t="str">
        <f t="shared" si="41"/>
        <v/>
      </c>
      <c r="Q613" t="str">
        <f>IF(OR($P613="",$S613=""),"",IFERROR($P613-INDEX(Config!$E$15:$E$18,MATCH($S613,Config!$B$15:$B$18,0)),""))</f>
        <v/>
      </c>
      <c r="R613" t="str">
        <f t="shared" si="42"/>
        <v/>
      </c>
      <c r="S613" s="6" t="str">
        <f>IF(OR($A613="",$C613=""),"",IFERROR(INDEX(Turno!$C$3:$V$32,MATCH($C613,Turno!$B$3:$B$32,0),MATCH(DAY($A613),Turno!$C$1:$V$1,0)),""))</f>
        <v/>
      </c>
      <c r="T613" t="str">
        <f>IF(OR($E613="",$S613=""),"",IFERROR(MAX(0,ROUND((INDEX(Config!$D$15:$D$18,MATCH($S613,Config!$B$15:$B$18,0))-$E613)*1440,0)),""))</f>
        <v/>
      </c>
      <c r="U613" s="13" t="str">
        <f>IF(OR($N613="",$T613=""),"",IFERROR(MAX(0,1-($N613+$T613+MAX(0,N($Q613)))/ROUND((INDEX(Config!$D$15:$D$18,MATCH($S613,Config!$B$15:$B$18,0))-INDEX(Config!$C$15:$C$18,MATCH($S613,Config!$B$15:$B$18,0)))*1440,0)),""))</f>
        <v/>
      </c>
      <c r="V613" s="5"/>
    </row>
    <row r="614" spans="1:22" x14ac:dyDescent="0.25">
      <c r="A614" s="11"/>
      <c r="B614" s="5"/>
      <c r="C614" s="6" t="str">
        <f>IFERROR(INDEX(Ejecutivos!$B$2:$B$100,MATCH(B614,Ejecutivos!$A$2:$A$100,0)),"")</f>
        <v/>
      </c>
      <c r="D614" s="12"/>
      <c r="E614" s="12"/>
      <c r="F614" s="12"/>
      <c r="G614" s="12"/>
      <c r="H614" s="5"/>
      <c r="I614" s="5"/>
      <c r="J614" s="5"/>
      <c r="K614" s="5"/>
      <c r="L614" s="18">
        <v>0</v>
      </c>
      <c r="M614" t="str">
        <f t="shared" si="39"/>
        <v/>
      </c>
      <c r="N614" t="str">
        <f>IF(OR($D614="",$S614=""),"",IFERROR(MAX(0,ROUND(($D614-INDEX(Config!$C$15:$C$18,MATCH($S614,Config!$B$15:$B$18,0)))*24*60,0)),""))</f>
        <v/>
      </c>
      <c r="O614" t="str">
        <f t="shared" si="40"/>
        <v/>
      </c>
      <c r="P614" t="str">
        <f t="shared" si="41"/>
        <v/>
      </c>
      <c r="Q614" t="str">
        <f>IF(OR($P614="",$S614=""),"",IFERROR($P614-INDEX(Config!$E$15:$E$18,MATCH($S614,Config!$B$15:$B$18,0)),""))</f>
        <v/>
      </c>
      <c r="R614" t="str">
        <f t="shared" si="42"/>
        <v/>
      </c>
      <c r="S614" s="6" t="str">
        <f>IF(OR($A614="",$C614=""),"",IFERROR(INDEX(Turno!$C$3:$V$32,MATCH($C614,Turno!$B$3:$B$32,0),MATCH(DAY($A614),Turno!$C$1:$V$1,0)),""))</f>
        <v/>
      </c>
      <c r="T614" t="str">
        <f>IF(OR($E614="",$S614=""),"",IFERROR(MAX(0,ROUND((INDEX(Config!$D$15:$D$18,MATCH($S614,Config!$B$15:$B$18,0))-$E614)*1440,0)),""))</f>
        <v/>
      </c>
      <c r="U614" s="13" t="str">
        <f>IF(OR($N614="",$T614=""),"",IFERROR(MAX(0,1-($N614+$T614+MAX(0,N($Q614)))/ROUND((INDEX(Config!$D$15:$D$18,MATCH($S614,Config!$B$15:$B$18,0))-INDEX(Config!$C$15:$C$18,MATCH($S614,Config!$B$15:$B$18,0)))*1440,0)),""))</f>
        <v/>
      </c>
      <c r="V614" s="5"/>
    </row>
    <row r="615" spans="1:22" x14ac:dyDescent="0.25">
      <c r="A615" s="11"/>
      <c r="B615" s="5"/>
      <c r="C615" s="6" t="str">
        <f>IFERROR(INDEX(Ejecutivos!$B$2:$B$100,MATCH(B615,Ejecutivos!$A$2:$A$100,0)),"")</f>
        <v/>
      </c>
      <c r="D615" s="12"/>
      <c r="E615" s="12"/>
      <c r="F615" s="12"/>
      <c r="G615" s="12"/>
      <c r="H615" s="5"/>
      <c r="I615" s="5"/>
      <c r="J615" s="5"/>
      <c r="K615" s="5"/>
      <c r="L615" s="18">
        <v>0</v>
      </c>
      <c r="M615" t="str">
        <f t="shared" si="39"/>
        <v/>
      </c>
      <c r="N615" t="str">
        <f>IF(OR($D615="",$S615=""),"",IFERROR(MAX(0,ROUND(($D615-INDEX(Config!$C$15:$C$18,MATCH($S615,Config!$B$15:$B$18,0)))*24*60,0)),""))</f>
        <v/>
      </c>
      <c r="O615" t="str">
        <f t="shared" si="40"/>
        <v/>
      </c>
      <c r="P615" t="str">
        <f t="shared" si="41"/>
        <v/>
      </c>
      <c r="Q615" t="str">
        <f>IF(OR($P615="",$S615=""),"",IFERROR($P615-INDEX(Config!$E$15:$E$18,MATCH($S615,Config!$B$15:$B$18,0)),""))</f>
        <v/>
      </c>
      <c r="R615" t="str">
        <f t="shared" si="42"/>
        <v/>
      </c>
      <c r="S615" s="6" t="str">
        <f>IF(OR($A615="",$C615=""),"",IFERROR(INDEX(Turno!$C$3:$V$32,MATCH($C615,Turno!$B$3:$B$32,0),MATCH(DAY($A615),Turno!$C$1:$V$1,0)),""))</f>
        <v/>
      </c>
      <c r="T615" t="str">
        <f>IF(OR($E615="",$S615=""),"",IFERROR(MAX(0,ROUND((INDEX(Config!$D$15:$D$18,MATCH($S615,Config!$B$15:$B$18,0))-$E615)*1440,0)),""))</f>
        <v/>
      </c>
      <c r="U615" s="13" t="str">
        <f>IF(OR($N615="",$T615=""),"",IFERROR(MAX(0,1-($N615+$T615+MAX(0,N($Q615)))/ROUND((INDEX(Config!$D$15:$D$18,MATCH($S615,Config!$B$15:$B$18,0))-INDEX(Config!$C$15:$C$18,MATCH($S615,Config!$B$15:$B$18,0)))*1440,0)),""))</f>
        <v/>
      </c>
      <c r="V615" s="5"/>
    </row>
    <row r="616" spans="1:22" x14ac:dyDescent="0.25">
      <c r="A616" s="11"/>
      <c r="B616" s="5"/>
      <c r="C616" s="6" t="str">
        <f>IFERROR(INDEX(Ejecutivos!$B$2:$B$100,MATCH(B616,Ejecutivos!$A$2:$A$100,0)),"")</f>
        <v/>
      </c>
      <c r="D616" s="12"/>
      <c r="E616" s="12"/>
      <c r="F616" s="12"/>
      <c r="G616" s="12"/>
      <c r="H616" s="5"/>
      <c r="I616" s="5"/>
      <c r="J616" s="5"/>
      <c r="K616" s="5"/>
      <c r="L616" s="18">
        <v>0</v>
      </c>
      <c r="M616" t="str">
        <f t="shared" si="39"/>
        <v/>
      </c>
      <c r="N616" t="str">
        <f>IF(OR($D616="",$S616=""),"",IFERROR(MAX(0,ROUND(($D616-INDEX(Config!$C$15:$C$18,MATCH($S616,Config!$B$15:$B$18,0)))*24*60,0)),""))</f>
        <v/>
      </c>
      <c r="O616" t="str">
        <f t="shared" si="40"/>
        <v/>
      </c>
      <c r="P616" t="str">
        <f t="shared" si="41"/>
        <v/>
      </c>
      <c r="Q616" t="str">
        <f>IF(OR($P616="",$S616=""),"",IFERROR($P616-INDEX(Config!$E$15:$E$18,MATCH($S616,Config!$B$15:$B$18,0)),""))</f>
        <v/>
      </c>
      <c r="R616" t="str">
        <f t="shared" si="42"/>
        <v/>
      </c>
      <c r="S616" s="6" t="str">
        <f>IF(OR($A616="",$C616=""),"",IFERROR(INDEX(Turno!$C$3:$V$32,MATCH($C616,Turno!$B$3:$B$32,0),MATCH(DAY($A616),Turno!$C$1:$V$1,0)),""))</f>
        <v/>
      </c>
      <c r="T616" t="str">
        <f>IF(OR($E616="",$S616=""),"",IFERROR(MAX(0,ROUND((INDEX(Config!$D$15:$D$18,MATCH($S616,Config!$B$15:$B$18,0))-$E616)*1440,0)),""))</f>
        <v/>
      </c>
      <c r="U616" s="13" t="str">
        <f>IF(OR($N616="",$T616=""),"",IFERROR(MAX(0,1-($N616+$T616+MAX(0,N($Q616)))/ROUND((INDEX(Config!$D$15:$D$18,MATCH($S616,Config!$B$15:$B$18,0))-INDEX(Config!$C$15:$C$18,MATCH($S616,Config!$B$15:$B$18,0)))*1440,0)),""))</f>
        <v/>
      </c>
      <c r="V616" s="5"/>
    </row>
    <row r="617" spans="1:22" x14ac:dyDescent="0.25">
      <c r="A617" s="11"/>
      <c r="B617" s="5"/>
      <c r="C617" s="6" t="str">
        <f>IFERROR(INDEX(Ejecutivos!$B$2:$B$100,MATCH(B617,Ejecutivos!$A$2:$A$100,0)),"")</f>
        <v/>
      </c>
      <c r="D617" s="12"/>
      <c r="E617" s="12"/>
      <c r="F617" s="12"/>
      <c r="G617" s="12"/>
      <c r="H617" s="5"/>
      <c r="I617" s="5"/>
      <c r="J617" s="5"/>
      <c r="K617" s="5"/>
      <c r="L617" s="18">
        <v>0</v>
      </c>
      <c r="M617" t="str">
        <f t="shared" si="39"/>
        <v/>
      </c>
      <c r="N617" t="str">
        <f>IF(OR($D617="",$S617=""),"",IFERROR(MAX(0,ROUND(($D617-INDEX(Config!$C$15:$C$18,MATCH($S617,Config!$B$15:$B$18,0)))*24*60,0)),""))</f>
        <v/>
      </c>
      <c r="O617" t="str">
        <f t="shared" si="40"/>
        <v/>
      </c>
      <c r="P617" t="str">
        <f t="shared" si="41"/>
        <v/>
      </c>
      <c r="Q617" t="str">
        <f>IF(OR($P617="",$S617=""),"",IFERROR($P617-INDEX(Config!$E$15:$E$18,MATCH($S617,Config!$B$15:$B$18,0)),""))</f>
        <v/>
      </c>
      <c r="R617" t="str">
        <f t="shared" si="42"/>
        <v/>
      </c>
      <c r="S617" s="6" t="str">
        <f>IF(OR($A617="",$C617=""),"",IFERROR(INDEX(Turno!$C$3:$V$32,MATCH($C617,Turno!$B$3:$B$32,0),MATCH(DAY($A617),Turno!$C$1:$V$1,0)),""))</f>
        <v/>
      </c>
      <c r="T617" t="str">
        <f>IF(OR($E617="",$S617=""),"",IFERROR(MAX(0,ROUND((INDEX(Config!$D$15:$D$18,MATCH($S617,Config!$B$15:$B$18,0))-$E617)*1440,0)),""))</f>
        <v/>
      </c>
      <c r="U617" s="13" t="str">
        <f>IF(OR($N617="",$T617=""),"",IFERROR(MAX(0,1-($N617+$T617+MAX(0,N($Q617)))/ROUND((INDEX(Config!$D$15:$D$18,MATCH($S617,Config!$B$15:$B$18,0))-INDEX(Config!$C$15:$C$18,MATCH($S617,Config!$B$15:$B$18,0)))*1440,0)),""))</f>
        <v/>
      </c>
      <c r="V617" s="5"/>
    </row>
    <row r="618" spans="1:22" x14ac:dyDescent="0.25">
      <c r="A618" s="11"/>
      <c r="B618" s="5"/>
      <c r="C618" s="6" t="str">
        <f>IFERROR(INDEX(Ejecutivos!$B$2:$B$100,MATCH(B618,Ejecutivos!$A$2:$A$100,0)),"")</f>
        <v/>
      </c>
      <c r="D618" s="12"/>
      <c r="E618" s="12"/>
      <c r="F618" s="12"/>
      <c r="G618" s="12"/>
      <c r="H618" s="5"/>
      <c r="I618" s="5"/>
      <c r="J618" s="5"/>
      <c r="K618" s="5"/>
      <c r="L618" s="18">
        <v>0</v>
      </c>
      <c r="M618" t="str">
        <f t="shared" si="39"/>
        <v/>
      </c>
      <c r="N618" t="str">
        <f>IF(OR($D618="",$S618=""),"",IFERROR(MAX(0,ROUND(($D618-INDEX(Config!$C$15:$C$18,MATCH($S618,Config!$B$15:$B$18,0)))*24*60,0)),""))</f>
        <v/>
      </c>
      <c r="O618" t="str">
        <f t="shared" si="40"/>
        <v/>
      </c>
      <c r="P618" t="str">
        <f t="shared" si="41"/>
        <v/>
      </c>
      <c r="Q618" t="str">
        <f>IF(OR($P618="",$S618=""),"",IFERROR($P618-INDEX(Config!$E$15:$E$18,MATCH($S618,Config!$B$15:$B$18,0)),""))</f>
        <v/>
      </c>
      <c r="R618" t="str">
        <f t="shared" si="42"/>
        <v/>
      </c>
      <c r="S618" s="6" t="str">
        <f>IF(OR($A618="",$C618=""),"",IFERROR(INDEX(Turno!$C$3:$V$32,MATCH($C618,Turno!$B$3:$B$32,0),MATCH(DAY($A618),Turno!$C$1:$V$1,0)),""))</f>
        <v/>
      </c>
      <c r="T618" t="str">
        <f>IF(OR($E618="",$S618=""),"",IFERROR(MAX(0,ROUND((INDEX(Config!$D$15:$D$18,MATCH($S618,Config!$B$15:$B$18,0))-$E618)*1440,0)),""))</f>
        <v/>
      </c>
      <c r="U618" s="13" t="str">
        <f>IF(OR($N618="",$T618=""),"",IFERROR(MAX(0,1-($N618+$T618+MAX(0,N($Q618)))/ROUND((INDEX(Config!$D$15:$D$18,MATCH($S618,Config!$B$15:$B$18,0))-INDEX(Config!$C$15:$C$18,MATCH($S618,Config!$B$15:$B$18,0)))*1440,0)),""))</f>
        <v/>
      </c>
      <c r="V618" s="5"/>
    </row>
    <row r="619" spans="1:22" x14ac:dyDescent="0.25">
      <c r="A619" s="11"/>
      <c r="B619" s="5"/>
      <c r="C619" s="6" t="str">
        <f>IFERROR(INDEX(Ejecutivos!$B$2:$B$100,MATCH(B619,Ejecutivos!$A$2:$A$100,0)),"")</f>
        <v/>
      </c>
      <c r="D619" s="12"/>
      <c r="E619" s="12"/>
      <c r="F619" s="12"/>
      <c r="G619" s="12"/>
      <c r="H619" s="5"/>
      <c r="I619" s="5"/>
      <c r="J619" s="5"/>
      <c r="K619" s="5"/>
      <c r="L619" s="18">
        <v>0</v>
      </c>
      <c r="M619" t="str">
        <f t="shared" si="39"/>
        <v/>
      </c>
      <c r="N619" t="str">
        <f>IF(OR($D619="",$S619=""),"",IFERROR(MAX(0,ROUND(($D619-INDEX(Config!$C$15:$C$18,MATCH($S619,Config!$B$15:$B$18,0)))*24*60,0)),""))</f>
        <v/>
      </c>
      <c r="O619" t="str">
        <f t="shared" si="40"/>
        <v/>
      </c>
      <c r="P619" t="str">
        <f t="shared" si="41"/>
        <v/>
      </c>
      <c r="Q619" t="str">
        <f>IF(OR($P619="",$S619=""),"",IFERROR($P619-INDEX(Config!$E$15:$E$18,MATCH($S619,Config!$B$15:$B$18,0)),""))</f>
        <v/>
      </c>
      <c r="R619" t="str">
        <f t="shared" si="42"/>
        <v/>
      </c>
      <c r="S619" s="6" t="str">
        <f>IF(OR($A619="",$C619=""),"",IFERROR(INDEX(Turno!$C$3:$V$32,MATCH($C619,Turno!$B$3:$B$32,0),MATCH(DAY($A619),Turno!$C$1:$V$1,0)),""))</f>
        <v/>
      </c>
      <c r="T619" t="str">
        <f>IF(OR($E619="",$S619=""),"",IFERROR(MAX(0,ROUND((INDEX(Config!$D$15:$D$18,MATCH($S619,Config!$B$15:$B$18,0))-$E619)*1440,0)),""))</f>
        <v/>
      </c>
      <c r="U619" s="13" t="str">
        <f>IF(OR($N619="",$T619=""),"",IFERROR(MAX(0,1-($N619+$T619+MAX(0,N($Q619)))/ROUND((INDEX(Config!$D$15:$D$18,MATCH($S619,Config!$B$15:$B$18,0))-INDEX(Config!$C$15:$C$18,MATCH($S619,Config!$B$15:$B$18,0)))*1440,0)),""))</f>
        <v/>
      </c>
      <c r="V619" s="5"/>
    </row>
    <row r="620" spans="1:22" x14ac:dyDescent="0.25">
      <c r="A620" s="11"/>
      <c r="B620" s="5"/>
      <c r="C620" s="6" t="str">
        <f>IFERROR(INDEX(Ejecutivos!$B$2:$B$100,MATCH(B620,Ejecutivos!$A$2:$A$100,0)),"")</f>
        <v/>
      </c>
      <c r="D620" s="12"/>
      <c r="E620" s="12"/>
      <c r="F620" s="12"/>
      <c r="G620" s="12"/>
      <c r="H620" s="5"/>
      <c r="I620" s="5"/>
      <c r="J620" s="5"/>
      <c r="K620" s="5"/>
      <c r="L620" s="18">
        <v>0</v>
      </c>
      <c r="M620" t="str">
        <f t="shared" si="39"/>
        <v/>
      </c>
      <c r="N620" t="str">
        <f>IF(OR($D620="",$S620=""),"",IFERROR(MAX(0,ROUND(($D620-INDEX(Config!$C$15:$C$18,MATCH($S620,Config!$B$15:$B$18,0)))*24*60,0)),""))</f>
        <v/>
      </c>
      <c r="O620" t="str">
        <f t="shared" si="40"/>
        <v/>
      </c>
      <c r="P620" t="str">
        <f t="shared" si="41"/>
        <v/>
      </c>
      <c r="Q620" t="str">
        <f>IF(OR($P620="",$S620=""),"",IFERROR($P620-INDEX(Config!$E$15:$E$18,MATCH($S620,Config!$B$15:$B$18,0)),""))</f>
        <v/>
      </c>
      <c r="R620" t="str">
        <f t="shared" si="42"/>
        <v/>
      </c>
      <c r="S620" s="6" t="str">
        <f>IF(OR($A620="",$C620=""),"",IFERROR(INDEX(Turno!$C$3:$V$32,MATCH($C620,Turno!$B$3:$B$32,0),MATCH(DAY($A620),Turno!$C$1:$V$1,0)),""))</f>
        <v/>
      </c>
      <c r="T620" t="str">
        <f>IF(OR($E620="",$S620=""),"",IFERROR(MAX(0,ROUND((INDEX(Config!$D$15:$D$18,MATCH($S620,Config!$B$15:$B$18,0))-$E620)*1440,0)),""))</f>
        <v/>
      </c>
      <c r="U620" s="13" t="str">
        <f>IF(OR($N620="",$T620=""),"",IFERROR(MAX(0,1-($N620+$T620+MAX(0,N($Q620)))/ROUND((INDEX(Config!$D$15:$D$18,MATCH($S620,Config!$B$15:$B$18,0))-INDEX(Config!$C$15:$C$18,MATCH($S620,Config!$B$15:$B$18,0)))*1440,0)),""))</f>
        <v/>
      </c>
      <c r="V620" s="5"/>
    </row>
    <row r="621" spans="1:22" x14ac:dyDescent="0.25">
      <c r="A621" s="11"/>
      <c r="B621" s="5"/>
      <c r="C621" s="6" t="str">
        <f>IFERROR(INDEX(Ejecutivos!$B$2:$B$100,MATCH(B621,Ejecutivos!$A$2:$A$100,0)),"")</f>
        <v/>
      </c>
      <c r="D621" s="12"/>
      <c r="E621" s="12"/>
      <c r="F621" s="12"/>
      <c r="G621" s="12"/>
      <c r="H621" s="5"/>
      <c r="I621" s="5"/>
      <c r="J621" s="5"/>
      <c r="K621" s="5"/>
      <c r="L621" s="18">
        <v>0</v>
      </c>
      <c r="M621" t="str">
        <f t="shared" si="39"/>
        <v/>
      </c>
      <c r="N621" t="str">
        <f>IF(OR($D621="",$S621=""),"",IFERROR(MAX(0,ROUND(($D621-INDEX(Config!$C$15:$C$18,MATCH($S621,Config!$B$15:$B$18,0)))*24*60,0)),""))</f>
        <v/>
      </c>
      <c r="O621" t="str">
        <f t="shared" si="40"/>
        <v/>
      </c>
      <c r="P621" t="str">
        <f t="shared" si="41"/>
        <v/>
      </c>
      <c r="Q621" t="str">
        <f>IF(OR($P621="",$S621=""),"",IFERROR($P621-INDEX(Config!$E$15:$E$18,MATCH($S621,Config!$B$15:$B$18,0)),""))</f>
        <v/>
      </c>
      <c r="R621" t="str">
        <f t="shared" si="42"/>
        <v/>
      </c>
      <c r="S621" s="6" t="str">
        <f>IF(OR($A621="",$C621=""),"",IFERROR(INDEX(Turno!$C$3:$V$32,MATCH($C621,Turno!$B$3:$B$32,0),MATCH(DAY($A621),Turno!$C$1:$V$1,0)),""))</f>
        <v/>
      </c>
      <c r="T621" t="str">
        <f>IF(OR($E621="",$S621=""),"",IFERROR(MAX(0,ROUND((INDEX(Config!$D$15:$D$18,MATCH($S621,Config!$B$15:$B$18,0))-$E621)*1440,0)),""))</f>
        <v/>
      </c>
      <c r="U621" s="13" t="str">
        <f>IF(OR($N621="",$T621=""),"",IFERROR(MAX(0,1-($N621+$T621+MAX(0,N($Q621)))/ROUND((INDEX(Config!$D$15:$D$18,MATCH($S621,Config!$B$15:$B$18,0))-INDEX(Config!$C$15:$C$18,MATCH($S621,Config!$B$15:$B$18,0)))*1440,0)),""))</f>
        <v/>
      </c>
      <c r="V621" s="5"/>
    </row>
    <row r="622" spans="1:22" x14ac:dyDescent="0.25">
      <c r="A622" s="11"/>
      <c r="B622" s="5"/>
      <c r="C622" s="6" t="str">
        <f>IFERROR(INDEX(Ejecutivos!$B$2:$B$100,MATCH(B622,Ejecutivos!$A$2:$A$100,0)),"")</f>
        <v/>
      </c>
      <c r="D622" s="12"/>
      <c r="E622" s="12"/>
      <c r="F622" s="12"/>
      <c r="G622" s="12"/>
      <c r="H622" s="5"/>
      <c r="I622" s="5"/>
      <c r="J622" s="5"/>
      <c r="K622" s="5"/>
      <c r="L622" s="18">
        <v>0</v>
      </c>
      <c r="M622" t="str">
        <f t="shared" si="39"/>
        <v/>
      </c>
      <c r="N622" t="str">
        <f>IF(OR($D622="",$S622=""),"",IFERROR(MAX(0,ROUND(($D622-INDEX(Config!$C$15:$C$18,MATCH($S622,Config!$B$15:$B$18,0)))*24*60,0)),""))</f>
        <v/>
      </c>
      <c r="O622" t="str">
        <f t="shared" si="40"/>
        <v/>
      </c>
      <c r="P622" t="str">
        <f t="shared" si="41"/>
        <v/>
      </c>
      <c r="Q622" t="str">
        <f>IF(OR($P622="",$S622=""),"",IFERROR($P622-INDEX(Config!$E$15:$E$18,MATCH($S622,Config!$B$15:$B$18,0)),""))</f>
        <v/>
      </c>
      <c r="R622" t="str">
        <f t="shared" si="42"/>
        <v/>
      </c>
      <c r="S622" s="6" t="str">
        <f>IF(OR($A622="",$C622=""),"",IFERROR(INDEX(Turno!$C$3:$V$32,MATCH($C622,Turno!$B$3:$B$32,0),MATCH(DAY($A622),Turno!$C$1:$V$1,0)),""))</f>
        <v/>
      </c>
      <c r="T622" t="str">
        <f>IF(OR($E622="",$S622=""),"",IFERROR(MAX(0,ROUND((INDEX(Config!$D$15:$D$18,MATCH($S622,Config!$B$15:$B$18,0))-$E622)*1440,0)),""))</f>
        <v/>
      </c>
      <c r="U622" s="13" t="str">
        <f>IF(OR($N622="",$T622=""),"",IFERROR(MAX(0,1-($N622+$T622+MAX(0,N($Q622)))/ROUND((INDEX(Config!$D$15:$D$18,MATCH($S622,Config!$B$15:$B$18,0))-INDEX(Config!$C$15:$C$18,MATCH($S622,Config!$B$15:$B$18,0)))*1440,0)),""))</f>
        <v/>
      </c>
      <c r="V622" s="5"/>
    </row>
    <row r="623" spans="1:22" x14ac:dyDescent="0.25">
      <c r="A623" s="11"/>
      <c r="B623" s="5"/>
      <c r="C623" s="6" t="str">
        <f>IFERROR(INDEX(Ejecutivos!$B$2:$B$100,MATCH(B623,Ejecutivos!$A$2:$A$100,0)),"")</f>
        <v/>
      </c>
      <c r="D623" s="12"/>
      <c r="E623" s="12"/>
      <c r="F623" s="12"/>
      <c r="G623" s="12"/>
      <c r="H623" s="5"/>
      <c r="I623" s="5"/>
      <c r="J623" s="5"/>
      <c r="K623" s="5"/>
      <c r="L623" s="18">
        <v>0</v>
      </c>
      <c r="M623" t="str">
        <f t="shared" si="39"/>
        <v/>
      </c>
      <c r="N623" t="str">
        <f>IF(OR($D623="",$S623=""),"",IFERROR(MAX(0,ROUND(($D623-INDEX(Config!$C$15:$C$18,MATCH($S623,Config!$B$15:$B$18,0)))*24*60,0)),""))</f>
        <v/>
      </c>
      <c r="O623" t="str">
        <f t="shared" si="40"/>
        <v/>
      </c>
      <c r="P623" t="str">
        <f t="shared" si="41"/>
        <v/>
      </c>
      <c r="Q623" t="str">
        <f>IF(OR($P623="",$S623=""),"",IFERROR($P623-INDEX(Config!$E$15:$E$18,MATCH($S623,Config!$B$15:$B$18,0)),""))</f>
        <v/>
      </c>
      <c r="R623" t="str">
        <f t="shared" si="42"/>
        <v/>
      </c>
      <c r="S623" s="6" t="str">
        <f>IF(OR($A623="",$C623=""),"",IFERROR(INDEX(Turno!$C$3:$V$32,MATCH($C623,Turno!$B$3:$B$32,0),MATCH(DAY($A623),Turno!$C$1:$V$1,0)),""))</f>
        <v/>
      </c>
      <c r="T623" t="str">
        <f>IF(OR($E623="",$S623=""),"",IFERROR(MAX(0,ROUND((INDEX(Config!$D$15:$D$18,MATCH($S623,Config!$B$15:$B$18,0))-$E623)*1440,0)),""))</f>
        <v/>
      </c>
      <c r="U623" s="13" t="str">
        <f>IF(OR($N623="",$T623=""),"",IFERROR(MAX(0,1-($N623+$T623+MAX(0,N($Q623)))/ROUND((INDEX(Config!$D$15:$D$18,MATCH($S623,Config!$B$15:$B$18,0))-INDEX(Config!$C$15:$C$18,MATCH($S623,Config!$B$15:$B$18,0)))*1440,0)),""))</f>
        <v/>
      </c>
      <c r="V623" s="5"/>
    </row>
    <row r="624" spans="1:22" x14ac:dyDescent="0.25">
      <c r="A624" s="11"/>
      <c r="B624" s="5"/>
      <c r="C624" s="6" t="str">
        <f>IFERROR(INDEX(Ejecutivos!$B$2:$B$100,MATCH(B624,Ejecutivos!$A$2:$A$100,0)),"")</f>
        <v/>
      </c>
      <c r="D624" s="12"/>
      <c r="E624" s="12"/>
      <c r="F624" s="12"/>
      <c r="G624" s="12"/>
      <c r="H624" s="5"/>
      <c r="I624" s="5"/>
      <c r="J624" s="5"/>
      <c r="K624" s="5"/>
      <c r="L624" s="18">
        <v>0</v>
      </c>
      <c r="M624" t="str">
        <f t="shared" si="39"/>
        <v/>
      </c>
      <c r="N624" t="str">
        <f>IF(OR($D624="",$S624=""),"",IFERROR(MAX(0,ROUND(($D624-INDEX(Config!$C$15:$C$18,MATCH($S624,Config!$B$15:$B$18,0)))*24*60,0)),""))</f>
        <v/>
      </c>
      <c r="O624" t="str">
        <f t="shared" si="40"/>
        <v/>
      </c>
      <c r="P624" t="str">
        <f t="shared" si="41"/>
        <v/>
      </c>
      <c r="Q624" t="str">
        <f>IF(OR($P624="",$S624=""),"",IFERROR($P624-INDEX(Config!$E$15:$E$18,MATCH($S624,Config!$B$15:$B$18,0)),""))</f>
        <v/>
      </c>
      <c r="R624" t="str">
        <f t="shared" si="42"/>
        <v/>
      </c>
      <c r="S624" s="6" t="str">
        <f>IF(OR($A624="",$C624=""),"",IFERROR(INDEX(Turno!$C$3:$V$32,MATCH($C624,Turno!$B$3:$B$32,0),MATCH(DAY($A624),Turno!$C$1:$V$1,0)),""))</f>
        <v/>
      </c>
      <c r="T624" t="str">
        <f>IF(OR($E624="",$S624=""),"",IFERROR(MAX(0,ROUND((INDEX(Config!$D$15:$D$18,MATCH($S624,Config!$B$15:$B$18,0))-$E624)*1440,0)),""))</f>
        <v/>
      </c>
      <c r="U624" s="13" t="str">
        <f>IF(OR($N624="",$T624=""),"",IFERROR(MAX(0,1-($N624+$T624+MAX(0,N($Q624)))/ROUND((INDEX(Config!$D$15:$D$18,MATCH($S624,Config!$B$15:$B$18,0))-INDEX(Config!$C$15:$C$18,MATCH($S624,Config!$B$15:$B$18,0)))*1440,0)),""))</f>
        <v/>
      </c>
      <c r="V624" s="5"/>
    </row>
    <row r="625" spans="1:22" x14ac:dyDescent="0.25">
      <c r="A625" s="11"/>
      <c r="B625" s="5"/>
      <c r="C625" s="6" t="str">
        <f>IFERROR(INDEX(Ejecutivos!$B$2:$B$100,MATCH(B625,Ejecutivos!$A$2:$A$100,0)),"")</f>
        <v/>
      </c>
      <c r="D625" s="12"/>
      <c r="E625" s="12"/>
      <c r="F625" s="12"/>
      <c r="G625" s="12"/>
      <c r="H625" s="5"/>
      <c r="I625" s="5"/>
      <c r="J625" s="5"/>
      <c r="K625" s="5"/>
      <c r="L625" s="18">
        <v>0</v>
      </c>
      <c r="M625" t="str">
        <f t="shared" si="39"/>
        <v/>
      </c>
      <c r="N625" t="str">
        <f>IF(OR($D625="",$S625=""),"",IFERROR(MAX(0,ROUND(($D625-INDEX(Config!$C$15:$C$18,MATCH($S625,Config!$B$15:$B$18,0)))*24*60,0)),""))</f>
        <v/>
      </c>
      <c r="O625" t="str">
        <f t="shared" si="40"/>
        <v/>
      </c>
      <c r="P625" t="str">
        <f t="shared" si="41"/>
        <v/>
      </c>
      <c r="Q625" t="str">
        <f>IF(OR($P625="",$S625=""),"",IFERROR($P625-INDEX(Config!$E$15:$E$18,MATCH($S625,Config!$B$15:$B$18,0)),""))</f>
        <v/>
      </c>
      <c r="R625" t="str">
        <f t="shared" si="42"/>
        <v/>
      </c>
      <c r="S625" s="6" t="str">
        <f>IF(OR($A625="",$C625=""),"",IFERROR(INDEX(Turno!$C$3:$V$32,MATCH($C625,Turno!$B$3:$B$32,0),MATCH(DAY($A625),Turno!$C$1:$V$1,0)),""))</f>
        <v/>
      </c>
      <c r="T625" t="str">
        <f>IF(OR($E625="",$S625=""),"",IFERROR(MAX(0,ROUND((INDEX(Config!$D$15:$D$18,MATCH($S625,Config!$B$15:$B$18,0))-$E625)*1440,0)),""))</f>
        <v/>
      </c>
      <c r="U625" s="13" t="str">
        <f>IF(OR($N625="",$T625=""),"",IFERROR(MAX(0,1-($N625+$T625+MAX(0,N($Q625)))/ROUND((INDEX(Config!$D$15:$D$18,MATCH($S625,Config!$B$15:$B$18,0))-INDEX(Config!$C$15:$C$18,MATCH($S625,Config!$B$15:$B$18,0)))*1440,0)),""))</f>
        <v/>
      </c>
      <c r="V625" s="5"/>
    </row>
    <row r="626" spans="1:22" x14ac:dyDescent="0.25">
      <c r="A626" s="11"/>
      <c r="B626" s="5"/>
      <c r="C626" s="6" t="str">
        <f>IFERROR(INDEX(Ejecutivos!$B$2:$B$100,MATCH(B626,Ejecutivos!$A$2:$A$100,0)),"")</f>
        <v/>
      </c>
      <c r="D626" s="12"/>
      <c r="E626" s="12"/>
      <c r="F626" s="12"/>
      <c r="G626" s="12"/>
      <c r="H626" s="5"/>
      <c r="I626" s="5"/>
      <c r="J626" s="5"/>
      <c r="K626" s="5"/>
      <c r="L626" s="18">
        <v>0</v>
      </c>
      <c r="M626" t="str">
        <f t="shared" si="39"/>
        <v/>
      </c>
      <c r="N626" t="str">
        <f>IF(OR($D626="",$S626=""),"",IFERROR(MAX(0,ROUND(($D626-INDEX(Config!$C$15:$C$18,MATCH($S626,Config!$B$15:$B$18,0)))*24*60,0)),""))</f>
        <v/>
      </c>
      <c r="O626" t="str">
        <f t="shared" si="40"/>
        <v/>
      </c>
      <c r="P626" t="str">
        <f t="shared" si="41"/>
        <v/>
      </c>
      <c r="Q626" t="str">
        <f>IF(OR($P626="",$S626=""),"",IFERROR($P626-INDEX(Config!$E$15:$E$18,MATCH($S626,Config!$B$15:$B$18,0)),""))</f>
        <v/>
      </c>
      <c r="R626" t="str">
        <f t="shared" si="42"/>
        <v/>
      </c>
      <c r="S626" s="6" t="str">
        <f>IF(OR($A626="",$C626=""),"",IFERROR(INDEX(Turno!$C$3:$V$32,MATCH($C626,Turno!$B$3:$B$32,0),MATCH(DAY($A626),Turno!$C$1:$V$1,0)),""))</f>
        <v/>
      </c>
      <c r="T626" t="str">
        <f>IF(OR($E626="",$S626=""),"",IFERROR(MAX(0,ROUND((INDEX(Config!$D$15:$D$18,MATCH($S626,Config!$B$15:$B$18,0))-$E626)*1440,0)),""))</f>
        <v/>
      </c>
      <c r="U626" s="13" t="str">
        <f>IF(OR($N626="",$T626=""),"",IFERROR(MAX(0,1-($N626+$T626+MAX(0,N($Q626)))/ROUND((INDEX(Config!$D$15:$D$18,MATCH($S626,Config!$B$15:$B$18,0))-INDEX(Config!$C$15:$C$18,MATCH($S626,Config!$B$15:$B$18,0)))*1440,0)),""))</f>
        <v/>
      </c>
      <c r="V626" s="5"/>
    </row>
    <row r="627" spans="1:22" x14ac:dyDescent="0.25">
      <c r="A627" s="11"/>
      <c r="B627" s="5"/>
      <c r="C627" s="6" t="str">
        <f>IFERROR(INDEX(Ejecutivos!$B$2:$B$100,MATCH(B627,Ejecutivos!$A$2:$A$100,0)),"")</f>
        <v/>
      </c>
      <c r="D627" s="12"/>
      <c r="E627" s="12"/>
      <c r="F627" s="12"/>
      <c r="G627" s="12"/>
      <c r="H627" s="5"/>
      <c r="I627" s="5"/>
      <c r="J627" s="5"/>
      <c r="K627" s="5"/>
      <c r="L627" s="18">
        <v>0</v>
      </c>
      <c r="M627" t="str">
        <f t="shared" si="39"/>
        <v/>
      </c>
      <c r="N627" t="str">
        <f>IF(OR($D627="",$S627=""),"",IFERROR(MAX(0,ROUND(($D627-INDEX(Config!$C$15:$C$18,MATCH($S627,Config!$B$15:$B$18,0)))*24*60,0)),""))</f>
        <v/>
      </c>
      <c r="O627" t="str">
        <f t="shared" si="40"/>
        <v/>
      </c>
      <c r="P627" t="str">
        <f t="shared" si="41"/>
        <v/>
      </c>
      <c r="Q627" t="str">
        <f>IF(OR($P627="",$S627=""),"",IFERROR($P627-INDEX(Config!$E$15:$E$18,MATCH($S627,Config!$B$15:$B$18,0)),""))</f>
        <v/>
      </c>
      <c r="R627" t="str">
        <f t="shared" si="42"/>
        <v/>
      </c>
      <c r="S627" s="6" t="str">
        <f>IF(OR($A627="",$C627=""),"",IFERROR(INDEX(Turno!$C$3:$V$32,MATCH($C627,Turno!$B$3:$B$32,0),MATCH(DAY($A627),Turno!$C$1:$V$1,0)),""))</f>
        <v/>
      </c>
      <c r="T627" t="str">
        <f>IF(OR($E627="",$S627=""),"",IFERROR(MAX(0,ROUND((INDEX(Config!$D$15:$D$18,MATCH($S627,Config!$B$15:$B$18,0))-$E627)*1440,0)),""))</f>
        <v/>
      </c>
      <c r="U627" s="13" t="str">
        <f>IF(OR($N627="",$T627=""),"",IFERROR(MAX(0,1-($N627+$T627+MAX(0,N($Q627)))/ROUND((INDEX(Config!$D$15:$D$18,MATCH($S627,Config!$B$15:$B$18,0))-INDEX(Config!$C$15:$C$18,MATCH($S627,Config!$B$15:$B$18,0)))*1440,0)),""))</f>
        <v/>
      </c>
      <c r="V627" s="5"/>
    </row>
    <row r="628" spans="1:22" x14ac:dyDescent="0.25">
      <c r="A628" s="11"/>
      <c r="B628" s="5"/>
      <c r="C628" s="6" t="str">
        <f>IFERROR(INDEX(Ejecutivos!$B$2:$B$100,MATCH(B628,Ejecutivos!$A$2:$A$100,0)),"")</f>
        <v/>
      </c>
      <c r="D628" s="12"/>
      <c r="E628" s="12"/>
      <c r="F628" s="12"/>
      <c r="G628" s="12"/>
      <c r="H628" s="5"/>
      <c r="I628" s="5"/>
      <c r="J628" s="5"/>
      <c r="K628" s="5"/>
      <c r="L628" s="18">
        <v>0</v>
      </c>
      <c r="M628" t="str">
        <f t="shared" si="39"/>
        <v/>
      </c>
      <c r="N628" t="str">
        <f>IF(OR($D628="",$S628=""),"",IFERROR(MAX(0,ROUND(($D628-INDEX(Config!$C$15:$C$18,MATCH($S628,Config!$B$15:$B$18,0)))*24*60,0)),""))</f>
        <v/>
      </c>
      <c r="O628" t="str">
        <f t="shared" si="40"/>
        <v/>
      </c>
      <c r="P628" t="str">
        <f t="shared" si="41"/>
        <v/>
      </c>
      <c r="Q628" t="str">
        <f>IF(OR($P628="",$S628=""),"",IFERROR($P628-INDEX(Config!$E$15:$E$18,MATCH($S628,Config!$B$15:$B$18,0)),""))</f>
        <v/>
      </c>
      <c r="R628" t="str">
        <f t="shared" si="42"/>
        <v/>
      </c>
      <c r="S628" s="6" t="str">
        <f>IF(OR($A628="",$C628=""),"",IFERROR(INDEX(Turno!$C$3:$V$32,MATCH($C628,Turno!$B$3:$B$32,0),MATCH(DAY($A628),Turno!$C$1:$V$1,0)),""))</f>
        <v/>
      </c>
      <c r="T628" t="str">
        <f>IF(OR($E628="",$S628=""),"",IFERROR(MAX(0,ROUND((INDEX(Config!$D$15:$D$18,MATCH($S628,Config!$B$15:$B$18,0))-$E628)*1440,0)),""))</f>
        <v/>
      </c>
      <c r="U628" s="13" t="str">
        <f>IF(OR($N628="",$T628=""),"",IFERROR(MAX(0,1-($N628+$T628+MAX(0,N($Q628)))/ROUND((INDEX(Config!$D$15:$D$18,MATCH($S628,Config!$B$15:$B$18,0))-INDEX(Config!$C$15:$C$18,MATCH($S628,Config!$B$15:$B$18,0)))*1440,0)),""))</f>
        <v/>
      </c>
      <c r="V628" s="5"/>
    </row>
    <row r="629" spans="1:22" x14ac:dyDescent="0.25">
      <c r="A629" s="11"/>
      <c r="B629" s="5"/>
      <c r="C629" s="6" t="str">
        <f>IFERROR(INDEX(Ejecutivos!$B$2:$B$100,MATCH(B629,Ejecutivos!$A$2:$A$100,0)),"")</f>
        <v/>
      </c>
      <c r="D629" s="12"/>
      <c r="E629" s="12"/>
      <c r="F629" s="12"/>
      <c r="G629" s="12"/>
      <c r="H629" s="5"/>
      <c r="I629" s="5"/>
      <c r="J629" s="5"/>
      <c r="K629" s="5"/>
      <c r="L629" s="18">
        <v>0</v>
      </c>
      <c r="M629" t="str">
        <f t="shared" ref="M629:M692" si="43">IF(OR(D629="",E629=""),"",ROUND(((E629-D629)*24)-((G629-F629)*24)-((H629+I629)/60),2))</f>
        <v/>
      </c>
      <c r="N629" t="str">
        <f>IF(OR($D629="",$S629=""),"",IFERROR(MAX(0,ROUND(($D629-INDEX(Config!$C$15:$C$18,MATCH($S629,Config!$B$15:$B$18,0)))*24*60,0)),""))</f>
        <v/>
      </c>
      <c r="O629" t="str">
        <f t="shared" ref="O629:O692" si="44">IF(OR(F629="",G629=""),"",ROUND((G629-F629)*24*60,0))</f>
        <v/>
      </c>
      <c r="P629" t="str">
        <f t="shared" ref="P629:P692" si="45">IF(O629="","",O629+H629+I629)</f>
        <v/>
      </c>
      <c r="Q629" t="str">
        <f>IF(OR($P629="",$S629=""),"",IFERROR($P629-INDEX(Config!$E$15:$E$18,MATCH($S629,Config!$B$15:$B$18,0)),""))</f>
        <v/>
      </c>
      <c r="R629" t="str">
        <f t="shared" ref="R629:R692" si="46">IF($A629="","",IF($D629="","Ausente",IF($N629="","",IF($N629&gt;0,"Atrasado","Puntual"))))</f>
        <v/>
      </c>
      <c r="S629" s="6" t="str">
        <f>IF(OR($A629="",$C629=""),"",IFERROR(INDEX(Turno!$C$3:$V$32,MATCH($C629,Turno!$B$3:$B$32,0),MATCH(DAY($A629),Turno!$C$1:$V$1,0)),""))</f>
        <v/>
      </c>
      <c r="T629" t="str">
        <f>IF(OR($E629="",$S629=""),"",IFERROR(MAX(0,ROUND((INDEX(Config!$D$15:$D$18,MATCH($S629,Config!$B$15:$B$18,0))-$E629)*1440,0)),""))</f>
        <v/>
      </c>
      <c r="U629" s="13" t="str">
        <f>IF(OR($N629="",$T629=""),"",IFERROR(MAX(0,1-($N629+$T629+MAX(0,N($Q629)))/ROUND((INDEX(Config!$D$15:$D$18,MATCH($S629,Config!$B$15:$B$18,0))-INDEX(Config!$C$15:$C$18,MATCH($S629,Config!$B$15:$B$18,0)))*1440,0)),""))</f>
        <v/>
      </c>
      <c r="V629" s="5"/>
    </row>
    <row r="630" spans="1:22" x14ac:dyDescent="0.25">
      <c r="A630" s="11"/>
      <c r="B630" s="5"/>
      <c r="C630" s="6" t="str">
        <f>IFERROR(INDEX(Ejecutivos!$B$2:$B$100,MATCH(B630,Ejecutivos!$A$2:$A$100,0)),"")</f>
        <v/>
      </c>
      <c r="D630" s="12"/>
      <c r="E630" s="12"/>
      <c r="F630" s="12"/>
      <c r="G630" s="12"/>
      <c r="H630" s="5"/>
      <c r="I630" s="5"/>
      <c r="J630" s="5"/>
      <c r="K630" s="5"/>
      <c r="L630" s="18">
        <v>0</v>
      </c>
      <c r="M630" t="str">
        <f t="shared" si="43"/>
        <v/>
      </c>
      <c r="N630" t="str">
        <f>IF(OR($D630="",$S630=""),"",IFERROR(MAX(0,ROUND(($D630-INDEX(Config!$C$15:$C$18,MATCH($S630,Config!$B$15:$B$18,0)))*24*60,0)),""))</f>
        <v/>
      </c>
      <c r="O630" t="str">
        <f t="shared" si="44"/>
        <v/>
      </c>
      <c r="P630" t="str">
        <f t="shared" si="45"/>
        <v/>
      </c>
      <c r="Q630" t="str">
        <f>IF(OR($P630="",$S630=""),"",IFERROR($P630-INDEX(Config!$E$15:$E$18,MATCH($S630,Config!$B$15:$B$18,0)),""))</f>
        <v/>
      </c>
      <c r="R630" t="str">
        <f t="shared" si="46"/>
        <v/>
      </c>
      <c r="S630" s="6" t="str">
        <f>IF(OR($A630="",$C630=""),"",IFERROR(INDEX(Turno!$C$3:$V$32,MATCH($C630,Turno!$B$3:$B$32,0),MATCH(DAY($A630),Turno!$C$1:$V$1,0)),""))</f>
        <v/>
      </c>
      <c r="T630" t="str">
        <f>IF(OR($E630="",$S630=""),"",IFERROR(MAX(0,ROUND((INDEX(Config!$D$15:$D$18,MATCH($S630,Config!$B$15:$B$18,0))-$E630)*1440,0)),""))</f>
        <v/>
      </c>
      <c r="U630" s="13" t="str">
        <f>IF(OR($N630="",$T630=""),"",IFERROR(MAX(0,1-($N630+$T630+MAX(0,N($Q630)))/ROUND((INDEX(Config!$D$15:$D$18,MATCH($S630,Config!$B$15:$B$18,0))-INDEX(Config!$C$15:$C$18,MATCH($S630,Config!$B$15:$B$18,0)))*1440,0)),""))</f>
        <v/>
      </c>
      <c r="V630" s="5"/>
    </row>
    <row r="631" spans="1:22" x14ac:dyDescent="0.25">
      <c r="A631" s="11"/>
      <c r="B631" s="5"/>
      <c r="C631" s="6" t="str">
        <f>IFERROR(INDEX(Ejecutivos!$B$2:$B$100,MATCH(B631,Ejecutivos!$A$2:$A$100,0)),"")</f>
        <v/>
      </c>
      <c r="D631" s="12"/>
      <c r="E631" s="12"/>
      <c r="F631" s="12"/>
      <c r="G631" s="12"/>
      <c r="H631" s="5"/>
      <c r="I631" s="5"/>
      <c r="J631" s="5"/>
      <c r="K631" s="5"/>
      <c r="L631" s="18">
        <v>0</v>
      </c>
      <c r="M631" t="str">
        <f t="shared" si="43"/>
        <v/>
      </c>
      <c r="N631" t="str">
        <f>IF(OR($D631="",$S631=""),"",IFERROR(MAX(0,ROUND(($D631-INDEX(Config!$C$15:$C$18,MATCH($S631,Config!$B$15:$B$18,0)))*24*60,0)),""))</f>
        <v/>
      </c>
      <c r="O631" t="str">
        <f t="shared" si="44"/>
        <v/>
      </c>
      <c r="P631" t="str">
        <f t="shared" si="45"/>
        <v/>
      </c>
      <c r="Q631" t="str">
        <f>IF(OR($P631="",$S631=""),"",IFERROR($P631-INDEX(Config!$E$15:$E$18,MATCH($S631,Config!$B$15:$B$18,0)),""))</f>
        <v/>
      </c>
      <c r="R631" t="str">
        <f t="shared" si="46"/>
        <v/>
      </c>
      <c r="S631" s="6" t="str">
        <f>IF(OR($A631="",$C631=""),"",IFERROR(INDEX(Turno!$C$3:$V$32,MATCH($C631,Turno!$B$3:$B$32,0),MATCH(DAY($A631),Turno!$C$1:$V$1,0)),""))</f>
        <v/>
      </c>
      <c r="T631" t="str">
        <f>IF(OR($E631="",$S631=""),"",IFERROR(MAX(0,ROUND((INDEX(Config!$D$15:$D$18,MATCH($S631,Config!$B$15:$B$18,0))-$E631)*1440,0)),""))</f>
        <v/>
      </c>
      <c r="U631" s="13" t="str">
        <f>IF(OR($N631="",$T631=""),"",IFERROR(MAX(0,1-($N631+$T631+MAX(0,N($Q631)))/ROUND((INDEX(Config!$D$15:$D$18,MATCH($S631,Config!$B$15:$B$18,0))-INDEX(Config!$C$15:$C$18,MATCH($S631,Config!$B$15:$B$18,0)))*1440,0)),""))</f>
        <v/>
      </c>
      <c r="V631" s="5"/>
    </row>
    <row r="632" spans="1:22" x14ac:dyDescent="0.25">
      <c r="A632" s="11"/>
      <c r="B632" s="5"/>
      <c r="C632" s="6" t="str">
        <f>IFERROR(INDEX(Ejecutivos!$B$2:$B$100,MATCH(B632,Ejecutivos!$A$2:$A$100,0)),"")</f>
        <v/>
      </c>
      <c r="D632" s="12"/>
      <c r="E632" s="12"/>
      <c r="F632" s="12"/>
      <c r="G632" s="12"/>
      <c r="H632" s="5"/>
      <c r="I632" s="5"/>
      <c r="J632" s="5"/>
      <c r="K632" s="5"/>
      <c r="L632" s="18">
        <v>0</v>
      </c>
      <c r="M632" t="str">
        <f t="shared" si="43"/>
        <v/>
      </c>
      <c r="N632" t="str">
        <f>IF(OR($D632="",$S632=""),"",IFERROR(MAX(0,ROUND(($D632-INDEX(Config!$C$15:$C$18,MATCH($S632,Config!$B$15:$B$18,0)))*24*60,0)),""))</f>
        <v/>
      </c>
      <c r="O632" t="str">
        <f t="shared" si="44"/>
        <v/>
      </c>
      <c r="P632" t="str">
        <f t="shared" si="45"/>
        <v/>
      </c>
      <c r="Q632" t="str">
        <f>IF(OR($P632="",$S632=""),"",IFERROR($P632-INDEX(Config!$E$15:$E$18,MATCH($S632,Config!$B$15:$B$18,0)),""))</f>
        <v/>
      </c>
      <c r="R632" t="str">
        <f t="shared" si="46"/>
        <v/>
      </c>
      <c r="S632" s="6" t="str">
        <f>IF(OR($A632="",$C632=""),"",IFERROR(INDEX(Turno!$C$3:$V$32,MATCH($C632,Turno!$B$3:$B$32,0),MATCH(DAY($A632),Turno!$C$1:$V$1,0)),""))</f>
        <v/>
      </c>
      <c r="T632" t="str">
        <f>IF(OR($E632="",$S632=""),"",IFERROR(MAX(0,ROUND((INDEX(Config!$D$15:$D$18,MATCH($S632,Config!$B$15:$B$18,0))-$E632)*1440,0)),""))</f>
        <v/>
      </c>
      <c r="U632" s="13" t="str">
        <f>IF(OR($N632="",$T632=""),"",IFERROR(MAX(0,1-($N632+$T632+MAX(0,N($Q632)))/ROUND((INDEX(Config!$D$15:$D$18,MATCH($S632,Config!$B$15:$B$18,0))-INDEX(Config!$C$15:$C$18,MATCH($S632,Config!$B$15:$B$18,0)))*1440,0)),""))</f>
        <v/>
      </c>
      <c r="V632" s="5"/>
    </row>
    <row r="633" spans="1:22" x14ac:dyDescent="0.25">
      <c r="A633" s="11"/>
      <c r="B633" s="5"/>
      <c r="C633" s="6" t="str">
        <f>IFERROR(INDEX(Ejecutivos!$B$2:$B$100,MATCH(B633,Ejecutivos!$A$2:$A$100,0)),"")</f>
        <v/>
      </c>
      <c r="D633" s="12"/>
      <c r="E633" s="12"/>
      <c r="F633" s="12"/>
      <c r="G633" s="12"/>
      <c r="H633" s="5"/>
      <c r="I633" s="5"/>
      <c r="J633" s="5"/>
      <c r="K633" s="5"/>
      <c r="L633" s="18">
        <v>0</v>
      </c>
      <c r="M633" t="str">
        <f t="shared" si="43"/>
        <v/>
      </c>
      <c r="N633" t="str">
        <f>IF(OR($D633="",$S633=""),"",IFERROR(MAX(0,ROUND(($D633-INDEX(Config!$C$15:$C$18,MATCH($S633,Config!$B$15:$B$18,0)))*24*60,0)),""))</f>
        <v/>
      </c>
      <c r="O633" t="str">
        <f t="shared" si="44"/>
        <v/>
      </c>
      <c r="P633" t="str">
        <f t="shared" si="45"/>
        <v/>
      </c>
      <c r="Q633" t="str">
        <f>IF(OR($P633="",$S633=""),"",IFERROR($P633-INDEX(Config!$E$15:$E$18,MATCH($S633,Config!$B$15:$B$18,0)),""))</f>
        <v/>
      </c>
      <c r="R633" t="str">
        <f t="shared" si="46"/>
        <v/>
      </c>
      <c r="S633" s="6" t="str">
        <f>IF(OR($A633="",$C633=""),"",IFERROR(INDEX(Turno!$C$3:$V$32,MATCH($C633,Turno!$B$3:$B$32,0),MATCH(DAY($A633),Turno!$C$1:$V$1,0)),""))</f>
        <v/>
      </c>
      <c r="T633" t="str">
        <f>IF(OR($E633="",$S633=""),"",IFERROR(MAX(0,ROUND((INDEX(Config!$D$15:$D$18,MATCH($S633,Config!$B$15:$B$18,0))-$E633)*1440,0)),""))</f>
        <v/>
      </c>
      <c r="U633" s="13" t="str">
        <f>IF(OR($N633="",$T633=""),"",IFERROR(MAX(0,1-($N633+$T633+MAX(0,N($Q633)))/ROUND((INDEX(Config!$D$15:$D$18,MATCH($S633,Config!$B$15:$B$18,0))-INDEX(Config!$C$15:$C$18,MATCH($S633,Config!$B$15:$B$18,0)))*1440,0)),""))</f>
        <v/>
      </c>
      <c r="V633" s="5"/>
    </row>
    <row r="634" spans="1:22" x14ac:dyDescent="0.25">
      <c r="A634" s="11"/>
      <c r="B634" s="5"/>
      <c r="C634" s="6" t="str">
        <f>IFERROR(INDEX(Ejecutivos!$B$2:$B$100,MATCH(B634,Ejecutivos!$A$2:$A$100,0)),"")</f>
        <v/>
      </c>
      <c r="D634" s="12"/>
      <c r="E634" s="12"/>
      <c r="F634" s="12"/>
      <c r="G634" s="12"/>
      <c r="H634" s="5"/>
      <c r="I634" s="5"/>
      <c r="J634" s="5"/>
      <c r="K634" s="5"/>
      <c r="L634" s="18">
        <v>0</v>
      </c>
      <c r="M634" t="str">
        <f t="shared" si="43"/>
        <v/>
      </c>
      <c r="N634" t="str">
        <f>IF(OR($D634="",$S634=""),"",IFERROR(MAX(0,ROUND(($D634-INDEX(Config!$C$15:$C$18,MATCH($S634,Config!$B$15:$B$18,0)))*24*60,0)),""))</f>
        <v/>
      </c>
      <c r="O634" t="str">
        <f t="shared" si="44"/>
        <v/>
      </c>
      <c r="P634" t="str">
        <f t="shared" si="45"/>
        <v/>
      </c>
      <c r="Q634" t="str">
        <f>IF(OR($P634="",$S634=""),"",IFERROR($P634-INDEX(Config!$E$15:$E$18,MATCH($S634,Config!$B$15:$B$18,0)),""))</f>
        <v/>
      </c>
      <c r="R634" t="str">
        <f t="shared" si="46"/>
        <v/>
      </c>
      <c r="S634" s="6" t="str">
        <f>IF(OR($A634="",$C634=""),"",IFERROR(INDEX(Turno!$C$3:$V$32,MATCH($C634,Turno!$B$3:$B$32,0),MATCH(DAY($A634),Turno!$C$1:$V$1,0)),""))</f>
        <v/>
      </c>
      <c r="T634" t="str">
        <f>IF(OR($E634="",$S634=""),"",IFERROR(MAX(0,ROUND((INDEX(Config!$D$15:$D$18,MATCH($S634,Config!$B$15:$B$18,0))-$E634)*1440,0)),""))</f>
        <v/>
      </c>
      <c r="U634" s="13" t="str">
        <f>IF(OR($N634="",$T634=""),"",IFERROR(MAX(0,1-($N634+$T634+MAX(0,N($Q634)))/ROUND((INDEX(Config!$D$15:$D$18,MATCH($S634,Config!$B$15:$B$18,0))-INDEX(Config!$C$15:$C$18,MATCH($S634,Config!$B$15:$B$18,0)))*1440,0)),""))</f>
        <v/>
      </c>
      <c r="V634" s="5"/>
    </row>
    <row r="635" spans="1:22" x14ac:dyDescent="0.25">
      <c r="A635" s="11"/>
      <c r="B635" s="5"/>
      <c r="C635" s="6" t="str">
        <f>IFERROR(INDEX(Ejecutivos!$B$2:$B$100,MATCH(B635,Ejecutivos!$A$2:$A$100,0)),"")</f>
        <v/>
      </c>
      <c r="D635" s="12"/>
      <c r="E635" s="12"/>
      <c r="F635" s="12"/>
      <c r="G635" s="12"/>
      <c r="H635" s="5"/>
      <c r="I635" s="5"/>
      <c r="J635" s="5"/>
      <c r="K635" s="5"/>
      <c r="L635" s="18">
        <v>0</v>
      </c>
      <c r="M635" t="str">
        <f t="shared" si="43"/>
        <v/>
      </c>
      <c r="N635" t="str">
        <f>IF(OR($D635="",$S635=""),"",IFERROR(MAX(0,ROUND(($D635-INDEX(Config!$C$15:$C$18,MATCH($S635,Config!$B$15:$B$18,0)))*24*60,0)),""))</f>
        <v/>
      </c>
      <c r="O635" t="str">
        <f t="shared" si="44"/>
        <v/>
      </c>
      <c r="P635" t="str">
        <f t="shared" si="45"/>
        <v/>
      </c>
      <c r="Q635" t="str">
        <f>IF(OR($P635="",$S635=""),"",IFERROR($P635-INDEX(Config!$E$15:$E$18,MATCH($S635,Config!$B$15:$B$18,0)),""))</f>
        <v/>
      </c>
      <c r="R635" t="str">
        <f t="shared" si="46"/>
        <v/>
      </c>
      <c r="S635" s="6" t="str">
        <f>IF(OR($A635="",$C635=""),"",IFERROR(INDEX(Turno!$C$3:$V$32,MATCH($C635,Turno!$B$3:$B$32,0),MATCH(DAY($A635),Turno!$C$1:$V$1,0)),""))</f>
        <v/>
      </c>
      <c r="T635" t="str">
        <f>IF(OR($E635="",$S635=""),"",IFERROR(MAX(0,ROUND((INDEX(Config!$D$15:$D$18,MATCH($S635,Config!$B$15:$B$18,0))-$E635)*1440,0)),""))</f>
        <v/>
      </c>
      <c r="U635" s="13" t="str">
        <f>IF(OR($N635="",$T635=""),"",IFERROR(MAX(0,1-($N635+$T635+MAX(0,N($Q635)))/ROUND((INDEX(Config!$D$15:$D$18,MATCH($S635,Config!$B$15:$B$18,0))-INDEX(Config!$C$15:$C$18,MATCH($S635,Config!$B$15:$B$18,0)))*1440,0)),""))</f>
        <v/>
      </c>
      <c r="V635" s="5"/>
    </row>
    <row r="636" spans="1:22" x14ac:dyDescent="0.25">
      <c r="A636" s="11"/>
      <c r="B636" s="5"/>
      <c r="C636" s="6" t="str">
        <f>IFERROR(INDEX(Ejecutivos!$B$2:$B$100,MATCH(B636,Ejecutivos!$A$2:$A$100,0)),"")</f>
        <v/>
      </c>
      <c r="D636" s="12"/>
      <c r="E636" s="12"/>
      <c r="F636" s="12"/>
      <c r="G636" s="12"/>
      <c r="H636" s="5"/>
      <c r="I636" s="5"/>
      <c r="J636" s="5"/>
      <c r="K636" s="5"/>
      <c r="L636" s="18">
        <v>0</v>
      </c>
      <c r="M636" t="str">
        <f t="shared" si="43"/>
        <v/>
      </c>
      <c r="N636" t="str">
        <f>IF(OR($D636="",$S636=""),"",IFERROR(MAX(0,ROUND(($D636-INDEX(Config!$C$15:$C$18,MATCH($S636,Config!$B$15:$B$18,0)))*24*60,0)),""))</f>
        <v/>
      </c>
      <c r="O636" t="str">
        <f t="shared" si="44"/>
        <v/>
      </c>
      <c r="P636" t="str">
        <f t="shared" si="45"/>
        <v/>
      </c>
      <c r="Q636" t="str">
        <f>IF(OR($P636="",$S636=""),"",IFERROR($P636-INDEX(Config!$E$15:$E$18,MATCH($S636,Config!$B$15:$B$18,0)),""))</f>
        <v/>
      </c>
      <c r="R636" t="str">
        <f t="shared" si="46"/>
        <v/>
      </c>
      <c r="S636" s="6" t="str">
        <f>IF(OR($A636="",$C636=""),"",IFERROR(INDEX(Turno!$C$3:$V$32,MATCH($C636,Turno!$B$3:$B$32,0),MATCH(DAY($A636),Turno!$C$1:$V$1,0)),""))</f>
        <v/>
      </c>
      <c r="T636" t="str">
        <f>IF(OR($E636="",$S636=""),"",IFERROR(MAX(0,ROUND((INDEX(Config!$D$15:$D$18,MATCH($S636,Config!$B$15:$B$18,0))-$E636)*1440,0)),""))</f>
        <v/>
      </c>
      <c r="U636" s="13" t="str">
        <f>IF(OR($N636="",$T636=""),"",IFERROR(MAX(0,1-($N636+$T636+MAX(0,N($Q636)))/ROUND((INDEX(Config!$D$15:$D$18,MATCH($S636,Config!$B$15:$B$18,0))-INDEX(Config!$C$15:$C$18,MATCH($S636,Config!$B$15:$B$18,0)))*1440,0)),""))</f>
        <v/>
      </c>
      <c r="V636" s="5"/>
    </row>
    <row r="637" spans="1:22" x14ac:dyDescent="0.25">
      <c r="A637" s="11"/>
      <c r="B637" s="5"/>
      <c r="C637" s="6" t="str">
        <f>IFERROR(INDEX(Ejecutivos!$B$2:$B$100,MATCH(B637,Ejecutivos!$A$2:$A$100,0)),"")</f>
        <v/>
      </c>
      <c r="D637" s="12"/>
      <c r="E637" s="12"/>
      <c r="F637" s="12"/>
      <c r="G637" s="12"/>
      <c r="H637" s="5"/>
      <c r="I637" s="5"/>
      <c r="J637" s="5"/>
      <c r="K637" s="5"/>
      <c r="L637" s="18">
        <v>0</v>
      </c>
      <c r="M637" t="str">
        <f t="shared" si="43"/>
        <v/>
      </c>
      <c r="N637" t="str">
        <f>IF(OR($D637="",$S637=""),"",IFERROR(MAX(0,ROUND(($D637-INDEX(Config!$C$15:$C$18,MATCH($S637,Config!$B$15:$B$18,0)))*24*60,0)),""))</f>
        <v/>
      </c>
      <c r="O637" t="str">
        <f t="shared" si="44"/>
        <v/>
      </c>
      <c r="P637" t="str">
        <f t="shared" si="45"/>
        <v/>
      </c>
      <c r="Q637" t="str">
        <f>IF(OR($P637="",$S637=""),"",IFERROR($P637-INDEX(Config!$E$15:$E$18,MATCH($S637,Config!$B$15:$B$18,0)),""))</f>
        <v/>
      </c>
      <c r="R637" t="str">
        <f t="shared" si="46"/>
        <v/>
      </c>
      <c r="S637" s="6" t="str">
        <f>IF(OR($A637="",$C637=""),"",IFERROR(INDEX(Turno!$C$3:$V$32,MATCH($C637,Turno!$B$3:$B$32,0),MATCH(DAY($A637),Turno!$C$1:$V$1,0)),""))</f>
        <v/>
      </c>
      <c r="T637" t="str">
        <f>IF(OR($E637="",$S637=""),"",IFERROR(MAX(0,ROUND((INDEX(Config!$D$15:$D$18,MATCH($S637,Config!$B$15:$B$18,0))-$E637)*1440,0)),""))</f>
        <v/>
      </c>
      <c r="U637" s="13" t="str">
        <f>IF(OR($N637="",$T637=""),"",IFERROR(MAX(0,1-($N637+$T637+MAX(0,N($Q637)))/ROUND((INDEX(Config!$D$15:$D$18,MATCH($S637,Config!$B$15:$B$18,0))-INDEX(Config!$C$15:$C$18,MATCH($S637,Config!$B$15:$B$18,0)))*1440,0)),""))</f>
        <v/>
      </c>
      <c r="V637" s="5"/>
    </row>
    <row r="638" spans="1:22" x14ac:dyDescent="0.25">
      <c r="A638" s="11"/>
      <c r="B638" s="5"/>
      <c r="C638" s="6" t="str">
        <f>IFERROR(INDEX(Ejecutivos!$B$2:$B$100,MATCH(B638,Ejecutivos!$A$2:$A$100,0)),"")</f>
        <v/>
      </c>
      <c r="D638" s="12"/>
      <c r="E638" s="12"/>
      <c r="F638" s="12"/>
      <c r="G638" s="12"/>
      <c r="H638" s="5"/>
      <c r="I638" s="5"/>
      <c r="J638" s="5"/>
      <c r="K638" s="5"/>
      <c r="L638" s="18">
        <v>0</v>
      </c>
      <c r="M638" t="str">
        <f t="shared" si="43"/>
        <v/>
      </c>
      <c r="N638" t="str">
        <f>IF(OR($D638="",$S638=""),"",IFERROR(MAX(0,ROUND(($D638-INDEX(Config!$C$15:$C$18,MATCH($S638,Config!$B$15:$B$18,0)))*24*60,0)),""))</f>
        <v/>
      </c>
      <c r="O638" t="str">
        <f t="shared" si="44"/>
        <v/>
      </c>
      <c r="P638" t="str">
        <f t="shared" si="45"/>
        <v/>
      </c>
      <c r="Q638" t="str">
        <f>IF(OR($P638="",$S638=""),"",IFERROR($P638-INDEX(Config!$E$15:$E$18,MATCH($S638,Config!$B$15:$B$18,0)),""))</f>
        <v/>
      </c>
      <c r="R638" t="str">
        <f t="shared" si="46"/>
        <v/>
      </c>
      <c r="S638" s="6" t="str">
        <f>IF(OR($A638="",$C638=""),"",IFERROR(INDEX(Turno!$C$3:$V$32,MATCH($C638,Turno!$B$3:$B$32,0),MATCH(DAY($A638),Turno!$C$1:$V$1,0)),""))</f>
        <v/>
      </c>
      <c r="T638" t="str">
        <f>IF(OR($E638="",$S638=""),"",IFERROR(MAX(0,ROUND((INDEX(Config!$D$15:$D$18,MATCH($S638,Config!$B$15:$B$18,0))-$E638)*1440,0)),""))</f>
        <v/>
      </c>
      <c r="U638" s="13" t="str">
        <f>IF(OR($N638="",$T638=""),"",IFERROR(MAX(0,1-($N638+$T638+MAX(0,N($Q638)))/ROUND((INDEX(Config!$D$15:$D$18,MATCH($S638,Config!$B$15:$B$18,0))-INDEX(Config!$C$15:$C$18,MATCH($S638,Config!$B$15:$B$18,0)))*1440,0)),""))</f>
        <v/>
      </c>
      <c r="V638" s="5"/>
    </row>
    <row r="639" spans="1:22" x14ac:dyDescent="0.25">
      <c r="A639" s="11"/>
      <c r="B639" s="5"/>
      <c r="C639" s="6" t="str">
        <f>IFERROR(INDEX(Ejecutivos!$B$2:$B$100,MATCH(B639,Ejecutivos!$A$2:$A$100,0)),"")</f>
        <v/>
      </c>
      <c r="D639" s="12"/>
      <c r="E639" s="12"/>
      <c r="F639" s="12"/>
      <c r="G639" s="12"/>
      <c r="H639" s="5"/>
      <c r="I639" s="5"/>
      <c r="J639" s="5"/>
      <c r="K639" s="5"/>
      <c r="L639" s="18">
        <v>0</v>
      </c>
      <c r="M639" t="str">
        <f t="shared" si="43"/>
        <v/>
      </c>
      <c r="N639" t="str">
        <f>IF(OR($D639="",$S639=""),"",IFERROR(MAX(0,ROUND(($D639-INDEX(Config!$C$15:$C$18,MATCH($S639,Config!$B$15:$B$18,0)))*24*60,0)),""))</f>
        <v/>
      </c>
      <c r="O639" t="str">
        <f t="shared" si="44"/>
        <v/>
      </c>
      <c r="P639" t="str">
        <f t="shared" si="45"/>
        <v/>
      </c>
      <c r="Q639" t="str">
        <f>IF(OR($P639="",$S639=""),"",IFERROR($P639-INDEX(Config!$E$15:$E$18,MATCH($S639,Config!$B$15:$B$18,0)),""))</f>
        <v/>
      </c>
      <c r="R639" t="str">
        <f t="shared" si="46"/>
        <v/>
      </c>
      <c r="S639" s="6" t="str">
        <f>IF(OR($A639="",$C639=""),"",IFERROR(INDEX(Turno!$C$3:$V$32,MATCH($C639,Turno!$B$3:$B$32,0),MATCH(DAY($A639),Turno!$C$1:$V$1,0)),""))</f>
        <v/>
      </c>
      <c r="T639" t="str">
        <f>IF(OR($E639="",$S639=""),"",IFERROR(MAX(0,ROUND((INDEX(Config!$D$15:$D$18,MATCH($S639,Config!$B$15:$B$18,0))-$E639)*1440,0)),""))</f>
        <v/>
      </c>
      <c r="U639" s="13" t="str">
        <f>IF(OR($N639="",$T639=""),"",IFERROR(MAX(0,1-($N639+$T639+MAX(0,N($Q639)))/ROUND((INDEX(Config!$D$15:$D$18,MATCH($S639,Config!$B$15:$B$18,0))-INDEX(Config!$C$15:$C$18,MATCH($S639,Config!$B$15:$B$18,0)))*1440,0)),""))</f>
        <v/>
      </c>
      <c r="V639" s="5"/>
    </row>
    <row r="640" spans="1:22" x14ac:dyDescent="0.25">
      <c r="A640" s="11"/>
      <c r="B640" s="5"/>
      <c r="C640" s="6" t="str">
        <f>IFERROR(INDEX(Ejecutivos!$B$2:$B$100,MATCH(B640,Ejecutivos!$A$2:$A$100,0)),"")</f>
        <v/>
      </c>
      <c r="D640" s="12"/>
      <c r="E640" s="12"/>
      <c r="F640" s="12"/>
      <c r="G640" s="12"/>
      <c r="H640" s="5"/>
      <c r="I640" s="5"/>
      <c r="J640" s="5"/>
      <c r="K640" s="5"/>
      <c r="L640" s="18">
        <v>0</v>
      </c>
      <c r="M640" t="str">
        <f t="shared" si="43"/>
        <v/>
      </c>
      <c r="N640" t="str">
        <f>IF(OR($D640="",$S640=""),"",IFERROR(MAX(0,ROUND(($D640-INDEX(Config!$C$15:$C$18,MATCH($S640,Config!$B$15:$B$18,0)))*24*60,0)),""))</f>
        <v/>
      </c>
      <c r="O640" t="str">
        <f t="shared" si="44"/>
        <v/>
      </c>
      <c r="P640" t="str">
        <f t="shared" si="45"/>
        <v/>
      </c>
      <c r="Q640" t="str">
        <f>IF(OR($P640="",$S640=""),"",IFERROR($P640-INDEX(Config!$E$15:$E$18,MATCH($S640,Config!$B$15:$B$18,0)),""))</f>
        <v/>
      </c>
      <c r="R640" t="str">
        <f t="shared" si="46"/>
        <v/>
      </c>
      <c r="S640" s="6" t="str">
        <f>IF(OR($A640="",$C640=""),"",IFERROR(INDEX(Turno!$C$3:$V$32,MATCH($C640,Turno!$B$3:$B$32,0),MATCH(DAY($A640),Turno!$C$1:$V$1,0)),""))</f>
        <v/>
      </c>
      <c r="T640" t="str">
        <f>IF(OR($E640="",$S640=""),"",IFERROR(MAX(0,ROUND((INDEX(Config!$D$15:$D$18,MATCH($S640,Config!$B$15:$B$18,0))-$E640)*1440,0)),""))</f>
        <v/>
      </c>
      <c r="U640" s="13" t="str">
        <f>IF(OR($N640="",$T640=""),"",IFERROR(MAX(0,1-($N640+$T640+MAX(0,N($Q640)))/ROUND((INDEX(Config!$D$15:$D$18,MATCH($S640,Config!$B$15:$B$18,0))-INDEX(Config!$C$15:$C$18,MATCH($S640,Config!$B$15:$B$18,0)))*1440,0)),""))</f>
        <v/>
      </c>
      <c r="V640" s="5"/>
    </row>
    <row r="641" spans="1:22" x14ac:dyDescent="0.25">
      <c r="A641" s="11"/>
      <c r="B641" s="5"/>
      <c r="C641" s="6" t="str">
        <f>IFERROR(INDEX(Ejecutivos!$B$2:$B$100,MATCH(B641,Ejecutivos!$A$2:$A$100,0)),"")</f>
        <v/>
      </c>
      <c r="D641" s="12"/>
      <c r="E641" s="12"/>
      <c r="F641" s="12"/>
      <c r="G641" s="12"/>
      <c r="H641" s="5"/>
      <c r="I641" s="5"/>
      <c r="J641" s="5"/>
      <c r="K641" s="5"/>
      <c r="L641" s="18">
        <v>0</v>
      </c>
      <c r="M641" t="str">
        <f t="shared" si="43"/>
        <v/>
      </c>
      <c r="N641" t="str">
        <f>IF(OR($D641="",$S641=""),"",IFERROR(MAX(0,ROUND(($D641-INDEX(Config!$C$15:$C$18,MATCH($S641,Config!$B$15:$B$18,0)))*24*60,0)),""))</f>
        <v/>
      </c>
      <c r="O641" t="str">
        <f t="shared" si="44"/>
        <v/>
      </c>
      <c r="P641" t="str">
        <f t="shared" si="45"/>
        <v/>
      </c>
      <c r="Q641" t="str">
        <f>IF(OR($P641="",$S641=""),"",IFERROR($P641-INDEX(Config!$E$15:$E$18,MATCH($S641,Config!$B$15:$B$18,0)),""))</f>
        <v/>
      </c>
      <c r="R641" t="str">
        <f t="shared" si="46"/>
        <v/>
      </c>
      <c r="S641" s="6" t="str">
        <f>IF(OR($A641="",$C641=""),"",IFERROR(INDEX(Turno!$C$3:$V$32,MATCH($C641,Turno!$B$3:$B$32,0),MATCH(DAY($A641),Turno!$C$1:$V$1,0)),""))</f>
        <v/>
      </c>
      <c r="T641" t="str">
        <f>IF(OR($E641="",$S641=""),"",IFERROR(MAX(0,ROUND((INDEX(Config!$D$15:$D$18,MATCH($S641,Config!$B$15:$B$18,0))-$E641)*1440,0)),""))</f>
        <v/>
      </c>
      <c r="U641" s="13" t="str">
        <f>IF(OR($N641="",$T641=""),"",IFERROR(MAX(0,1-($N641+$T641+MAX(0,N($Q641)))/ROUND((INDEX(Config!$D$15:$D$18,MATCH($S641,Config!$B$15:$B$18,0))-INDEX(Config!$C$15:$C$18,MATCH($S641,Config!$B$15:$B$18,0)))*1440,0)),""))</f>
        <v/>
      </c>
      <c r="V641" s="5"/>
    </row>
    <row r="642" spans="1:22" x14ac:dyDescent="0.25">
      <c r="A642" s="11"/>
      <c r="B642" s="5"/>
      <c r="C642" s="6" t="str">
        <f>IFERROR(INDEX(Ejecutivos!$B$2:$B$100,MATCH(B642,Ejecutivos!$A$2:$A$100,0)),"")</f>
        <v/>
      </c>
      <c r="D642" s="12"/>
      <c r="E642" s="12"/>
      <c r="F642" s="12"/>
      <c r="G642" s="12"/>
      <c r="H642" s="5"/>
      <c r="I642" s="5"/>
      <c r="J642" s="5"/>
      <c r="K642" s="5"/>
      <c r="L642" s="18">
        <v>0</v>
      </c>
      <c r="M642" t="str">
        <f t="shared" si="43"/>
        <v/>
      </c>
      <c r="N642" t="str">
        <f>IF(OR($D642="",$S642=""),"",IFERROR(MAX(0,ROUND(($D642-INDEX(Config!$C$15:$C$18,MATCH($S642,Config!$B$15:$B$18,0)))*24*60,0)),""))</f>
        <v/>
      </c>
      <c r="O642" t="str">
        <f t="shared" si="44"/>
        <v/>
      </c>
      <c r="P642" t="str">
        <f t="shared" si="45"/>
        <v/>
      </c>
      <c r="Q642" t="str">
        <f>IF(OR($P642="",$S642=""),"",IFERROR($P642-INDEX(Config!$E$15:$E$18,MATCH($S642,Config!$B$15:$B$18,0)),""))</f>
        <v/>
      </c>
      <c r="R642" t="str">
        <f t="shared" si="46"/>
        <v/>
      </c>
      <c r="S642" s="6" t="str">
        <f>IF(OR($A642="",$C642=""),"",IFERROR(INDEX(Turno!$C$3:$V$32,MATCH($C642,Turno!$B$3:$B$32,0),MATCH(DAY($A642),Turno!$C$1:$V$1,0)),""))</f>
        <v/>
      </c>
      <c r="T642" t="str">
        <f>IF(OR($E642="",$S642=""),"",IFERROR(MAX(0,ROUND((INDEX(Config!$D$15:$D$18,MATCH($S642,Config!$B$15:$B$18,0))-$E642)*1440,0)),""))</f>
        <v/>
      </c>
      <c r="U642" s="13" t="str">
        <f>IF(OR($N642="",$T642=""),"",IFERROR(MAX(0,1-($N642+$T642+MAX(0,N($Q642)))/ROUND((INDEX(Config!$D$15:$D$18,MATCH($S642,Config!$B$15:$B$18,0))-INDEX(Config!$C$15:$C$18,MATCH($S642,Config!$B$15:$B$18,0)))*1440,0)),""))</f>
        <v/>
      </c>
      <c r="V642" s="5"/>
    </row>
    <row r="643" spans="1:22" x14ac:dyDescent="0.25">
      <c r="A643" s="11"/>
      <c r="B643" s="5"/>
      <c r="C643" s="6" t="str">
        <f>IFERROR(INDEX(Ejecutivos!$B$2:$B$100,MATCH(B643,Ejecutivos!$A$2:$A$100,0)),"")</f>
        <v/>
      </c>
      <c r="D643" s="12"/>
      <c r="E643" s="12"/>
      <c r="F643" s="12"/>
      <c r="G643" s="12"/>
      <c r="H643" s="5"/>
      <c r="I643" s="5"/>
      <c r="J643" s="5"/>
      <c r="K643" s="5"/>
      <c r="L643" s="18">
        <v>0</v>
      </c>
      <c r="M643" t="str">
        <f t="shared" si="43"/>
        <v/>
      </c>
      <c r="N643" t="str">
        <f>IF(OR($D643="",$S643=""),"",IFERROR(MAX(0,ROUND(($D643-INDEX(Config!$C$15:$C$18,MATCH($S643,Config!$B$15:$B$18,0)))*24*60,0)),""))</f>
        <v/>
      </c>
      <c r="O643" t="str">
        <f t="shared" si="44"/>
        <v/>
      </c>
      <c r="P643" t="str">
        <f t="shared" si="45"/>
        <v/>
      </c>
      <c r="Q643" t="str">
        <f>IF(OR($P643="",$S643=""),"",IFERROR($P643-INDEX(Config!$E$15:$E$18,MATCH($S643,Config!$B$15:$B$18,0)),""))</f>
        <v/>
      </c>
      <c r="R643" t="str">
        <f t="shared" si="46"/>
        <v/>
      </c>
      <c r="S643" s="6" t="str">
        <f>IF(OR($A643="",$C643=""),"",IFERROR(INDEX(Turno!$C$3:$V$32,MATCH($C643,Turno!$B$3:$B$32,0),MATCH(DAY($A643),Turno!$C$1:$V$1,0)),""))</f>
        <v/>
      </c>
      <c r="T643" t="str">
        <f>IF(OR($E643="",$S643=""),"",IFERROR(MAX(0,ROUND((INDEX(Config!$D$15:$D$18,MATCH($S643,Config!$B$15:$B$18,0))-$E643)*1440,0)),""))</f>
        <v/>
      </c>
      <c r="U643" s="13" t="str">
        <f>IF(OR($N643="",$T643=""),"",IFERROR(MAX(0,1-($N643+$T643+MAX(0,N($Q643)))/ROUND((INDEX(Config!$D$15:$D$18,MATCH($S643,Config!$B$15:$B$18,0))-INDEX(Config!$C$15:$C$18,MATCH($S643,Config!$B$15:$B$18,0)))*1440,0)),""))</f>
        <v/>
      </c>
      <c r="V643" s="5"/>
    </row>
    <row r="644" spans="1:22" x14ac:dyDescent="0.25">
      <c r="A644" s="11"/>
      <c r="B644" s="5"/>
      <c r="C644" s="6" t="str">
        <f>IFERROR(INDEX(Ejecutivos!$B$2:$B$100,MATCH(B644,Ejecutivos!$A$2:$A$100,0)),"")</f>
        <v/>
      </c>
      <c r="D644" s="12"/>
      <c r="E644" s="12"/>
      <c r="F644" s="12"/>
      <c r="G644" s="12"/>
      <c r="H644" s="5"/>
      <c r="I644" s="5"/>
      <c r="J644" s="5"/>
      <c r="K644" s="5"/>
      <c r="L644" s="18">
        <v>0</v>
      </c>
      <c r="M644" t="str">
        <f t="shared" si="43"/>
        <v/>
      </c>
      <c r="N644" t="str">
        <f>IF(OR($D644="",$S644=""),"",IFERROR(MAX(0,ROUND(($D644-INDEX(Config!$C$15:$C$18,MATCH($S644,Config!$B$15:$B$18,0)))*24*60,0)),""))</f>
        <v/>
      </c>
      <c r="O644" t="str">
        <f t="shared" si="44"/>
        <v/>
      </c>
      <c r="P644" t="str">
        <f t="shared" si="45"/>
        <v/>
      </c>
      <c r="Q644" t="str">
        <f>IF(OR($P644="",$S644=""),"",IFERROR($P644-INDEX(Config!$E$15:$E$18,MATCH($S644,Config!$B$15:$B$18,0)),""))</f>
        <v/>
      </c>
      <c r="R644" t="str">
        <f t="shared" si="46"/>
        <v/>
      </c>
      <c r="S644" s="6" t="str">
        <f>IF(OR($A644="",$C644=""),"",IFERROR(INDEX(Turno!$C$3:$V$32,MATCH($C644,Turno!$B$3:$B$32,0),MATCH(DAY($A644),Turno!$C$1:$V$1,0)),""))</f>
        <v/>
      </c>
      <c r="T644" t="str">
        <f>IF(OR($E644="",$S644=""),"",IFERROR(MAX(0,ROUND((INDEX(Config!$D$15:$D$18,MATCH($S644,Config!$B$15:$B$18,0))-$E644)*1440,0)),""))</f>
        <v/>
      </c>
      <c r="U644" s="13" t="str">
        <f>IF(OR($N644="",$T644=""),"",IFERROR(MAX(0,1-($N644+$T644+MAX(0,N($Q644)))/ROUND((INDEX(Config!$D$15:$D$18,MATCH($S644,Config!$B$15:$B$18,0))-INDEX(Config!$C$15:$C$18,MATCH($S644,Config!$B$15:$B$18,0)))*1440,0)),""))</f>
        <v/>
      </c>
      <c r="V644" s="5"/>
    </row>
    <row r="645" spans="1:22" x14ac:dyDescent="0.25">
      <c r="A645" s="11"/>
      <c r="B645" s="5"/>
      <c r="C645" s="6" t="str">
        <f>IFERROR(INDEX(Ejecutivos!$B$2:$B$100,MATCH(B645,Ejecutivos!$A$2:$A$100,0)),"")</f>
        <v/>
      </c>
      <c r="D645" s="12"/>
      <c r="E645" s="12"/>
      <c r="F645" s="12"/>
      <c r="G645" s="12"/>
      <c r="H645" s="5"/>
      <c r="I645" s="5"/>
      <c r="J645" s="5"/>
      <c r="K645" s="5"/>
      <c r="L645" s="18">
        <v>0</v>
      </c>
      <c r="M645" t="str">
        <f t="shared" si="43"/>
        <v/>
      </c>
      <c r="N645" t="str">
        <f>IF(OR($D645="",$S645=""),"",IFERROR(MAX(0,ROUND(($D645-INDEX(Config!$C$15:$C$18,MATCH($S645,Config!$B$15:$B$18,0)))*24*60,0)),""))</f>
        <v/>
      </c>
      <c r="O645" t="str">
        <f t="shared" si="44"/>
        <v/>
      </c>
      <c r="P645" t="str">
        <f t="shared" si="45"/>
        <v/>
      </c>
      <c r="Q645" t="str">
        <f>IF(OR($P645="",$S645=""),"",IFERROR($P645-INDEX(Config!$E$15:$E$18,MATCH($S645,Config!$B$15:$B$18,0)),""))</f>
        <v/>
      </c>
      <c r="R645" t="str">
        <f t="shared" si="46"/>
        <v/>
      </c>
      <c r="S645" s="6" t="str">
        <f>IF(OR($A645="",$C645=""),"",IFERROR(INDEX(Turno!$C$3:$V$32,MATCH($C645,Turno!$B$3:$B$32,0),MATCH(DAY($A645),Turno!$C$1:$V$1,0)),""))</f>
        <v/>
      </c>
      <c r="T645" t="str">
        <f>IF(OR($E645="",$S645=""),"",IFERROR(MAX(0,ROUND((INDEX(Config!$D$15:$D$18,MATCH($S645,Config!$B$15:$B$18,0))-$E645)*1440,0)),""))</f>
        <v/>
      </c>
      <c r="U645" s="13" t="str">
        <f>IF(OR($N645="",$T645=""),"",IFERROR(MAX(0,1-($N645+$T645+MAX(0,N($Q645)))/ROUND((INDEX(Config!$D$15:$D$18,MATCH($S645,Config!$B$15:$B$18,0))-INDEX(Config!$C$15:$C$18,MATCH($S645,Config!$B$15:$B$18,0)))*1440,0)),""))</f>
        <v/>
      </c>
      <c r="V645" s="5"/>
    </row>
    <row r="646" spans="1:22" x14ac:dyDescent="0.25">
      <c r="A646" s="11"/>
      <c r="B646" s="5"/>
      <c r="C646" s="6" t="str">
        <f>IFERROR(INDEX(Ejecutivos!$B$2:$B$100,MATCH(B646,Ejecutivos!$A$2:$A$100,0)),"")</f>
        <v/>
      </c>
      <c r="D646" s="12"/>
      <c r="E646" s="12"/>
      <c r="F646" s="12"/>
      <c r="G646" s="12"/>
      <c r="H646" s="5"/>
      <c r="I646" s="5"/>
      <c r="J646" s="5"/>
      <c r="K646" s="5"/>
      <c r="L646" s="18">
        <v>0</v>
      </c>
      <c r="M646" t="str">
        <f t="shared" si="43"/>
        <v/>
      </c>
      <c r="N646" t="str">
        <f>IF(OR($D646="",$S646=""),"",IFERROR(MAX(0,ROUND(($D646-INDEX(Config!$C$15:$C$18,MATCH($S646,Config!$B$15:$B$18,0)))*24*60,0)),""))</f>
        <v/>
      </c>
      <c r="O646" t="str">
        <f t="shared" si="44"/>
        <v/>
      </c>
      <c r="P646" t="str">
        <f t="shared" si="45"/>
        <v/>
      </c>
      <c r="Q646" t="str">
        <f>IF(OR($P646="",$S646=""),"",IFERROR($P646-INDEX(Config!$E$15:$E$18,MATCH($S646,Config!$B$15:$B$18,0)),""))</f>
        <v/>
      </c>
      <c r="R646" t="str">
        <f t="shared" si="46"/>
        <v/>
      </c>
      <c r="S646" s="6" t="str">
        <f>IF(OR($A646="",$C646=""),"",IFERROR(INDEX(Turno!$C$3:$V$32,MATCH($C646,Turno!$B$3:$B$32,0),MATCH(DAY($A646),Turno!$C$1:$V$1,0)),""))</f>
        <v/>
      </c>
      <c r="T646" t="str">
        <f>IF(OR($E646="",$S646=""),"",IFERROR(MAX(0,ROUND((INDEX(Config!$D$15:$D$18,MATCH($S646,Config!$B$15:$B$18,0))-$E646)*1440,0)),""))</f>
        <v/>
      </c>
      <c r="U646" s="13" t="str">
        <f>IF(OR($N646="",$T646=""),"",IFERROR(MAX(0,1-($N646+$T646+MAX(0,N($Q646)))/ROUND((INDEX(Config!$D$15:$D$18,MATCH($S646,Config!$B$15:$B$18,0))-INDEX(Config!$C$15:$C$18,MATCH($S646,Config!$B$15:$B$18,0)))*1440,0)),""))</f>
        <v/>
      </c>
      <c r="V646" s="5"/>
    </row>
    <row r="647" spans="1:22" x14ac:dyDescent="0.25">
      <c r="A647" s="11"/>
      <c r="B647" s="5"/>
      <c r="C647" s="6" t="str">
        <f>IFERROR(INDEX(Ejecutivos!$B$2:$B$100,MATCH(B647,Ejecutivos!$A$2:$A$100,0)),"")</f>
        <v/>
      </c>
      <c r="D647" s="12"/>
      <c r="E647" s="12"/>
      <c r="F647" s="12"/>
      <c r="G647" s="12"/>
      <c r="H647" s="5"/>
      <c r="I647" s="5"/>
      <c r="J647" s="5"/>
      <c r="K647" s="5"/>
      <c r="L647" s="18">
        <v>0</v>
      </c>
      <c r="M647" t="str">
        <f t="shared" si="43"/>
        <v/>
      </c>
      <c r="N647" t="str">
        <f>IF(OR($D647="",$S647=""),"",IFERROR(MAX(0,ROUND(($D647-INDEX(Config!$C$15:$C$18,MATCH($S647,Config!$B$15:$B$18,0)))*24*60,0)),""))</f>
        <v/>
      </c>
      <c r="O647" t="str">
        <f t="shared" si="44"/>
        <v/>
      </c>
      <c r="P647" t="str">
        <f t="shared" si="45"/>
        <v/>
      </c>
      <c r="Q647" t="str">
        <f>IF(OR($P647="",$S647=""),"",IFERROR($P647-INDEX(Config!$E$15:$E$18,MATCH($S647,Config!$B$15:$B$18,0)),""))</f>
        <v/>
      </c>
      <c r="R647" t="str">
        <f t="shared" si="46"/>
        <v/>
      </c>
      <c r="S647" s="6" t="str">
        <f>IF(OR($A647="",$C647=""),"",IFERROR(INDEX(Turno!$C$3:$V$32,MATCH($C647,Turno!$B$3:$B$32,0),MATCH(DAY($A647),Turno!$C$1:$V$1,0)),""))</f>
        <v/>
      </c>
      <c r="T647" t="str">
        <f>IF(OR($E647="",$S647=""),"",IFERROR(MAX(0,ROUND((INDEX(Config!$D$15:$D$18,MATCH($S647,Config!$B$15:$B$18,0))-$E647)*1440,0)),""))</f>
        <v/>
      </c>
      <c r="U647" s="13" t="str">
        <f>IF(OR($N647="",$T647=""),"",IFERROR(MAX(0,1-($N647+$T647+MAX(0,N($Q647)))/ROUND((INDEX(Config!$D$15:$D$18,MATCH($S647,Config!$B$15:$B$18,0))-INDEX(Config!$C$15:$C$18,MATCH($S647,Config!$B$15:$B$18,0)))*1440,0)),""))</f>
        <v/>
      </c>
      <c r="V647" s="5"/>
    </row>
    <row r="648" spans="1:22" x14ac:dyDescent="0.25">
      <c r="A648" s="11"/>
      <c r="B648" s="5"/>
      <c r="C648" s="6" t="str">
        <f>IFERROR(INDEX(Ejecutivos!$B$2:$B$100,MATCH(B648,Ejecutivos!$A$2:$A$100,0)),"")</f>
        <v/>
      </c>
      <c r="D648" s="12"/>
      <c r="E648" s="12"/>
      <c r="F648" s="12"/>
      <c r="G648" s="12"/>
      <c r="H648" s="5"/>
      <c r="I648" s="5"/>
      <c r="J648" s="5"/>
      <c r="K648" s="5"/>
      <c r="L648" s="18">
        <v>0</v>
      </c>
      <c r="M648" t="str">
        <f t="shared" si="43"/>
        <v/>
      </c>
      <c r="N648" t="str">
        <f>IF(OR($D648="",$S648=""),"",IFERROR(MAX(0,ROUND(($D648-INDEX(Config!$C$15:$C$18,MATCH($S648,Config!$B$15:$B$18,0)))*24*60,0)),""))</f>
        <v/>
      </c>
      <c r="O648" t="str">
        <f t="shared" si="44"/>
        <v/>
      </c>
      <c r="P648" t="str">
        <f t="shared" si="45"/>
        <v/>
      </c>
      <c r="Q648" t="str">
        <f>IF(OR($P648="",$S648=""),"",IFERROR($P648-INDEX(Config!$E$15:$E$18,MATCH($S648,Config!$B$15:$B$18,0)),""))</f>
        <v/>
      </c>
      <c r="R648" t="str">
        <f t="shared" si="46"/>
        <v/>
      </c>
      <c r="S648" s="6" t="str">
        <f>IF(OR($A648="",$C648=""),"",IFERROR(INDEX(Turno!$C$3:$V$32,MATCH($C648,Turno!$B$3:$B$32,0),MATCH(DAY($A648),Turno!$C$1:$V$1,0)),""))</f>
        <v/>
      </c>
      <c r="T648" t="str">
        <f>IF(OR($E648="",$S648=""),"",IFERROR(MAX(0,ROUND((INDEX(Config!$D$15:$D$18,MATCH($S648,Config!$B$15:$B$18,0))-$E648)*1440,0)),""))</f>
        <v/>
      </c>
      <c r="U648" s="13" t="str">
        <f>IF(OR($N648="",$T648=""),"",IFERROR(MAX(0,1-($N648+$T648+MAX(0,N($Q648)))/ROUND((INDEX(Config!$D$15:$D$18,MATCH($S648,Config!$B$15:$B$18,0))-INDEX(Config!$C$15:$C$18,MATCH($S648,Config!$B$15:$B$18,0)))*1440,0)),""))</f>
        <v/>
      </c>
      <c r="V648" s="5"/>
    </row>
    <row r="649" spans="1:22" x14ac:dyDescent="0.25">
      <c r="A649" s="11"/>
      <c r="B649" s="5"/>
      <c r="C649" s="6" t="str">
        <f>IFERROR(INDEX(Ejecutivos!$B$2:$B$100,MATCH(B649,Ejecutivos!$A$2:$A$100,0)),"")</f>
        <v/>
      </c>
      <c r="D649" s="12"/>
      <c r="E649" s="12"/>
      <c r="F649" s="12"/>
      <c r="G649" s="12"/>
      <c r="H649" s="5"/>
      <c r="I649" s="5"/>
      <c r="J649" s="5"/>
      <c r="K649" s="5"/>
      <c r="L649" s="18">
        <v>0</v>
      </c>
      <c r="M649" t="str">
        <f t="shared" si="43"/>
        <v/>
      </c>
      <c r="N649" t="str">
        <f>IF(OR($D649="",$S649=""),"",IFERROR(MAX(0,ROUND(($D649-INDEX(Config!$C$15:$C$18,MATCH($S649,Config!$B$15:$B$18,0)))*24*60,0)),""))</f>
        <v/>
      </c>
      <c r="O649" t="str">
        <f t="shared" si="44"/>
        <v/>
      </c>
      <c r="P649" t="str">
        <f t="shared" si="45"/>
        <v/>
      </c>
      <c r="Q649" t="str">
        <f>IF(OR($P649="",$S649=""),"",IFERROR($P649-INDEX(Config!$E$15:$E$18,MATCH($S649,Config!$B$15:$B$18,0)),""))</f>
        <v/>
      </c>
      <c r="R649" t="str">
        <f t="shared" si="46"/>
        <v/>
      </c>
      <c r="S649" s="6" t="str">
        <f>IF(OR($A649="",$C649=""),"",IFERROR(INDEX(Turno!$C$3:$V$32,MATCH($C649,Turno!$B$3:$B$32,0),MATCH(DAY($A649),Turno!$C$1:$V$1,0)),""))</f>
        <v/>
      </c>
      <c r="T649" t="str">
        <f>IF(OR($E649="",$S649=""),"",IFERROR(MAX(0,ROUND((INDEX(Config!$D$15:$D$18,MATCH($S649,Config!$B$15:$B$18,0))-$E649)*1440,0)),""))</f>
        <v/>
      </c>
      <c r="U649" s="13" t="str">
        <f>IF(OR($N649="",$T649=""),"",IFERROR(MAX(0,1-($N649+$T649+MAX(0,N($Q649)))/ROUND((INDEX(Config!$D$15:$D$18,MATCH($S649,Config!$B$15:$B$18,0))-INDEX(Config!$C$15:$C$18,MATCH($S649,Config!$B$15:$B$18,0)))*1440,0)),""))</f>
        <v/>
      </c>
      <c r="V649" s="5"/>
    </row>
    <row r="650" spans="1:22" x14ac:dyDescent="0.25">
      <c r="A650" s="11"/>
      <c r="B650" s="5"/>
      <c r="C650" s="6" t="str">
        <f>IFERROR(INDEX(Ejecutivos!$B$2:$B$100,MATCH(B650,Ejecutivos!$A$2:$A$100,0)),"")</f>
        <v/>
      </c>
      <c r="D650" s="12"/>
      <c r="E650" s="12"/>
      <c r="F650" s="12"/>
      <c r="G650" s="12"/>
      <c r="H650" s="5"/>
      <c r="I650" s="5"/>
      <c r="J650" s="5"/>
      <c r="K650" s="5"/>
      <c r="L650" s="18">
        <v>0</v>
      </c>
      <c r="M650" t="str">
        <f t="shared" si="43"/>
        <v/>
      </c>
      <c r="N650" t="str">
        <f>IF(OR($D650="",$S650=""),"",IFERROR(MAX(0,ROUND(($D650-INDEX(Config!$C$15:$C$18,MATCH($S650,Config!$B$15:$B$18,0)))*24*60,0)),""))</f>
        <v/>
      </c>
      <c r="O650" t="str">
        <f t="shared" si="44"/>
        <v/>
      </c>
      <c r="P650" t="str">
        <f t="shared" si="45"/>
        <v/>
      </c>
      <c r="Q650" t="str">
        <f>IF(OR($P650="",$S650=""),"",IFERROR($P650-INDEX(Config!$E$15:$E$18,MATCH($S650,Config!$B$15:$B$18,0)),""))</f>
        <v/>
      </c>
      <c r="R650" t="str">
        <f t="shared" si="46"/>
        <v/>
      </c>
      <c r="S650" s="6" t="str">
        <f>IF(OR($A650="",$C650=""),"",IFERROR(INDEX(Turno!$C$3:$V$32,MATCH($C650,Turno!$B$3:$B$32,0),MATCH(DAY($A650),Turno!$C$1:$V$1,0)),""))</f>
        <v/>
      </c>
      <c r="T650" t="str">
        <f>IF(OR($E650="",$S650=""),"",IFERROR(MAX(0,ROUND((INDEX(Config!$D$15:$D$18,MATCH($S650,Config!$B$15:$B$18,0))-$E650)*1440,0)),""))</f>
        <v/>
      </c>
      <c r="U650" s="13" t="str">
        <f>IF(OR($N650="",$T650=""),"",IFERROR(MAX(0,1-($N650+$T650+MAX(0,N($Q650)))/ROUND((INDEX(Config!$D$15:$D$18,MATCH($S650,Config!$B$15:$B$18,0))-INDEX(Config!$C$15:$C$18,MATCH($S650,Config!$B$15:$B$18,0)))*1440,0)),""))</f>
        <v/>
      </c>
      <c r="V650" s="5"/>
    </row>
    <row r="651" spans="1:22" x14ac:dyDescent="0.25">
      <c r="A651" s="11"/>
      <c r="B651" s="5"/>
      <c r="C651" s="6" t="str">
        <f>IFERROR(INDEX(Ejecutivos!$B$2:$B$100,MATCH(B651,Ejecutivos!$A$2:$A$100,0)),"")</f>
        <v/>
      </c>
      <c r="D651" s="12"/>
      <c r="E651" s="12"/>
      <c r="F651" s="12"/>
      <c r="G651" s="12"/>
      <c r="H651" s="5"/>
      <c r="I651" s="5"/>
      <c r="J651" s="5"/>
      <c r="K651" s="5"/>
      <c r="L651" s="18">
        <v>0</v>
      </c>
      <c r="M651" t="str">
        <f t="shared" si="43"/>
        <v/>
      </c>
      <c r="N651" t="str">
        <f>IF(OR($D651="",$S651=""),"",IFERROR(MAX(0,ROUND(($D651-INDEX(Config!$C$15:$C$18,MATCH($S651,Config!$B$15:$B$18,0)))*24*60,0)),""))</f>
        <v/>
      </c>
      <c r="O651" t="str">
        <f t="shared" si="44"/>
        <v/>
      </c>
      <c r="P651" t="str">
        <f t="shared" si="45"/>
        <v/>
      </c>
      <c r="Q651" t="str">
        <f>IF(OR($P651="",$S651=""),"",IFERROR($P651-INDEX(Config!$E$15:$E$18,MATCH($S651,Config!$B$15:$B$18,0)),""))</f>
        <v/>
      </c>
      <c r="R651" t="str">
        <f t="shared" si="46"/>
        <v/>
      </c>
      <c r="S651" s="6" t="str">
        <f>IF(OR($A651="",$C651=""),"",IFERROR(INDEX(Turno!$C$3:$V$32,MATCH($C651,Turno!$B$3:$B$32,0),MATCH(DAY($A651),Turno!$C$1:$V$1,0)),""))</f>
        <v/>
      </c>
      <c r="T651" t="str">
        <f>IF(OR($E651="",$S651=""),"",IFERROR(MAX(0,ROUND((INDEX(Config!$D$15:$D$18,MATCH($S651,Config!$B$15:$B$18,0))-$E651)*1440,0)),""))</f>
        <v/>
      </c>
      <c r="U651" s="13" t="str">
        <f>IF(OR($N651="",$T651=""),"",IFERROR(MAX(0,1-($N651+$T651+MAX(0,N($Q651)))/ROUND((INDEX(Config!$D$15:$D$18,MATCH($S651,Config!$B$15:$B$18,0))-INDEX(Config!$C$15:$C$18,MATCH($S651,Config!$B$15:$B$18,0)))*1440,0)),""))</f>
        <v/>
      </c>
      <c r="V651" s="5"/>
    </row>
    <row r="652" spans="1:22" x14ac:dyDescent="0.25">
      <c r="A652" s="11"/>
      <c r="B652" s="5"/>
      <c r="C652" s="6" t="str">
        <f>IFERROR(INDEX(Ejecutivos!$B$2:$B$100,MATCH(B652,Ejecutivos!$A$2:$A$100,0)),"")</f>
        <v/>
      </c>
      <c r="D652" s="12"/>
      <c r="E652" s="12"/>
      <c r="F652" s="12"/>
      <c r="G652" s="12"/>
      <c r="H652" s="5"/>
      <c r="I652" s="5"/>
      <c r="J652" s="5"/>
      <c r="K652" s="5"/>
      <c r="L652" s="18">
        <v>0</v>
      </c>
      <c r="M652" t="str">
        <f t="shared" si="43"/>
        <v/>
      </c>
      <c r="N652" t="str">
        <f>IF(OR($D652="",$S652=""),"",IFERROR(MAX(0,ROUND(($D652-INDEX(Config!$C$15:$C$18,MATCH($S652,Config!$B$15:$B$18,0)))*24*60,0)),""))</f>
        <v/>
      </c>
      <c r="O652" t="str">
        <f t="shared" si="44"/>
        <v/>
      </c>
      <c r="P652" t="str">
        <f t="shared" si="45"/>
        <v/>
      </c>
      <c r="Q652" t="str">
        <f>IF(OR($P652="",$S652=""),"",IFERROR($P652-INDEX(Config!$E$15:$E$18,MATCH($S652,Config!$B$15:$B$18,0)),""))</f>
        <v/>
      </c>
      <c r="R652" t="str">
        <f t="shared" si="46"/>
        <v/>
      </c>
      <c r="S652" s="6" t="str">
        <f>IF(OR($A652="",$C652=""),"",IFERROR(INDEX(Turno!$C$3:$V$32,MATCH($C652,Turno!$B$3:$B$32,0),MATCH(DAY($A652),Turno!$C$1:$V$1,0)),""))</f>
        <v/>
      </c>
      <c r="T652" t="str">
        <f>IF(OR($E652="",$S652=""),"",IFERROR(MAX(0,ROUND((INDEX(Config!$D$15:$D$18,MATCH($S652,Config!$B$15:$B$18,0))-$E652)*1440,0)),""))</f>
        <v/>
      </c>
      <c r="U652" s="13" t="str">
        <f>IF(OR($N652="",$T652=""),"",IFERROR(MAX(0,1-($N652+$T652+MAX(0,N($Q652)))/ROUND((INDEX(Config!$D$15:$D$18,MATCH($S652,Config!$B$15:$B$18,0))-INDEX(Config!$C$15:$C$18,MATCH($S652,Config!$B$15:$B$18,0)))*1440,0)),""))</f>
        <v/>
      </c>
      <c r="V652" s="5"/>
    </row>
    <row r="653" spans="1:22" x14ac:dyDescent="0.25">
      <c r="A653" s="11"/>
      <c r="B653" s="5"/>
      <c r="C653" s="6" t="str">
        <f>IFERROR(INDEX(Ejecutivos!$B$2:$B$100,MATCH(B653,Ejecutivos!$A$2:$A$100,0)),"")</f>
        <v/>
      </c>
      <c r="D653" s="12"/>
      <c r="E653" s="12"/>
      <c r="F653" s="12"/>
      <c r="G653" s="12"/>
      <c r="H653" s="5"/>
      <c r="I653" s="5"/>
      <c r="J653" s="5"/>
      <c r="K653" s="5"/>
      <c r="L653" s="18">
        <v>0</v>
      </c>
      <c r="M653" t="str">
        <f t="shared" si="43"/>
        <v/>
      </c>
      <c r="N653" t="str">
        <f>IF(OR($D653="",$S653=""),"",IFERROR(MAX(0,ROUND(($D653-INDEX(Config!$C$15:$C$18,MATCH($S653,Config!$B$15:$B$18,0)))*24*60,0)),""))</f>
        <v/>
      </c>
      <c r="O653" t="str">
        <f t="shared" si="44"/>
        <v/>
      </c>
      <c r="P653" t="str">
        <f t="shared" si="45"/>
        <v/>
      </c>
      <c r="Q653" t="str">
        <f>IF(OR($P653="",$S653=""),"",IFERROR($P653-INDEX(Config!$E$15:$E$18,MATCH($S653,Config!$B$15:$B$18,0)),""))</f>
        <v/>
      </c>
      <c r="R653" t="str">
        <f t="shared" si="46"/>
        <v/>
      </c>
      <c r="S653" s="6" t="str">
        <f>IF(OR($A653="",$C653=""),"",IFERROR(INDEX(Turno!$C$3:$V$32,MATCH($C653,Turno!$B$3:$B$32,0),MATCH(DAY($A653),Turno!$C$1:$V$1,0)),""))</f>
        <v/>
      </c>
      <c r="T653" t="str">
        <f>IF(OR($E653="",$S653=""),"",IFERROR(MAX(0,ROUND((INDEX(Config!$D$15:$D$18,MATCH($S653,Config!$B$15:$B$18,0))-$E653)*1440,0)),""))</f>
        <v/>
      </c>
      <c r="U653" s="13" t="str">
        <f>IF(OR($N653="",$T653=""),"",IFERROR(MAX(0,1-($N653+$T653+MAX(0,N($Q653)))/ROUND((INDEX(Config!$D$15:$D$18,MATCH($S653,Config!$B$15:$B$18,0))-INDEX(Config!$C$15:$C$18,MATCH($S653,Config!$B$15:$B$18,0)))*1440,0)),""))</f>
        <v/>
      </c>
      <c r="V653" s="5"/>
    </row>
    <row r="654" spans="1:22" x14ac:dyDescent="0.25">
      <c r="A654" s="11"/>
      <c r="B654" s="5"/>
      <c r="C654" s="6" t="str">
        <f>IFERROR(INDEX(Ejecutivos!$B$2:$B$100,MATCH(B654,Ejecutivos!$A$2:$A$100,0)),"")</f>
        <v/>
      </c>
      <c r="D654" s="12"/>
      <c r="E654" s="12"/>
      <c r="F654" s="12"/>
      <c r="G654" s="12"/>
      <c r="H654" s="5"/>
      <c r="I654" s="5"/>
      <c r="J654" s="5"/>
      <c r="K654" s="5"/>
      <c r="L654" s="18">
        <v>0</v>
      </c>
      <c r="M654" t="str">
        <f t="shared" si="43"/>
        <v/>
      </c>
      <c r="N654" t="str">
        <f>IF(OR($D654="",$S654=""),"",IFERROR(MAX(0,ROUND(($D654-INDEX(Config!$C$15:$C$18,MATCH($S654,Config!$B$15:$B$18,0)))*24*60,0)),""))</f>
        <v/>
      </c>
      <c r="O654" t="str">
        <f t="shared" si="44"/>
        <v/>
      </c>
      <c r="P654" t="str">
        <f t="shared" si="45"/>
        <v/>
      </c>
      <c r="Q654" t="str">
        <f>IF(OR($P654="",$S654=""),"",IFERROR($P654-INDEX(Config!$E$15:$E$18,MATCH($S654,Config!$B$15:$B$18,0)),""))</f>
        <v/>
      </c>
      <c r="R654" t="str">
        <f t="shared" si="46"/>
        <v/>
      </c>
      <c r="S654" s="6" t="str">
        <f>IF(OR($A654="",$C654=""),"",IFERROR(INDEX(Turno!$C$3:$V$32,MATCH($C654,Turno!$B$3:$B$32,0),MATCH(DAY($A654),Turno!$C$1:$V$1,0)),""))</f>
        <v/>
      </c>
      <c r="T654" t="str">
        <f>IF(OR($E654="",$S654=""),"",IFERROR(MAX(0,ROUND((INDEX(Config!$D$15:$D$18,MATCH($S654,Config!$B$15:$B$18,0))-$E654)*1440,0)),""))</f>
        <v/>
      </c>
      <c r="U654" s="13" t="str">
        <f>IF(OR($N654="",$T654=""),"",IFERROR(MAX(0,1-($N654+$T654+MAX(0,N($Q654)))/ROUND((INDEX(Config!$D$15:$D$18,MATCH($S654,Config!$B$15:$B$18,0))-INDEX(Config!$C$15:$C$18,MATCH($S654,Config!$B$15:$B$18,0)))*1440,0)),""))</f>
        <v/>
      </c>
      <c r="V654" s="5"/>
    </row>
    <row r="655" spans="1:22" x14ac:dyDescent="0.25">
      <c r="A655" s="11"/>
      <c r="B655" s="5"/>
      <c r="C655" s="6" t="str">
        <f>IFERROR(INDEX(Ejecutivos!$B$2:$B$100,MATCH(B655,Ejecutivos!$A$2:$A$100,0)),"")</f>
        <v/>
      </c>
      <c r="D655" s="12"/>
      <c r="E655" s="12"/>
      <c r="F655" s="12"/>
      <c r="G655" s="12"/>
      <c r="H655" s="5"/>
      <c r="I655" s="5"/>
      <c r="J655" s="5"/>
      <c r="K655" s="5"/>
      <c r="L655" s="18">
        <v>0</v>
      </c>
      <c r="M655" t="str">
        <f t="shared" si="43"/>
        <v/>
      </c>
      <c r="N655" t="str">
        <f>IF(OR($D655="",$S655=""),"",IFERROR(MAX(0,ROUND(($D655-INDEX(Config!$C$15:$C$18,MATCH($S655,Config!$B$15:$B$18,0)))*24*60,0)),""))</f>
        <v/>
      </c>
      <c r="O655" t="str">
        <f t="shared" si="44"/>
        <v/>
      </c>
      <c r="P655" t="str">
        <f t="shared" si="45"/>
        <v/>
      </c>
      <c r="Q655" t="str">
        <f>IF(OR($P655="",$S655=""),"",IFERROR($P655-INDEX(Config!$E$15:$E$18,MATCH($S655,Config!$B$15:$B$18,0)),""))</f>
        <v/>
      </c>
      <c r="R655" t="str">
        <f t="shared" si="46"/>
        <v/>
      </c>
      <c r="S655" s="6" t="str">
        <f>IF(OR($A655="",$C655=""),"",IFERROR(INDEX(Turno!$C$3:$V$32,MATCH($C655,Turno!$B$3:$B$32,0),MATCH(DAY($A655),Turno!$C$1:$V$1,0)),""))</f>
        <v/>
      </c>
      <c r="T655" t="str">
        <f>IF(OR($E655="",$S655=""),"",IFERROR(MAX(0,ROUND((INDEX(Config!$D$15:$D$18,MATCH($S655,Config!$B$15:$B$18,0))-$E655)*1440,0)),""))</f>
        <v/>
      </c>
      <c r="U655" s="13" t="str">
        <f>IF(OR($N655="",$T655=""),"",IFERROR(MAX(0,1-($N655+$T655+MAX(0,N($Q655)))/ROUND((INDEX(Config!$D$15:$D$18,MATCH($S655,Config!$B$15:$B$18,0))-INDEX(Config!$C$15:$C$18,MATCH($S655,Config!$B$15:$B$18,0)))*1440,0)),""))</f>
        <v/>
      </c>
      <c r="V655" s="5"/>
    </row>
    <row r="656" spans="1:22" x14ac:dyDescent="0.25">
      <c r="A656" s="11"/>
      <c r="B656" s="5"/>
      <c r="C656" s="6" t="str">
        <f>IFERROR(INDEX(Ejecutivos!$B$2:$B$100,MATCH(B656,Ejecutivos!$A$2:$A$100,0)),"")</f>
        <v/>
      </c>
      <c r="D656" s="12"/>
      <c r="E656" s="12"/>
      <c r="F656" s="12"/>
      <c r="G656" s="12"/>
      <c r="H656" s="5"/>
      <c r="I656" s="5"/>
      <c r="J656" s="5"/>
      <c r="K656" s="5"/>
      <c r="L656" s="18">
        <v>0</v>
      </c>
      <c r="M656" t="str">
        <f t="shared" si="43"/>
        <v/>
      </c>
      <c r="N656" t="str">
        <f>IF(OR($D656="",$S656=""),"",IFERROR(MAX(0,ROUND(($D656-INDEX(Config!$C$15:$C$18,MATCH($S656,Config!$B$15:$B$18,0)))*24*60,0)),""))</f>
        <v/>
      </c>
      <c r="O656" t="str">
        <f t="shared" si="44"/>
        <v/>
      </c>
      <c r="P656" t="str">
        <f t="shared" si="45"/>
        <v/>
      </c>
      <c r="Q656" t="str">
        <f>IF(OR($P656="",$S656=""),"",IFERROR($P656-INDEX(Config!$E$15:$E$18,MATCH($S656,Config!$B$15:$B$18,0)),""))</f>
        <v/>
      </c>
      <c r="R656" t="str">
        <f t="shared" si="46"/>
        <v/>
      </c>
      <c r="S656" s="6" t="str">
        <f>IF(OR($A656="",$C656=""),"",IFERROR(INDEX(Turno!$C$3:$V$32,MATCH($C656,Turno!$B$3:$B$32,0),MATCH(DAY($A656),Turno!$C$1:$V$1,0)),""))</f>
        <v/>
      </c>
      <c r="T656" t="str">
        <f>IF(OR($E656="",$S656=""),"",IFERROR(MAX(0,ROUND((INDEX(Config!$D$15:$D$18,MATCH($S656,Config!$B$15:$B$18,0))-$E656)*1440,0)),""))</f>
        <v/>
      </c>
      <c r="U656" s="13" t="str">
        <f>IF(OR($N656="",$T656=""),"",IFERROR(MAX(0,1-($N656+$T656+MAX(0,N($Q656)))/ROUND((INDEX(Config!$D$15:$D$18,MATCH($S656,Config!$B$15:$B$18,0))-INDEX(Config!$C$15:$C$18,MATCH($S656,Config!$B$15:$B$18,0)))*1440,0)),""))</f>
        <v/>
      </c>
      <c r="V656" s="5"/>
    </row>
    <row r="657" spans="1:22" x14ac:dyDescent="0.25">
      <c r="A657" s="11"/>
      <c r="B657" s="5"/>
      <c r="C657" s="6" t="str">
        <f>IFERROR(INDEX(Ejecutivos!$B$2:$B$100,MATCH(B657,Ejecutivos!$A$2:$A$100,0)),"")</f>
        <v/>
      </c>
      <c r="D657" s="12"/>
      <c r="E657" s="12"/>
      <c r="F657" s="12"/>
      <c r="G657" s="12"/>
      <c r="H657" s="5"/>
      <c r="I657" s="5"/>
      <c r="J657" s="5"/>
      <c r="K657" s="5"/>
      <c r="L657" s="18">
        <v>0</v>
      </c>
      <c r="M657" t="str">
        <f t="shared" si="43"/>
        <v/>
      </c>
      <c r="N657" t="str">
        <f>IF(OR($D657="",$S657=""),"",IFERROR(MAX(0,ROUND(($D657-INDEX(Config!$C$15:$C$18,MATCH($S657,Config!$B$15:$B$18,0)))*24*60,0)),""))</f>
        <v/>
      </c>
      <c r="O657" t="str">
        <f t="shared" si="44"/>
        <v/>
      </c>
      <c r="P657" t="str">
        <f t="shared" si="45"/>
        <v/>
      </c>
      <c r="Q657" t="str">
        <f>IF(OR($P657="",$S657=""),"",IFERROR($P657-INDEX(Config!$E$15:$E$18,MATCH($S657,Config!$B$15:$B$18,0)),""))</f>
        <v/>
      </c>
      <c r="R657" t="str">
        <f t="shared" si="46"/>
        <v/>
      </c>
      <c r="S657" s="6" t="str">
        <f>IF(OR($A657="",$C657=""),"",IFERROR(INDEX(Turno!$C$3:$V$32,MATCH($C657,Turno!$B$3:$B$32,0),MATCH(DAY($A657),Turno!$C$1:$V$1,0)),""))</f>
        <v/>
      </c>
      <c r="T657" t="str">
        <f>IF(OR($E657="",$S657=""),"",IFERROR(MAX(0,ROUND((INDEX(Config!$D$15:$D$18,MATCH($S657,Config!$B$15:$B$18,0))-$E657)*1440,0)),""))</f>
        <v/>
      </c>
      <c r="U657" s="13" t="str">
        <f>IF(OR($N657="",$T657=""),"",IFERROR(MAX(0,1-($N657+$T657+MAX(0,N($Q657)))/ROUND((INDEX(Config!$D$15:$D$18,MATCH($S657,Config!$B$15:$B$18,0))-INDEX(Config!$C$15:$C$18,MATCH($S657,Config!$B$15:$B$18,0)))*1440,0)),""))</f>
        <v/>
      </c>
      <c r="V657" s="5"/>
    </row>
    <row r="658" spans="1:22" x14ac:dyDescent="0.25">
      <c r="A658" s="11"/>
      <c r="B658" s="5"/>
      <c r="C658" s="6" t="str">
        <f>IFERROR(INDEX(Ejecutivos!$B$2:$B$100,MATCH(B658,Ejecutivos!$A$2:$A$100,0)),"")</f>
        <v/>
      </c>
      <c r="D658" s="12"/>
      <c r="E658" s="12"/>
      <c r="F658" s="12"/>
      <c r="G658" s="12"/>
      <c r="H658" s="5"/>
      <c r="I658" s="5"/>
      <c r="J658" s="5"/>
      <c r="K658" s="5"/>
      <c r="L658" s="18">
        <v>0</v>
      </c>
      <c r="M658" t="str">
        <f t="shared" si="43"/>
        <v/>
      </c>
      <c r="N658" t="str">
        <f>IF(OR($D658="",$S658=""),"",IFERROR(MAX(0,ROUND(($D658-INDEX(Config!$C$15:$C$18,MATCH($S658,Config!$B$15:$B$18,0)))*24*60,0)),""))</f>
        <v/>
      </c>
      <c r="O658" t="str">
        <f t="shared" si="44"/>
        <v/>
      </c>
      <c r="P658" t="str">
        <f t="shared" si="45"/>
        <v/>
      </c>
      <c r="Q658" t="str">
        <f>IF(OR($P658="",$S658=""),"",IFERROR($P658-INDEX(Config!$E$15:$E$18,MATCH($S658,Config!$B$15:$B$18,0)),""))</f>
        <v/>
      </c>
      <c r="R658" t="str">
        <f t="shared" si="46"/>
        <v/>
      </c>
      <c r="S658" s="6" t="str">
        <f>IF(OR($A658="",$C658=""),"",IFERROR(INDEX(Turno!$C$3:$V$32,MATCH($C658,Turno!$B$3:$B$32,0),MATCH(DAY($A658),Turno!$C$1:$V$1,0)),""))</f>
        <v/>
      </c>
      <c r="T658" t="str">
        <f>IF(OR($E658="",$S658=""),"",IFERROR(MAX(0,ROUND((INDEX(Config!$D$15:$D$18,MATCH($S658,Config!$B$15:$B$18,0))-$E658)*1440,0)),""))</f>
        <v/>
      </c>
      <c r="U658" s="13" t="str">
        <f>IF(OR($N658="",$T658=""),"",IFERROR(MAX(0,1-($N658+$T658+MAX(0,N($Q658)))/ROUND((INDEX(Config!$D$15:$D$18,MATCH($S658,Config!$B$15:$B$18,0))-INDEX(Config!$C$15:$C$18,MATCH($S658,Config!$B$15:$B$18,0)))*1440,0)),""))</f>
        <v/>
      </c>
      <c r="V658" s="5"/>
    </row>
    <row r="659" spans="1:22" x14ac:dyDescent="0.25">
      <c r="A659" s="11"/>
      <c r="B659" s="5"/>
      <c r="C659" s="6" t="str">
        <f>IFERROR(INDEX(Ejecutivos!$B$2:$B$100,MATCH(B659,Ejecutivos!$A$2:$A$100,0)),"")</f>
        <v/>
      </c>
      <c r="D659" s="12"/>
      <c r="E659" s="12"/>
      <c r="F659" s="12"/>
      <c r="G659" s="12"/>
      <c r="H659" s="5"/>
      <c r="I659" s="5"/>
      <c r="J659" s="5"/>
      <c r="K659" s="5"/>
      <c r="L659" s="18">
        <v>0</v>
      </c>
      <c r="M659" t="str">
        <f t="shared" si="43"/>
        <v/>
      </c>
      <c r="N659" t="str">
        <f>IF(OR($D659="",$S659=""),"",IFERROR(MAX(0,ROUND(($D659-INDEX(Config!$C$15:$C$18,MATCH($S659,Config!$B$15:$B$18,0)))*24*60,0)),""))</f>
        <v/>
      </c>
      <c r="O659" t="str">
        <f t="shared" si="44"/>
        <v/>
      </c>
      <c r="P659" t="str">
        <f t="shared" si="45"/>
        <v/>
      </c>
      <c r="Q659" t="str">
        <f>IF(OR($P659="",$S659=""),"",IFERROR($P659-INDEX(Config!$E$15:$E$18,MATCH($S659,Config!$B$15:$B$18,0)),""))</f>
        <v/>
      </c>
      <c r="R659" t="str">
        <f t="shared" si="46"/>
        <v/>
      </c>
      <c r="S659" s="6" t="str">
        <f>IF(OR($A659="",$C659=""),"",IFERROR(INDEX(Turno!$C$3:$V$32,MATCH($C659,Turno!$B$3:$B$32,0),MATCH(DAY($A659),Turno!$C$1:$V$1,0)),""))</f>
        <v/>
      </c>
      <c r="T659" t="str">
        <f>IF(OR($E659="",$S659=""),"",IFERROR(MAX(0,ROUND((INDEX(Config!$D$15:$D$18,MATCH($S659,Config!$B$15:$B$18,0))-$E659)*1440,0)),""))</f>
        <v/>
      </c>
      <c r="U659" s="13" t="str">
        <f>IF(OR($N659="",$T659=""),"",IFERROR(MAX(0,1-($N659+$T659+MAX(0,N($Q659)))/ROUND((INDEX(Config!$D$15:$D$18,MATCH($S659,Config!$B$15:$B$18,0))-INDEX(Config!$C$15:$C$18,MATCH($S659,Config!$B$15:$B$18,0)))*1440,0)),""))</f>
        <v/>
      </c>
      <c r="V659" s="5"/>
    </row>
    <row r="660" spans="1:22" x14ac:dyDescent="0.25">
      <c r="A660" s="11"/>
      <c r="B660" s="5"/>
      <c r="C660" s="6" t="str">
        <f>IFERROR(INDEX(Ejecutivos!$B$2:$B$100,MATCH(B660,Ejecutivos!$A$2:$A$100,0)),"")</f>
        <v/>
      </c>
      <c r="D660" s="12"/>
      <c r="E660" s="12"/>
      <c r="F660" s="12"/>
      <c r="G660" s="12"/>
      <c r="H660" s="5"/>
      <c r="I660" s="5"/>
      <c r="J660" s="5"/>
      <c r="K660" s="5"/>
      <c r="L660" s="18">
        <v>0</v>
      </c>
      <c r="M660" t="str">
        <f t="shared" si="43"/>
        <v/>
      </c>
      <c r="N660" t="str">
        <f>IF(OR($D660="",$S660=""),"",IFERROR(MAX(0,ROUND(($D660-INDEX(Config!$C$15:$C$18,MATCH($S660,Config!$B$15:$B$18,0)))*24*60,0)),""))</f>
        <v/>
      </c>
      <c r="O660" t="str">
        <f t="shared" si="44"/>
        <v/>
      </c>
      <c r="P660" t="str">
        <f t="shared" si="45"/>
        <v/>
      </c>
      <c r="Q660" t="str">
        <f>IF(OR($P660="",$S660=""),"",IFERROR($P660-INDEX(Config!$E$15:$E$18,MATCH($S660,Config!$B$15:$B$18,0)),""))</f>
        <v/>
      </c>
      <c r="R660" t="str">
        <f t="shared" si="46"/>
        <v/>
      </c>
      <c r="S660" s="6" t="str">
        <f>IF(OR($A660="",$C660=""),"",IFERROR(INDEX(Turno!$C$3:$V$32,MATCH($C660,Turno!$B$3:$B$32,0),MATCH(DAY($A660),Turno!$C$1:$V$1,0)),""))</f>
        <v/>
      </c>
      <c r="T660" t="str">
        <f>IF(OR($E660="",$S660=""),"",IFERROR(MAX(0,ROUND((INDEX(Config!$D$15:$D$18,MATCH($S660,Config!$B$15:$B$18,0))-$E660)*1440,0)),""))</f>
        <v/>
      </c>
      <c r="U660" s="13" t="str">
        <f>IF(OR($N660="",$T660=""),"",IFERROR(MAX(0,1-($N660+$T660+MAX(0,N($Q660)))/ROUND((INDEX(Config!$D$15:$D$18,MATCH($S660,Config!$B$15:$B$18,0))-INDEX(Config!$C$15:$C$18,MATCH($S660,Config!$B$15:$B$18,0)))*1440,0)),""))</f>
        <v/>
      </c>
      <c r="V660" s="5"/>
    </row>
    <row r="661" spans="1:22" x14ac:dyDescent="0.25">
      <c r="A661" s="11"/>
      <c r="B661" s="5"/>
      <c r="C661" s="6" t="str">
        <f>IFERROR(INDEX(Ejecutivos!$B$2:$B$100,MATCH(B661,Ejecutivos!$A$2:$A$100,0)),"")</f>
        <v/>
      </c>
      <c r="D661" s="12"/>
      <c r="E661" s="12"/>
      <c r="F661" s="12"/>
      <c r="G661" s="12"/>
      <c r="H661" s="5"/>
      <c r="I661" s="5"/>
      <c r="J661" s="5"/>
      <c r="K661" s="5"/>
      <c r="L661" s="18">
        <v>0</v>
      </c>
      <c r="M661" t="str">
        <f t="shared" si="43"/>
        <v/>
      </c>
      <c r="N661" t="str">
        <f>IF(OR($D661="",$S661=""),"",IFERROR(MAX(0,ROUND(($D661-INDEX(Config!$C$15:$C$18,MATCH($S661,Config!$B$15:$B$18,0)))*24*60,0)),""))</f>
        <v/>
      </c>
      <c r="O661" t="str">
        <f t="shared" si="44"/>
        <v/>
      </c>
      <c r="P661" t="str">
        <f t="shared" si="45"/>
        <v/>
      </c>
      <c r="Q661" t="str">
        <f>IF(OR($P661="",$S661=""),"",IFERROR($P661-INDEX(Config!$E$15:$E$18,MATCH($S661,Config!$B$15:$B$18,0)),""))</f>
        <v/>
      </c>
      <c r="R661" t="str">
        <f t="shared" si="46"/>
        <v/>
      </c>
      <c r="S661" s="6" t="str">
        <f>IF(OR($A661="",$C661=""),"",IFERROR(INDEX(Turno!$C$3:$V$32,MATCH($C661,Turno!$B$3:$B$32,0),MATCH(DAY($A661),Turno!$C$1:$V$1,0)),""))</f>
        <v/>
      </c>
      <c r="T661" t="str">
        <f>IF(OR($E661="",$S661=""),"",IFERROR(MAX(0,ROUND((INDEX(Config!$D$15:$D$18,MATCH($S661,Config!$B$15:$B$18,0))-$E661)*1440,0)),""))</f>
        <v/>
      </c>
      <c r="U661" s="13" t="str">
        <f>IF(OR($N661="",$T661=""),"",IFERROR(MAX(0,1-($N661+$T661+MAX(0,N($Q661)))/ROUND((INDEX(Config!$D$15:$D$18,MATCH($S661,Config!$B$15:$B$18,0))-INDEX(Config!$C$15:$C$18,MATCH($S661,Config!$B$15:$B$18,0)))*1440,0)),""))</f>
        <v/>
      </c>
      <c r="V661" s="5"/>
    </row>
    <row r="662" spans="1:22" x14ac:dyDescent="0.25">
      <c r="A662" s="11"/>
      <c r="B662" s="5"/>
      <c r="C662" s="6" t="str">
        <f>IFERROR(INDEX(Ejecutivos!$B$2:$B$100,MATCH(B662,Ejecutivos!$A$2:$A$100,0)),"")</f>
        <v/>
      </c>
      <c r="D662" s="12"/>
      <c r="E662" s="12"/>
      <c r="F662" s="12"/>
      <c r="G662" s="12"/>
      <c r="H662" s="5"/>
      <c r="I662" s="5"/>
      <c r="J662" s="5"/>
      <c r="K662" s="5"/>
      <c r="L662" s="18">
        <v>0</v>
      </c>
      <c r="M662" t="str">
        <f t="shared" si="43"/>
        <v/>
      </c>
      <c r="N662" t="str">
        <f>IF(OR($D662="",$S662=""),"",IFERROR(MAX(0,ROUND(($D662-INDEX(Config!$C$15:$C$18,MATCH($S662,Config!$B$15:$B$18,0)))*24*60,0)),""))</f>
        <v/>
      </c>
      <c r="O662" t="str">
        <f t="shared" si="44"/>
        <v/>
      </c>
      <c r="P662" t="str">
        <f t="shared" si="45"/>
        <v/>
      </c>
      <c r="Q662" t="str">
        <f>IF(OR($P662="",$S662=""),"",IFERROR($P662-INDEX(Config!$E$15:$E$18,MATCH($S662,Config!$B$15:$B$18,0)),""))</f>
        <v/>
      </c>
      <c r="R662" t="str">
        <f t="shared" si="46"/>
        <v/>
      </c>
      <c r="S662" s="6" t="str">
        <f>IF(OR($A662="",$C662=""),"",IFERROR(INDEX(Turno!$C$3:$V$32,MATCH($C662,Turno!$B$3:$B$32,0),MATCH(DAY($A662),Turno!$C$1:$V$1,0)),""))</f>
        <v/>
      </c>
      <c r="T662" t="str">
        <f>IF(OR($E662="",$S662=""),"",IFERROR(MAX(0,ROUND((INDEX(Config!$D$15:$D$18,MATCH($S662,Config!$B$15:$B$18,0))-$E662)*1440,0)),""))</f>
        <v/>
      </c>
      <c r="U662" s="13" t="str">
        <f>IF(OR($N662="",$T662=""),"",IFERROR(MAX(0,1-($N662+$T662+MAX(0,N($Q662)))/ROUND((INDEX(Config!$D$15:$D$18,MATCH($S662,Config!$B$15:$B$18,0))-INDEX(Config!$C$15:$C$18,MATCH($S662,Config!$B$15:$B$18,0)))*1440,0)),""))</f>
        <v/>
      </c>
      <c r="V662" s="5"/>
    </row>
    <row r="663" spans="1:22" x14ac:dyDescent="0.25">
      <c r="A663" s="11"/>
      <c r="B663" s="5"/>
      <c r="C663" s="6" t="str">
        <f>IFERROR(INDEX(Ejecutivos!$B$2:$B$100,MATCH(B663,Ejecutivos!$A$2:$A$100,0)),"")</f>
        <v/>
      </c>
      <c r="D663" s="12"/>
      <c r="E663" s="12"/>
      <c r="F663" s="12"/>
      <c r="G663" s="12"/>
      <c r="H663" s="5"/>
      <c r="I663" s="5"/>
      <c r="J663" s="5"/>
      <c r="K663" s="5"/>
      <c r="L663" s="18">
        <v>0</v>
      </c>
      <c r="M663" t="str">
        <f t="shared" si="43"/>
        <v/>
      </c>
      <c r="N663" t="str">
        <f>IF(OR($D663="",$S663=""),"",IFERROR(MAX(0,ROUND(($D663-INDEX(Config!$C$15:$C$18,MATCH($S663,Config!$B$15:$B$18,0)))*24*60,0)),""))</f>
        <v/>
      </c>
      <c r="O663" t="str">
        <f t="shared" si="44"/>
        <v/>
      </c>
      <c r="P663" t="str">
        <f t="shared" si="45"/>
        <v/>
      </c>
      <c r="Q663" t="str">
        <f>IF(OR($P663="",$S663=""),"",IFERROR($P663-INDEX(Config!$E$15:$E$18,MATCH($S663,Config!$B$15:$B$18,0)),""))</f>
        <v/>
      </c>
      <c r="R663" t="str">
        <f t="shared" si="46"/>
        <v/>
      </c>
      <c r="S663" s="6" t="str">
        <f>IF(OR($A663="",$C663=""),"",IFERROR(INDEX(Turno!$C$3:$V$32,MATCH($C663,Turno!$B$3:$B$32,0),MATCH(DAY($A663),Turno!$C$1:$V$1,0)),""))</f>
        <v/>
      </c>
      <c r="T663" t="str">
        <f>IF(OR($E663="",$S663=""),"",IFERROR(MAX(0,ROUND((INDEX(Config!$D$15:$D$18,MATCH($S663,Config!$B$15:$B$18,0))-$E663)*1440,0)),""))</f>
        <v/>
      </c>
      <c r="U663" s="13" t="str">
        <f>IF(OR($N663="",$T663=""),"",IFERROR(MAX(0,1-($N663+$T663+MAX(0,N($Q663)))/ROUND((INDEX(Config!$D$15:$D$18,MATCH($S663,Config!$B$15:$B$18,0))-INDEX(Config!$C$15:$C$18,MATCH($S663,Config!$B$15:$B$18,0)))*1440,0)),""))</f>
        <v/>
      </c>
      <c r="V663" s="5"/>
    </row>
    <row r="664" spans="1:22" x14ac:dyDescent="0.25">
      <c r="A664" s="11"/>
      <c r="B664" s="5"/>
      <c r="C664" s="6" t="str">
        <f>IFERROR(INDEX(Ejecutivos!$B$2:$B$100,MATCH(B664,Ejecutivos!$A$2:$A$100,0)),"")</f>
        <v/>
      </c>
      <c r="D664" s="12"/>
      <c r="E664" s="12"/>
      <c r="F664" s="12"/>
      <c r="G664" s="12"/>
      <c r="H664" s="5"/>
      <c r="I664" s="5"/>
      <c r="J664" s="5"/>
      <c r="K664" s="5"/>
      <c r="L664" s="18">
        <v>0</v>
      </c>
      <c r="M664" t="str">
        <f t="shared" si="43"/>
        <v/>
      </c>
      <c r="N664" t="str">
        <f>IF(OR($D664="",$S664=""),"",IFERROR(MAX(0,ROUND(($D664-INDEX(Config!$C$15:$C$18,MATCH($S664,Config!$B$15:$B$18,0)))*24*60,0)),""))</f>
        <v/>
      </c>
      <c r="O664" t="str">
        <f t="shared" si="44"/>
        <v/>
      </c>
      <c r="P664" t="str">
        <f t="shared" si="45"/>
        <v/>
      </c>
      <c r="Q664" t="str">
        <f>IF(OR($P664="",$S664=""),"",IFERROR($P664-INDEX(Config!$E$15:$E$18,MATCH($S664,Config!$B$15:$B$18,0)),""))</f>
        <v/>
      </c>
      <c r="R664" t="str">
        <f t="shared" si="46"/>
        <v/>
      </c>
      <c r="S664" s="6" t="str">
        <f>IF(OR($A664="",$C664=""),"",IFERROR(INDEX(Turno!$C$3:$V$32,MATCH($C664,Turno!$B$3:$B$32,0),MATCH(DAY($A664),Turno!$C$1:$V$1,0)),""))</f>
        <v/>
      </c>
      <c r="T664" t="str">
        <f>IF(OR($E664="",$S664=""),"",IFERROR(MAX(0,ROUND((INDEX(Config!$D$15:$D$18,MATCH($S664,Config!$B$15:$B$18,0))-$E664)*1440,0)),""))</f>
        <v/>
      </c>
      <c r="U664" s="13" t="str">
        <f>IF(OR($N664="",$T664=""),"",IFERROR(MAX(0,1-($N664+$T664+MAX(0,N($Q664)))/ROUND((INDEX(Config!$D$15:$D$18,MATCH($S664,Config!$B$15:$B$18,0))-INDEX(Config!$C$15:$C$18,MATCH($S664,Config!$B$15:$B$18,0)))*1440,0)),""))</f>
        <v/>
      </c>
      <c r="V664" s="5"/>
    </row>
    <row r="665" spans="1:22" x14ac:dyDescent="0.25">
      <c r="A665" s="11"/>
      <c r="B665" s="5"/>
      <c r="C665" s="6" t="str">
        <f>IFERROR(INDEX(Ejecutivos!$B$2:$B$100,MATCH(B665,Ejecutivos!$A$2:$A$100,0)),"")</f>
        <v/>
      </c>
      <c r="D665" s="12"/>
      <c r="E665" s="12"/>
      <c r="F665" s="12"/>
      <c r="G665" s="12"/>
      <c r="H665" s="5"/>
      <c r="I665" s="5"/>
      <c r="J665" s="5"/>
      <c r="K665" s="5"/>
      <c r="L665" s="18">
        <v>0</v>
      </c>
      <c r="M665" t="str">
        <f t="shared" si="43"/>
        <v/>
      </c>
      <c r="N665" t="str">
        <f>IF(OR($D665="",$S665=""),"",IFERROR(MAX(0,ROUND(($D665-INDEX(Config!$C$15:$C$18,MATCH($S665,Config!$B$15:$B$18,0)))*24*60,0)),""))</f>
        <v/>
      </c>
      <c r="O665" t="str">
        <f t="shared" si="44"/>
        <v/>
      </c>
      <c r="P665" t="str">
        <f t="shared" si="45"/>
        <v/>
      </c>
      <c r="Q665" t="str">
        <f>IF(OR($P665="",$S665=""),"",IFERROR($P665-INDEX(Config!$E$15:$E$18,MATCH($S665,Config!$B$15:$B$18,0)),""))</f>
        <v/>
      </c>
      <c r="R665" t="str">
        <f t="shared" si="46"/>
        <v/>
      </c>
      <c r="S665" s="6" t="str">
        <f>IF(OR($A665="",$C665=""),"",IFERROR(INDEX(Turno!$C$3:$V$32,MATCH($C665,Turno!$B$3:$B$32,0),MATCH(DAY($A665),Turno!$C$1:$V$1,0)),""))</f>
        <v/>
      </c>
      <c r="T665" t="str">
        <f>IF(OR($E665="",$S665=""),"",IFERROR(MAX(0,ROUND((INDEX(Config!$D$15:$D$18,MATCH($S665,Config!$B$15:$B$18,0))-$E665)*1440,0)),""))</f>
        <v/>
      </c>
      <c r="U665" s="13" t="str">
        <f>IF(OR($N665="",$T665=""),"",IFERROR(MAX(0,1-($N665+$T665+MAX(0,N($Q665)))/ROUND((INDEX(Config!$D$15:$D$18,MATCH($S665,Config!$B$15:$B$18,0))-INDEX(Config!$C$15:$C$18,MATCH($S665,Config!$B$15:$B$18,0)))*1440,0)),""))</f>
        <v/>
      </c>
      <c r="V665" s="5"/>
    </row>
    <row r="666" spans="1:22" x14ac:dyDescent="0.25">
      <c r="A666" s="11"/>
      <c r="B666" s="5"/>
      <c r="C666" s="6" t="str">
        <f>IFERROR(INDEX(Ejecutivos!$B$2:$B$100,MATCH(B666,Ejecutivos!$A$2:$A$100,0)),"")</f>
        <v/>
      </c>
      <c r="D666" s="12"/>
      <c r="E666" s="12"/>
      <c r="F666" s="12"/>
      <c r="G666" s="12"/>
      <c r="H666" s="5"/>
      <c r="I666" s="5"/>
      <c r="J666" s="5"/>
      <c r="K666" s="5"/>
      <c r="L666" s="18">
        <v>0</v>
      </c>
      <c r="M666" t="str">
        <f t="shared" si="43"/>
        <v/>
      </c>
      <c r="N666" t="str">
        <f>IF(OR($D666="",$S666=""),"",IFERROR(MAX(0,ROUND(($D666-INDEX(Config!$C$15:$C$18,MATCH($S666,Config!$B$15:$B$18,0)))*24*60,0)),""))</f>
        <v/>
      </c>
      <c r="O666" t="str">
        <f t="shared" si="44"/>
        <v/>
      </c>
      <c r="P666" t="str">
        <f t="shared" si="45"/>
        <v/>
      </c>
      <c r="Q666" t="str">
        <f>IF(OR($P666="",$S666=""),"",IFERROR($P666-INDEX(Config!$E$15:$E$18,MATCH($S666,Config!$B$15:$B$18,0)),""))</f>
        <v/>
      </c>
      <c r="R666" t="str">
        <f t="shared" si="46"/>
        <v/>
      </c>
      <c r="S666" s="6" t="str">
        <f>IF(OR($A666="",$C666=""),"",IFERROR(INDEX(Turno!$C$3:$V$32,MATCH($C666,Turno!$B$3:$B$32,0),MATCH(DAY($A666),Turno!$C$1:$V$1,0)),""))</f>
        <v/>
      </c>
      <c r="T666" t="str">
        <f>IF(OR($E666="",$S666=""),"",IFERROR(MAX(0,ROUND((INDEX(Config!$D$15:$D$18,MATCH($S666,Config!$B$15:$B$18,0))-$E666)*1440,0)),""))</f>
        <v/>
      </c>
      <c r="U666" s="13" t="str">
        <f>IF(OR($N666="",$T666=""),"",IFERROR(MAX(0,1-($N666+$T666+MAX(0,N($Q666)))/ROUND((INDEX(Config!$D$15:$D$18,MATCH($S666,Config!$B$15:$B$18,0))-INDEX(Config!$C$15:$C$18,MATCH($S666,Config!$B$15:$B$18,0)))*1440,0)),""))</f>
        <v/>
      </c>
      <c r="V666" s="5"/>
    </row>
    <row r="667" spans="1:22" x14ac:dyDescent="0.25">
      <c r="A667" s="11"/>
      <c r="B667" s="5"/>
      <c r="C667" s="6" t="str">
        <f>IFERROR(INDEX(Ejecutivos!$B$2:$B$100,MATCH(B667,Ejecutivos!$A$2:$A$100,0)),"")</f>
        <v/>
      </c>
      <c r="D667" s="12"/>
      <c r="E667" s="12"/>
      <c r="F667" s="12"/>
      <c r="G667" s="12"/>
      <c r="H667" s="5"/>
      <c r="I667" s="5"/>
      <c r="J667" s="5"/>
      <c r="K667" s="5"/>
      <c r="L667" s="18">
        <v>0</v>
      </c>
      <c r="M667" t="str">
        <f t="shared" si="43"/>
        <v/>
      </c>
      <c r="N667" t="str">
        <f>IF(OR($D667="",$S667=""),"",IFERROR(MAX(0,ROUND(($D667-INDEX(Config!$C$15:$C$18,MATCH($S667,Config!$B$15:$B$18,0)))*24*60,0)),""))</f>
        <v/>
      </c>
      <c r="O667" t="str">
        <f t="shared" si="44"/>
        <v/>
      </c>
      <c r="P667" t="str">
        <f t="shared" si="45"/>
        <v/>
      </c>
      <c r="Q667" t="str">
        <f>IF(OR($P667="",$S667=""),"",IFERROR($P667-INDEX(Config!$E$15:$E$18,MATCH($S667,Config!$B$15:$B$18,0)),""))</f>
        <v/>
      </c>
      <c r="R667" t="str">
        <f t="shared" si="46"/>
        <v/>
      </c>
      <c r="S667" s="6" t="str">
        <f>IF(OR($A667="",$C667=""),"",IFERROR(INDEX(Turno!$C$3:$V$32,MATCH($C667,Turno!$B$3:$B$32,0),MATCH(DAY($A667),Turno!$C$1:$V$1,0)),""))</f>
        <v/>
      </c>
      <c r="T667" t="str">
        <f>IF(OR($E667="",$S667=""),"",IFERROR(MAX(0,ROUND((INDEX(Config!$D$15:$D$18,MATCH($S667,Config!$B$15:$B$18,0))-$E667)*1440,0)),""))</f>
        <v/>
      </c>
      <c r="U667" s="13" t="str">
        <f>IF(OR($N667="",$T667=""),"",IFERROR(MAX(0,1-($N667+$T667+MAX(0,N($Q667)))/ROUND((INDEX(Config!$D$15:$D$18,MATCH($S667,Config!$B$15:$B$18,0))-INDEX(Config!$C$15:$C$18,MATCH($S667,Config!$B$15:$B$18,0)))*1440,0)),""))</f>
        <v/>
      </c>
      <c r="V667" s="5"/>
    </row>
    <row r="668" spans="1:22" x14ac:dyDescent="0.25">
      <c r="A668" s="11"/>
      <c r="B668" s="5"/>
      <c r="C668" s="6" t="str">
        <f>IFERROR(INDEX(Ejecutivos!$B$2:$B$100,MATCH(B668,Ejecutivos!$A$2:$A$100,0)),"")</f>
        <v/>
      </c>
      <c r="D668" s="12"/>
      <c r="E668" s="12"/>
      <c r="F668" s="12"/>
      <c r="G668" s="12"/>
      <c r="H668" s="5"/>
      <c r="I668" s="5"/>
      <c r="J668" s="5"/>
      <c r="K668" s="5"/>
      <c r="L668" s="18">
        <v>0</v>
      </c>
      <c r="M668" t="str">
        <f t="shared" si="43"/>
        <v/>
      </c>
      <c r="N668" t="str">
        <f>IF(OR($D668="",$S668=""),"",IFERROR(MAX(0,ROUND(($D668-INDEX(Config!$C$15:$C$18,MATCH($S668,Config!$B$15:$B$18,0)))*24*60,0)),""))</f>
        <v/>
      </c>
      <c r="O668" t="str">
        <f t="shared" si="44"/>
        <v/>
      </c>
      <c r="P668" t="str">
        <f t="shared" si="45"/>
        <v/>
      </c>
      <c r="Q668" t="str">
        <f>IF(OR($P668="",$S668=""),"",IFERROR($P668-INDEX(Config!$E$15:$E$18,MATCH($S668,Config!$B$15:$B$18,0)),""))</f>
        <v/>
      </c>
      <c r="R668" t="str">
        <f t="shared" si="46"/>
        <v/>
      </c>
      <c r="S668" s="6" t="str">
        <f>IF(OR($A668="",$C668=""),"",IFERROR(INDEX(Turno!$C$3:$V$32,MATCH($C668,Turno!$B$3:$B$32,0),MATCH(DAY($A668),Turno!$C$1:$V$1,0)),""))</f>
        <v/>
      </c>
      <c r="T668" t="str">
        <f>IF(OR($E668="",$S668=""),"",IFERROR(MAX(0,ROUND((INDEX(Config!$D$15:$D$18,MATCH($S668,Config!$B$15:$B$18,0))-$E668)*1440,0)),""))</f>
        <v/>
      </c>
      <c r="U668" s="13" t="str">
        <f>IF(OR($N668="",$T668=""),"",IFERROR(MAX(0,1-($N668+$T668+MAX(0,N($Q668)))/ROUND((INDEX(Config!$D$15:$D$18,MATCH($S668,Config!$B$15:$B$18,0))-INDEX(Config!$C$15:$C$18,MATCH($S668,Config!$B$15:$B$18,0)))*1440,0)),""))</f>
        <v/>
      </c>
      <c r="V668" s="5"/>
    </row>
    <row r="669" spans="1:22" x14ac:dyDescent="0.25">
      <c r="A669" s="11"/>
      <c r="B669" s="5"/>
      <c r="C669" s="6" t="str">
        <f>IFERROR(INDEX(Ejecutivos!$B$2:$B$100,MATCH(B669,Ejecutivos!$A$2:$A$100,0)),"")</f>
        <v/>
      </c>
      <c r="D669" s="12"/>
      <c r="E669" s="12"/>
      <c r="F669" s="12"/>
      <c r="G669" s="12"/>
      <c r="H669" s="5"/>
      <c r="I669" s="5"/>
      <c r="J669" s="5"/>
      <c r="K669" s="5"/>
      <c r="L669" s="18">
        <v>0</v>
      </c>
      <c r="M669" t="str">
        <f t="shared" si="43"/>
        <v/>
      </c>
      <c r="N669" t="str">
        <f>IF(OR($D669="",$S669=""),"",IFERROR(MAX(0,ROUND(($D669-INDEX(Config!$C$15:$C$18,MATCH($S669,Config!$B$15:$B$18,0)))*24*60,0)),""))</f>
        <v/>
      </c>
      <c r="O669" t="str">
        <f t="shared" si="44"/>
        <v/>
      </c>
      <c r="P669" t="str">
        <f t="shared" si="45"/>
        <v/>
      </c>
      <c r="Q669" t="str">
        <f>IF(OR($P669="",$S669=""),"",IFERROR($P669-INDEX(Config!$E$15:$E$18,MATCH($S669,Config!$B$15:$B$18,0)),""))</f>
        <v/>
      </c>
      <c r="R669" t="str">
        <f t="shared" si="46"/>
        <v/>
      </c>
      <c r="S669" s="6" t="str">
        <f>IF(OR($A669="",$C669=""),"",IFERROR(INDEX(Turno!$C$3:$V$32,MATCH($C669,Turno!$B$3:$B$32,0),MATCH(DAY($A669),Turno!$C$1:$V$1,0)),""))</f>
        <v/>
      </c>
      <c r="T669" t="str">
        <f>IF(OR($E669="",$S669=""),"",IFERROR(MAX(0,ROUND((INDEX(Config!$D$15:$D$18,MATCH($S669,Config!$B$15:$B$18,0))-$E669)*1440,0)),""))</f>
        <v/>
      </c>
      <c r="U669" s="13" t="str">
        <f>IF(OR($N669="",$T669=""),"",IFERROR(MAX(0,1-($N669+$T669+MAX(0,N($Q669)))/ROUND((INDEX(Config!$D$15:$D$18,MATCH($S669,Config!$B$15:$B$18,0))-INDEX(Config!$C$15:$C$18,MATCH($S669,Config!$B$15:$B$18,0)))*1440,0)),""))</f>
        <v/>
      </c>
      <c r="V669" s="5"/>
    </row>
    <row r="670" spans="1:22" x14ac:dyDescent="0.25">
      <c r="A670" s="11"/>
      <c r="B670" s="5"/>
      <c r="C670" s="6" t="str">
        <f>IFERROR(INDEX(Ejecutivos!$B$2:$B$100,MATCH(B670,Ejecutivos!$A$2:$A$100,0)),"")</f>
        <v/>
      </c>
      <c r="D670" s="12"/>
      <c r="E670" s="12"/>
      <c r="F670" s="12"/>
      <c r="G670" s="12"/>
      <c r="H670" s="5"/>
      <c r="I670" s="5"/>
      <c r="J670" s="5"/>
      <c r="K670" s="5"/>
      <c r="L670" s="18">
        <v>0</v>
      </c>
      <c r="M670" t="str">
        <f t="shared" si="43"/>
        <v/>
      </c>
      <c r="N670" t="str">
        <f>IF(OR($D670="",$S670=""),"",IFERROR(MAX(0,ROUND(($D670-INDEX(Config!$C$15:$C$18,MATCH($S670,Config!$B$15:$B$18,0)))*24*60,0)),""))</f>
        <v/>
      </c>
      <c r="O670" t="str">
        <f t="shared" si="44"/>
        <v/>
      </c>
      <c r="P670" t="str">
        <f t="shared" si="45"/>
        <v/>
      </c>
      <c r="Q670" t="str">
        <f>IF(OR($P670="",$S670=""),"",IFERROR($P670-INDEX(Config!$E$15:$E$18,MATCH($S670,Config!$B$15:$B$18,0)),""))</f>
        <v/>
      </c>
      <c r="R670" t="str">
        <f t="shared" si="46"/>
        <v/>
      </c>
      <c r="S670" s="6" t="str">
        <f>IF(OR($A670="",$C670=""),"",IFERROR(INDEX(Turno!$C$3:$V$32,MATCH($C670,Turno!$B$3:$B$32,0),MATCH(DAY($A670),Turno!$C$1:$V$1,0)),""))</f>
        <v/>
      </c>
      <c r="T670" t="str">
        <f>IF(OR($E670="",$S670=""),"",IFERROR(MAX(0,ROUND((INDEX(Config!$D$15:$D$18,MATCH($S670,Config!$B$15:$B$18,0))-$E670)*1440,0)),""))</f>
        <v/>
      </c>
      <c r="U670" s="13" t="str">
        <f>IF(OR($N670="",$T670=""),"",IFERROR(MAX(0,1-($N670+$T670+MAX(0,N($Q670)))/ROUND((INDEX(Config!$D$15:$D$18,MATCH($S670,Config!$B$15:$B$18,0))-INDEX(Config!$C$15:$C$18,MATCH($S670,Config!$B$15:$B$18,0)))*1440,0)),""))</f>
        <v/>
      </c>
      <c r="V670" s="5"/>
    </row>
    <row r="671" spans="1:22" x14ac:dyDescent="0.25">
      <c r="A671" s="11"/>
      <c r="B671" s="5"/>
      <c r="C671" s="6" t="str">
        <f>IFERROR(INDEX(Ejecutivos!$B$2:$B$100,MATCH(B671,Ejecutivos!$A$2:$A$100,0)),"")</f>
        <v/>
      </c>
      <c r="D671" s="12"/>
      <c r="E671" s="12"/>
      <c r="F671" s="12"/>
      <c r="G671" s="12"/>
      <c r="H671" s="5"/>
      <c r="I671" s="5"/>
      <c r="J671" s="5"/>
      <c r="K671" s="5"/>
      <c r="L671" s="18">
        <v>0</v>
      </c>
      <c r="M671" t="str">
        <f t="shared" si="43"/>
        <v/>
      </c>
      <c r="N671" t="str">
        <f>IF(OR($D671="",$S671=""),"",IFERROR(MAX(0,ROUND(($D671-INDEX(Config!$C$15:$C$18,MATCH($S671,Config!$B$15:$B$18,0)))*24*60,0)),""))</f>
        <v/>
      </c>
      <c r="O671" t="str">
        <f t="shared" si="44"/>
        <v/>
      </c>
      <c r="P671" t="str">
        <f t="shared" si="45"/>
        <v/>
      </c>
      <c r="Q671" t="str">
        <f>IF(OR($P671="",$S671=""),"",IFERROR($P671-INDEX(Config!$E$15:$E$18,MATCH($S671,Config!$B$15:$B$18,0)),""))</f>
        <v/>
      </c>
      <c r="R671" t="str">
        <f t="shared" si="46"/>
        <v/>
      </c>
      <c r="S671" s="6" t="str">
        <f>IF(OR($A671="",$C671=""),"",IFERROR(INDEX(Turno!$C$3:$V$32,MATCH($C671,Turno!$B$3:$B$32,0),MATCH(DAY($A671),Turno!$C$1:$V$1,0)),""))</f>
        <v/>
      </c>
      <c r="T671" t="str">
        <f>IF(OR($E671="",$S671=""),"",IFERROR(MAX(0,ROUND((INDEX(Config!$D$15:$D$18,MATCH($S671,Config!$B$15:$B$18,0))-$E671)*1440,0)),""))</f>
        <v/>
      </c>
      <c r="U671" s="13" t="str">
        <f>IF(OR($N671="",$T671=""),"",IFERROR(MAX(0,1-($N671+$T671+MAX(0,N($Q671)))/ROUND((INDEX(Config!$D$15:$D$18,MATCH($S671,Config!$B$15:$B$18,0))-INDEX(Config!$C$15:$C$18,MATCH($S671,Config!$B$15:$B$18,0)))*1440,0)),""))</f>
        <v/>
      </c>
      <c r="V671" s="5"/>
    </row>
    <row r="672" spans="1:22" x14ac:dyDescent="0.25">
      <c r="A672" s="11"/>
      <c r="B672" s="5"/>
      <c r="C672" s="6" t="str">
        <f>IFERROR(INDEX(Ejecutivos!$B$2:$B$100,MATCH(B672,Ejecutivos!$A$2:$A$100,0)),"")</f>
        <v/>
      </c>
      <c r="D672" s="12"/>
      <c r="E672" s="12"/>
      <c r="F672" s="12"/>
      <c r="G672" s="12"/>
      <c r="H672" s="5"/>
      <c r="I672" s="5"/>
      <c r="J672" s="5"/>
      <c r="K672" s="5"/>
      <c r="L672" s="18">
        <v>0</v>
      </c>
      <c r="M672" t="str">
        <f t="shared" si="43"/>
        <v/>
      </c>
      <c r="N672" t="str">
        <f>IF(OR($D672="",$S672=""),"",IFERROR(MAX(0,ROUND(($D672-INDEX(Config!$C$15:$C$18,MATCH($S672,Config!$B$15:$B$18,0)))*24*60,0)),""))</f>
        <v/>
      </c>
      <c r="O672" t="str">
        <f t="shared" si="44"/>
        <v/>
      </c>
      <c r="P672" t="str">
        <f t="shared" si="45"/>
        <v/>
      </c>
      <c r="Q672" t="str">
        <f>IF(OR($P672="",$S672=""),"",IFERROR($P672-INDEX(Config!$E$15:$E$18,MATCH($S672,Config!$B$15:$B$18,0)),""))</f>
        <v/>
      </c>
      <c r="R672" t="str">
        <f t="shared" si="46"/>
        <v/>
      </c>
      <c r="S672" s="6" t="str">
        <f>IF(OR($A672="",$C672=""),"",IFERROR(INDEX(Turno!$C$3:$V$32,MATCH($C672,Turno!$B$3:$B$32,0),MATCH(DAY($A672),Turno!$C$1:$V$1,0)),""))</f>
        <v/>
      </c>
      <c r="T672" t="str">
        <f>IF(OR($E672="",$S672=""),"",IFERROR(MAX(0,ROUND((INDEX(Config!$D$15:$D$18,MATCH($S672,Config!$B$15:$B$18,0))-$E672)*1440,0)),""))</f>
        <v/>
      </c>
      <c r="U672" s="13" t="str">
        <f>IF(OR($N672="",$T672=""),"",IFERROR(MAX(0,1-($N672+$T672+MAX(0,N($Q672)))/ROUND((INDEX(Config!$D$15:$D$18,MATCH($S672,Config!$B$15:$B$18,0))-INDEX(Config!$C$15:$C$18,MATCH($S672,Config!$B$15:$B$18,0)))*1440,0)),""))</f>
        <v/>
      </c>
      <c r="V672" s="5"/>
    </row>
    <row r="673" spans="1:22" x14ac:dyDescent="0.25">
      <c r="A673" s="11"/>
      <c r="B673" s="5"/>
      <c r="C673" s="6" t="str">
        <f>IFERROR(INDEX(Ejecutivos!$B$2:$B$100,MATCH(B673,Ejecutivos!$A$2:$A$100,0)),"")</f>
        <v/>
      </c>
      <c r="D673" s="12"/>
      <c r="E673" s="12"/>
      <c r="F673" s="12"/>
      <c r="G673" s="12"/>
      <c r="H673" s="5"/>
      <c r="I673" s="5"/>
      <c r="J673" s="5"/>
      <c r="K673" s="5"/>
      <c r="L673" s="18">
        <v>0</v>
      </c>
      <c r="M673" t="str">
        <f t="shared" si="43"/>
        <v/>
      </c>
      <c r="N673" t="str">
        <f>IF(OR($D673="",$S673=""),"",IFERROR(MAX(0,ROUND(($D673-INDEX(Config!$C$15:$C$18,MATCH($S673,Config!$B$15:$B$18,0)))*24*60,0)),""))</f>
        <v/>
      </c>
      <c r="O673" t="str">
        <f t="shared" si="44"/>
        <v/>
      </c>
      <c r="P673" t="str">
        <f t="shared" si="45"/>
        <v/>
      </c>
      <c r="Q673" t="str">
        <f>IF(OR($P673="",$S673=""),"",IFERROR($P673-INDEX(Config!$E$15:$E$18,MATCH($S673,Config!$B$15:$B$18,0)),""))</f>
        <v/>
      </c>
      <c r="R673" t="str">
        <f t="shared" si="46"/>
        <v/>
      </c>
      <c r="S673" s="6" t="str">
        <f>IF(OR($A673="",$C673=""),"",IFERROR(INDEX(Turno!$C$3:$V$32,MATCH($C673,Turno!$B$3:$B$32,0),MATCH(DAY($A673),Turno!$C$1:$V$1,0)),""))</f>
        <v/>
      </c>
      <c r="T673" t="str">
        <f>IF(OR($E673="",$S673=""),"",IFERROR(MAX(0,ROUND((INDEX(Config!$D$15:$D$18,MATCH($S673,Config!$B$15:$B$18,0))-$E673)*1440,0)),""))</f>
        <v/>
      </c>
      <c r="U673" s="13" t="str">
        <f>IF(OR($N673="",$T673=""),"",IFERROR(MAX(0,1-($N673+$T673+MAX(0,N($Q673)))/ROUND((INDEX(Config!$D$15:$D$18,MATCH($S673,Config!$B$15:$B$18,0))-INDEX(Config!$C$15:$C$18,MATCH($S673,Config!$B$15:$B$18,0)))*1440,0)),""))</f>
        <v/>
      </c>
      <c r="V673" s="5"/>
    </row>
    <row r="674" spans="1:22" x14ac:dyDescent="0.25">
      <c r="A674" s="11"/>
      <c r="B674" s="5"/>
      <c r="C674" s="6" t="str">
        <f>IFERROR(INDEX(Ejecutivos!$B$2:$B$100,MATCH(B674,Ejecutivos!$A$2:$A$100,0)),"")</f>
        <v/>
      </c>
      <c r="D674" s="12"/>
      <c r="E674" s="12"/>
      <c r="F674" s="12"/>
      <c r="G674" s="12"/>
      <c r="H674" s="5"/>
      <c r="I674" s="5"/>
      <c r="J674" s="5"/>
      <c r="K674" s="5"/>
      <c r="L674" s="18">
        <v>0</v>
      </c>
      <c r="M674" t="str">
        <f t="shared" si="43"/>
        <v/>
      </c>
      <c r="N674" t="str">
        <f>IF(OR($D674="",$S674=""),"",IFERROR(MAX(0,ROUND(($D674-INDEX(Config!$C$15:$C$18,MATCH($S674,Config!$B$15:$B$18,0)))*24*60,0)),""))</f>
        <v/>
      </c>
      <c r="O674" t="str">
        <f t="shared" si="44"/>
        <v/>
      </c>
      <c r="P674" t="str">
        <f t="shared" si="45"/>
        <v/>
      </c>
      <c r="Q674" t="str">
        <f>IF(OR($P674="",$S674=""),"",IFERROR($P674-INDEX(Config!$E$15:$E$18,MATCH($S674,Config!$B$15:$B$18,0)),""))</f>
        <v/>
      </c>
      <c r="R674" t="str">
        <f t="shared" si="46"/>
        <v/>
      </c>
      <c r="S674" s="6" t="str">
        <f>IF(OR($A674="",$C674=""),"",IFERROR(INDEX(Turno!$C$3:$V$32,MATCH($C674,Turno!$B$3:$B$32,0),MATCH(DAY($A674),Turno!$C$1:$V$1,0)),""))</f>
        <v/>
      </c>
      <c r="T674" t="str">
        <f>IF(OR($E674="",$S674=""),"",IFERROR(MAX(0,ROUND((INDEX(Config!$D$15:$D$18,MATCH($S674,Config!$B$15:$B$18,0))-$E674)*1440,0)),""))</f>
        <v/>
      </c>
      <c r="U674" s="13" t="str">
        <f>IF(OR($N674="",$T674=""),"",IFERROR(MAX(0,1-($N674+$T674+MAX(0,N($Q674)))/ROUND((INDEX(Config!$D$15:$D$18,MATCH($S674,Config!$B$15:$B$18,0))-INDEX(Config!$C$15:$C$18,MATCH($S674,Config!$B$15:$B$18,0)))*1440,0)),""))</f>
        <v/>
      </c>
      <c r="V674" s="5"/>
    </row>
    <row r="675" spans="1:22" x14ac:dyDescent="0.25">
      <c r="A675" s="11"/>
      <c r="B675" s="5"/>
      <c r="C675" s="6" t="str">
        <f>IFERROR(INDEX(Ejecutivos!$B$2:$B$100,MATCH(B675,Ejecutivos!$A$2:$A$100,0)),"")</f>
        <v/>
      </c>
      <c r="D675" s="12"/>
      <c r="E675" s="12"/>
      <c r="F675" s="12"/>
      <c r="G675" s="12"/>
      <c r="H675" s="5"/>
      <c r="I675" s="5"/>
      <c r="J675" s="5"/>
      <c r="K675" s="5"/>
      <c r="L675" s="18">
        <v>0</v>
      </c>
      <c r="M675" t="str">
        <f t="shared" si="43"/>
        <v/>
      </c>
      <c r="N675" t="str">
        <f>IF(OR($D675="",$S675=""),"",IFERROR(MAX(0,ROUND(($D675-INDEX(Config!$C$15:$C$18,MATCH($S675,Config!$B$15:$B$18,0)))*24*60,0)),""))</f>
        <v/>
      </c>
      <c r="O675" t="str">
        <f t="shared" si="44"/>
        <v/>
      </c>
      <c r="P675" t="str">
        <f t="shared" si="45"/>
        <v/>
      </c>
      <c r="Q675" t="str">
        <f>IF(OR($P675="",$S675=""),"",IFERROR($P675-INDEX(Config!$E$15:$E$18,MATCH($S675,Config!$B$15:$B$18,0)),""))</f>
        <v/>
      </c>
      <c r="R675" t="str">
        <f t="shared" si="46"/>
        <v/>
      </c>
      <c r="S675" s="6" t="str">
        <f>IF(OR($A675="",$C675=""),"",IFERROR(INDEX(Turno!$C$3:$V$32,MATCH($C675,Turno!$B$3:$B$32,0),MATCH(DAY($A675),Turno!$C$1:$V$1,0)),""))</f>
        <v/>
      </c>
      <c r="T675" t="str">
        <f>IF(OR($E675="",$S675=""),"",IFERROR(MAX(0,ROUND((INDEX(Config!$D$15:$D$18,MATCH($S675,Config!$B$15:$B$18,0))-$E675)*1440,0)),""))</f>
        <v/>
      </c>
      <c r="U675" s="13" t="str">
        <f>IF(OR($N675="",$T675=""),"",IFERROR(MAX(0,1-($N675+$T675+MAX(0,N($Q675)))/ROUND((INDEX(Config!$D$15:$D$18,MATCH($S675,Config!$B$15:$B$18,0))-INDEX(Config!$C$15:$C$18,MATCH($S675,Config!$B$15:$B$18,0)))*1440,0)),""))</f>
        <v/>
      </c>
      <c r="V675" s="5"/>
    </row>
    <row r="676" spans="1:22" x14ac:dyDescent="0.25">
      <c r="A676" s="11"/>
      <c r="B676" s="5"/>
      <c r="C676" s="6" t="str">
        <f>IFERROR(INDEX(Ejecutivos!$B$2:$B$100,MATCH(B676,Ejecutivos!$A$2:$A$100,0)),"")</f>
        <v/>
      </c>
      <c r="D676" s="12"/>
      <c r="E676" s="12"/>
      <c r="F676" s="12"/>
      <c r="G676" s="12"/>
      <c r="H676" s="5"/>
      <c r="I676" s="5"/>
      <c r="J676" s="5"/>
      <c r="K676" s="5"/>
      <c r="L676" s="18">
        <v>0</v>
      </c>
      <c r="M676" t="str">
        <f t="shared" si="43"/>
        <v/>
      </c>
      <c r="N676" t="str">
        <f>IF(OR($D676="",$S676=""),"",IFERROR(MAX(0,ROUND(($D676-INDEX(Config!$C$15:$C$18,MATCH($S676,Config!$B$15:$B$18,0)))*24*60,0)),""))</f>
        <v/>
      </c>
      <c r="O676" t="str">
        <f t="shared" si="44"/>
        <v/>
      </c>
      <c r="P676" t="str">
        <f t="shared" si="45"/>
        <v/>
      </c>
      <c r="Q676" t="str">
        <f>IF(OR($P676="",$S676=""),"",IFERROR($P676-INDEX(Config!$E$15:$E$18,MATCH($S676,Config!$B$15:$B$18,0)),""))</f>
        <v/>
      </c>
      <c r="R676" t="str">
        <f t="shared" si="46"/>
        <v/>
      </c>
      <c r="S676" s="6" t="str">
        <f>IF(OR($A676="",$C676=""),"",IFERROR(INDEX(Turno!$C$3:$V$32,MATCH($C676,Turno!$B$3:$B$32,0),MATCH(DAY($A676),Turno!$C$1:$V$1,0)),""))</f>
        <v/>
      </c>
      <c r="T676" t="str">
        <f>IF(OR($E676="",$S676=""),"",IFERROR(MAX(0,ROUND((INDEX(Config!$D$15:$D$18,MATCH($S676,Config!$B$15:$B$18,0))-$E676)*1440,0)),""))</f>
        <v/>
      </c>
      <c r="U676" s="13" t="str">
        <f>IF(OR($N676="",$T676=""),"",IFERROR(MAX(0,1-($N676+$T676+MAX(0,N($Q676)))/ROUND((INDEX(Config!$D$15:$D$18,MATCH($S676,Config!$B$15:$B$18,0))-INDEX(Config!$C$15:$C$18,MATCH($S676,Config!$B$15:$B$18,0)))*1440,0)),""))</f>
        <v/>
      </c>
      <c r="V676" s="5"/>
    </row>
    <row r="677" spans="1:22" x14ac:dyDescent="0.25">
      <c r="A677" s="11"/>
      <c r="B677" s="5"/>
      <c r="C677" s="6" t="str">
        <f>IFERROR(INDEX(Ejecutivos!$B$2:$B$100,MATCH(B677,Ejecutivos!$A$2:$A$100,0)),"")</f>
        <v/>
      </c>
      <c r="D677" s="12"/>
      <c r="E677" s="12"/>
      <c r="F677" s="12"/>
      <c r="G677" s="12"/>
      <c r="H677" s="5"/>
      <c r="I677" s="5"/>
      <c r="J677" s="5"/>
      <c r="K677" s="5"/>
      <c r="L677" s="18">
        <v>0</v>
      </c>
      <c r="M677" t="str">
        <f t="shared" si="43"/>
        <v/>
      </c>
      <c r="N677" t="str">
        <f>IF(OR($D677="",$S677=""),"",IFERROR(MAX(0,ROUND(($D677-INDEX(Config!$C$15:$C$18,MATCH($S677,Config!$B$15:$B$18,0)))*24*60,0)),""))</f>
        <v/>
      </c>
      <c r="O677" t="str">
        <f t="shared" si="44"/>
        <v/>
      </c>
      <c r="P677" t="str">
        <f t="shared" si="45"/>
        <v/>
      </c>
      <c r="Q677" t="str">
        <f>IF(OR($P677="",$S677=""),"",IFERROR($P677-INDEX(Config!$E$15:$E$18,MATCH($S677,Config!$B$15:$B$18,0)),""))</f>
        <v/>
      </c>
      <c r="R677" t="str">
        <f t="shared" si="46"/>
        <v/>
      </c>
      <c r="S677" s="6" t="str">
        <f>IF(OR($A677="",$C677=""),"",IFERROR(INDEX(Turno!$C$3:$V$32,MATCH($C677,Turno!$B$3:$B$32,0),MATCH(DAY($A677),Turno!$C$1:$V$1,0)),""))</f>
        <v/>
      </c>
      <c r="T677" t="str">
        <f>IF(OR($E677="",$S677=""),"",IFERROR(MAX(0,ROUND((INDEX(Config!$D$15:$D$18,MATCH($S677,Config!$B$15:$B$18,0))-$E677)*1440,0)),""))</f>
        <v/>
      </c>
      <c r="U677" s="13" t="str">
        <f>IF(OR($N677="",$T677=""),"",IFERROR(MAX(0,1-($N677+$T677+MAX(0,N($Q677)))/ROUND((INDEX(Config!$D$15:$D$18,MATCH($S677,Config!$B$15:$B$18,0))-INDEX(Config!$C$15:$C$18,MATCH($S677,Config!$B$15:$B$18,0)))*1440,0)),""))</f>
        <v/>
      </c>
      <c r="V677" s="5"/>
    </row>
    <row r="678" spans="1:22" x14ac:dyDescent="0.25">
      <c r="A678" s="11"/>
      <c r="B678" s="5"/>
      <c r="C678" s="6" t="str">
        <f>IFERROR(INDEX(Ejecutivos!$B$2:$B$100,MATCH(B678,Ejecutivos!$A$2:$A$100,0)),"")</f>
        <v/>
      </c>
      <c r="D678" s="12"/>
      <c r="E678" s="12"/>
      <c r="F678" s="12"/>
      <c r="G678" s="12"/>
      <c r="H678" s="5"/>
      <c r="I678" s="5"/>
      <c r="J678" s="5"/>
      <c r="K678" s="5"/>
      <c r="L678" s="18">
        <v>0</v>
      </c>
      <c r="M678" t="str">
        <f t="shared" si="43"/>
        <v/>
      </c>
      <c r="N678" t="str">
        <f>IF(OR($D678="",$S678=""),"",IFERROR(MAX(0,ROUND(($D678-INDEX(Config!$C$15:$C$18,MATCH($S678,Config!$B$15:$B$18,0)))*24*60,0)),""))</f>
        <v/>
      </c>
      <c r="O678" t="str">
        <f t="shared" si="44"/>
        <v/>
      </c>
      <c r="P678" t="str">
        <f t="shared" si="45"/>
        <v/>
      </c>
      <c r="Q678" t="str">
        <f>IF(OR($P678="",$S678=""),"",IFERROR($P678-INDEX(Config!$E$15:$E$18,MATCH($S678,Config!$B$15:$B$18,0)),""))</f>
        <v/>
      </c>
      <c r="R678" t="str">
        <f t="shared" si="46"/>
        <v/>
      </c>
      <c r="S678" s="6" t="str">
        <f>IF(OR($A678="",$C678=""),"",IFERROR(INDEX(Turno!$C$3:$V$32,MATCH($C678,Turno!$B$3:$B$32,0),MATCH(DAY($A678),Turno!$C$1:$V$1,0)),""))</f>
        <v/>
      </c>
      <c r="T678" t="str">
        <f>IF(OR($E678="",$S678=""),"",IFERROR(MAX(0,ROUND((INDEX(Config!$D$15:$D$18,MATCH($S678,Config!$B$15:$B$18,0))-$E678)*1440,0)),""))</f>
        <v/>
      </c>
      <c r="U678" s="13" t="str">
        <f>IF(OR($N678="",$T678=""),"",IFERROR(MAX(0,1-($N678+$T678+MAX(0,N($Q678)))/ROUND((INDEX(Config!$D$15:$D$18,MATCH($S678,Config!$B$15:$B$18,0))-INDEX(Config!$C$15:$C$18,MATCH($S678,Config!$B$15:$B$18,0)))*1440,0)),""))</f>
        <v/>
      </c>
      <c r="V678" s="5"/>
    </row>
    <row r="679" spans="1:22" x14ac:dyDescent="0.25">
      <c r="A679" s="11"/>
      <c r="B679" s="5"/>
      <c r="C679" s="6" t="str">
        <f>IFERROR(INDEX(Ejecutivos!$B$2:$B$100,MATCH(B679,Ejecutivos!$A$2:$A$100,0)),"")</f>
        <v/>
      </c>
      <c r="D679" s="12"/>
      <c r="E679" s="12"/>
      <c r="F679" s="12"/>
      <c r="G679" s="12"/>
      <c r="H679" s="5"/>
      <c r="I679" s="5"/>
      <c r="J679" s="5"/>
      <c r="K679" s="5"/>
      <c r="L679" s="18">
        <v>0</v>
      </c>
      <c r="M679" t="str">
        <f t="shared" si="43"/>
        <v/>
      </c>
      <c r="N679" t="str">
        <f>IF(OR($D679="",$S679=""),"",IFERROR(MAX(0,ROUND(($D679-INDEX(Config!$C$15:$C$18,MATCH($S679,Config!$B$15:$B$18,0)))*24*60,0)),""))</f>
        <v/>
      </c>
      <c r="O679" t="str">
        <f t="shared" si="44"/>
        <v/>
      </c>
      <c r="P679" t="str">
        <f t="shared" si="45"/>
        <v/>
      </c>
      <c r="Q679" t="str">
        <f>IF(OR($P679="",$S679=""),"",IFERROR($P679-INDEX(Config!$E$15:$E$18,MATCH($S679,Config!$B$15:$B$18,0)),""))</f>
        <v/>
      </c>
      <c r="R679" t="str">
        <f t="shared" si="46"/>
        <v/>
      </c>
      <c r="S679" s="6" t="str">
        <f>IF(OR($A679="",$C679=""),"",IFERROR(INDEX(Turno!$C$3:$V$32,MATCH($C679,Turno!$B$3:$B$32,0),MATCH(DAY($A679),Turno!$C$1:$V$1,0)),""))</f>
        <v/>
      </c>
      <c r="T679" t="str">
        <f>IF(OR($E679="",$S679=""),"",IFERROR(MAX(0,ROUND((INDEX(Config!$D$15:$D$18,MATCH($S679,Config!$B$15:$B$18,0))-$E679)*1440,0)),""))</f>
        <v/>
      </c>
      <c r="U679" s="13" t="str">
        <f>IF(OR($N679="",$T679=""),"",IFERROR(MAX(0,1-($N679+$T679+MAX(0,N($Q679)))/ROUND((INDEX(Config!$D$15:$D$18,MATCH($S679,Config!$B$15:$B$18,0))-INDEX(Config!$C$15:$C$18,MATCH($S679,Config!$B$15:$B$18,0)))*1440,0)),""))</f>
        <v/>
      </c>
      <c r="V679" s="5"/>
    </row>
    <row r="680" spans="1:22" x14ac:dyDescent="0.25">
      <c r="A680" s="11"/>
      <c r="B680" s="5"/>
      <c r="C680" s="6" t="str">
        <f>IFERROR(INDEX(Ejecutivos!$B$2:$B$100,MATCH(B680,Ejecutivos!$A$2:$A$100,0)),"")</f>
        <v/>
      </c>
      <c r="D680" s="12"/>
      <c r="E680" s="12"/>
      <c r="F680" s="12"/>
      <c r="G680" s="12"/>
      <c r="H680" s="5"/>
      <c r="I680" s="5"/>
      <c r="J680" s="5"/>
      <c r="K680" s="5"/>
      <c r="L680" s="18">
        <v>0</v>
      </c>
      <c r="M680" t="str">
        <f t="shared" si="43"/>
        <v/>
      </c>
      <c r="N680" t="str">
        <f>IF(OR($D680="",$S680=""),"",IFERROR(MAX(0,ROUND(($D680-INDEX(Config!$C$15:$C$18,MATCH($S680,Config!$B$15:$B$18,0)))*24*60,0)),""))</f>
        <v/>
      </c>
      <c r="O680" t="str">
        <f t="shared" si="44"/>
        <v/>
      </c>
      <c r="P680" t="str">
        <f t="shared" si="45"/>
        <v/>
      </c>
      <c r="Q680" t="str">
        <f>IF(OR($P680="",$S680=""),"",IFERROR($P680-INDEX(Config!$E$15:$E$18,MATCH($S680,Config!$B$15:$B$18,0)),""))</f>
        <v/>
      </c>
      <c r="R680" t="str">
        <f t="shared" si="46"/>
        <v/>
      </c>
      <c r="S680" s="6" t="str">
        <f>IF(OR($A680="",$C680=""),"",IFERROR(INDEX(Turno!$C$3:$V$32,MATCH($C680,Turno!$B$3:$B$32,0),MATCH(DAY($A680),Turno!$C$1:$V$1,0)),""))</f>
        <v/>
      </c>
      <c r="T680" t="str">
        <f>IF(OR($E680="",$S680=""),"",IFERROR(MAX(0,ROUND((INDEX(Config!$D$15:$D$18,MATCH($S680,Config!$B$15:$B$18,0))-$E680)*1440,0)),""))</f>
        <v/>
      </c>
      <c r="U680" s="13" t="str">
        <f>IF(OR($N680="",$T680=""),"",IFERROR(MAX(0,1-($N680+$T680+MAX(0,N($Q680)))/ROUND((INDEX(Config!$D$15:$D$18,MATCH($S680,Config!$B$15:$B$18,0))-INDEX(Config!$C$15:$C$18,MATCH($S680,Config!$B$15:$B$18,0)))*1440,0)),""))</f>
        <v/>
      </c>
      <c r="V680" s="5"/>
    </row>
    <row r="681" spans="1:22" x14ac:dyDescent="0.25">
      <c r="A681" s="11"/>
      <c r="B681" s="5"/>
      <c r="C681" s="6" t="str">
        <f>IFERROR(INDEX(Ejecutivos!$B$2:$B$100,MATCH(B681,Ejecutivos!$A$2:$A$100,0)),"")</f>
        <v/>
      </c>
      <c r="D681" s="12"/>
      <c r="E681" s="12"/>
      <c r="F681" s="12"/>
      <c r="G681" s="12"/>
      <c r="H681" s="5"/>
      <c r="I681" s="5"/>
      <c r="J681" s="5"/>
      <c r="K681" s="5"/>
      <c r="L681" s="18">
        <v>0</v>
      </c>
      <c r="M681" t="str">
        <f t="shared" si="43"/>
        <v/>
      </c>
      <c r="N681" t="str">
        <f>IF(OR($D681="",$S681=""),"",IFERROR(MAX(0,ROUND(($D681-INDEX(Config!$C$15:$C$18,MATCH($S681,Config!$B$15:$B$18,0)))*24*60,0)),""))</f>
        <v/>
      </c>
      <c r="O681" t="str">
        <f t="shared" si="44"/>
        <v/>
      </c>
      <c r="P681" t="str">
        <f t="shared" si="45"/>
        <v/>
      </c>
      <c r="Q681" t="str">
        <f>IF(OR($P681="",$S681=""),"",IFERROR($P681-INDEX(Config!$E$15:$E$18,MATCH($S681,Config!$B$15:$B$18,0)),""))</f>
        <v/>
      </c>
      <c r="R681" t="str">
        <f t="shared" si="46"/>
        <v/>
      </c>
      <c r="S681" s="6" t="str">
        <f>IF(OR($A681="",$C681=""),"",IFERROR(INDEX(Turno!$C$3:$V$32,MATCH($C681,Turno!$B$3:$B$32,0),MATCH(DAY($A681),Turno!$C$1:$V$1,0)),""))</f>
        <v/>
      </c>
      <c r="T681" t="str">
        <f>IF(OR($E681="",$S681=""),"",IFERROR(MAX(0,ROUND((INDEX(Config!$D$15:$D$18,MATCH($S681,Config!$B$15:$B$18,0))-$E681)*1440,0)),""))</f>
        <v/>
      </c>
      <c r="U681" s="13" t="str">
        <f>IF(OR($N681="",$T681=""),"",IFERROR(MAX(0,1-($N681+$T681+MAX(0,N($Q681)))/ROUND((INDEX(Config!$D$15:$D$18,MATCH($S681,Config!$B$15:$B$18,0))-INDEX(Config!$C$15:$C$18,MATCH($S681,Config!$B$15:$B$18,0)))*1440,0)),""))</f>
        <v/>
      </c>
      <c r="V681" s="5"/>
    </row>
    <row r="682" spans="1:22" x14ac:dyDescent="0.25">
      <c r="A682" s="11"/>
      <c r="B682" s="5"/>
      <c r="C682" s="6" t="str">
        <f>IFERROR(INDEX(Ejecutivos!$B$2:$B$100,MATCH(B682,Ejecutivos!$A$2:$A$100,0)),"")</f>
        <v/>
      </c>
      <c r="D682" s="12"/>
      <c r="E682" s="12"/>
      <c r="F682" s="12"/>
      <c r="G682" s="12"/>
      <c r="H682" s="5"/>
      <c r="I682" s="5"/>
      <c r="J682" s="5"/>
      <c r="K682" s="5"/>
      <c r="L682" s="18">
        <v>0</v>
      </c>
      <c r="M682" t="str">
        <f t="shared" si="43"/>
        <v/>
      </c>
      <c r="N682" t="str">
        <f>IF(OR($D682="",$S682=""),"",IFERROR(MAX(0,ROUND(($D682-INDEX(Config!$C$15:$C$18,MATCH($S682,Config!$B$15:$B$18,0)))*24*60,0)),""))</f>
        <v/>
      </c>
      <c r="O682" t="str">
        <f t="shared" si="44"/>
        <v/>
      </c>
      <c r="P682" t="str">
        <f t="shared" si="45"/>
        <v/>
      </c>
      <c r="Q682" t="str">
        <f>IF(OR($P682="",$S682=""),"",IFERROR($P682-INDEX(Config!$E$15:$E$18,MATCH($S682,Config!$B$15:$B$18,0)),""))</f>
        <v/>
      </c>
      <c r="R682" t="str">
        <f t="shared" si="46"/>
        <v/>
      </c>
      <c r="S682" s="6" t="str">
        <f>IF(OR($A682="",$C682=""),"",IFERROR(INDEX(Turno!$C$3:$V$32,MATCH($C682,Turno!$B$3:$B$32,0),MATCH(DAY($A682),Turno!$C$1:$V$1,0)),""))</f>
        <v/>
      </c>
      <c r="T682" t="str">
        <f>IF(OR($E682="",$S682=""),"",IFERROR(MAX(0,ROUND((INDEX(Config!$D$15:$D$18,MATCH($S682,Config!$B$15:$B$18,0))-$E682)*1440,0)),""))</f>
        <v/>
      </c>
      <c r="U682" s="13" t="str">
        <f>IF(OR($N682="",$T682=""),"",IFERROR(MAX(0,1-($N682+$T682+MAX(0,N($Q682)))/ROUND((INDEX(Config!$D$15:$D$18,MATCH($S682,Config!$B$15:$B$18,0))-INDEX(Config!$C$15:$C$18,MATCH($S682,Config!$B$15:$B$18,0)))*1440,0)),""))</f>
        <v/>
      </c>
      <c r="V682" s="5"/>
    </row>
    <row r="683" spans="1:22" x14ac:dyDescent="0.25">
      <c r="A683" s="11"/>
      <c r="B683" s="5"/>
      <c r="C683" s="6" t="str">
        <f>IFERROR(INDEX(Ejecutivos!$B$2:$B$100,MATCH(B683,Ejecutivos!$A$2:$A$100,0)),"")</f>
        <v/>
      </c>
      <c r="D683" s="12"/>
      <c r="E683" s="12"/>
      <c r="F683" s="12"/>
      <c r="G683" s="12"/>
      <c r="H683" s="5"/>
      <c r="I683" s="5"/>
      <c r="J683" s="5"/>
      <c r="K683" s="5"/>
      <c r="L683" s="18">
        <v>0</v>
      </c>
      <c r="M683" t="str">
        <f t="shared" si="43"/>
        <v/>
      </c>
      <c r="N683" t="str">
        <f>IF(OR($D683="",$S683=""),"",IFERROR(MAX(0,ROUND(($D683-INDEX(Config!$C$15:$C$18,MATCH($S683,Config!$B$15:$B$18,0)))*24*60,0)),""))</f>
        <v/>
      </c>
      <c r="O683" t="str">
        <f t="shared" si="44"/>
        <v/>
      </c>
      <c r="P683" t="str">
        <f t="shared" si="45"/>
        <v/>
      </c>
      <c r="Q683" t="str">
        <f>IF(OR($P683="",$S683=""),"",IFERROR($P683-INDEX(Config!$E$15:$E$18,MATCH($S683,Config!$B$15:$B$18,0)),""))</f>
        <v/>
      </c>
      <c r="R683" t="str">
        <f t="shared" si="46"/>
        <v/>
      </c>
      <c r="S683" s="6" t="str">
        <f>IF(OR($A683="",$C683=""),"",IFERROR(INDEX(Turno!$C$3:$V$32,MATCH($C683,Turno!$B$3:$B$32,0),MATCH(DAY($A683),Turno!$C$1:$V$1,0)),""))</f>
        <v/>
      </c>
      <c r="T683" t="str">
        <f>IF(OR($E683="",$S683=""),"",IFERROR(MAX(0,ROUND((INDEX(Config!$D$15:$D$18,MATCH($S683,Config!$B$15:$B$18,0))-$E683)*1440,0)),""))</f>
        <v/>
      </c>
      <c r="U683" s="13" t="str">
        <f>IF(OR($N683="",$T683=""),"",IFERROR(MAX(0,1-($N683+$T683+MAX(0,N($Q683)))/ROUND((INDEX(Config!$D$15:$D$18,MATCH($S683,Config!$B$15:$B$18,0))-INDEX(Config!$C$15:$C$18,MATCH($S683,Config!$B$15:$B$18,0)))*1440,0)),""))</f>
        <v/>
      </c>
      <c r="V683" s="5"/>
    </row>
    <row r="684" spans="1:22" x14ac:dyDescent="0.25">
      <c r="A684" s="11"/>
      <c r="B684" s="5"/>
      <c r="C684" s="6" t="str">
        <f>IFERROR(INDEX(Ejecutivos!$B$2:$B$100,MATCH(B684,Ejecutivos!$A$2:$A$100,0)),"")</f>
        <v/>
      </c>
      <c r="D684" s="12"/>
      <c r="E684" s="12"/>
      <c r="F684" s="12"/>
      <c r="G684" s="12"/>
      <c r="H684" s="5"/>
      <c r="I684" s="5"/>
      <c r="J684" s="5"/>
      <c r="K684" s="5"/>
      <c r="L684" s="18">
        <v>0</v>
      </c>
      <c r="M684" t="str">
        <f t="shared" si="43"/>
        <v/>
      </c>
      <c r="N684" t="str">
        <f>IF(OR($D684="",$S684=""),"",IFERROR(MAX(0,ROUND(($D684-INDEX(Config!$C$15:$C$18,MATCH($S684,Config!$B$15:$B$18,0)))*24*60,0)),""))</f>
        <v/>
      </c>
      <c r="O684" t="str">
        <f t="shared" si="44"/>
        <v/>
      </c>
      <c r="P684" t="str">
        <f t="shared" si="45"/>
        <v/>
      </c>
      <c r="Q684" t="str">
        <f>IF(OR($P684="",$S684=""),"",IFERROR($P684-INDEX(Config!$E$15:$E$18,MATCH($S684,Config!$B$15:$B$18,0)),""))</f>
        <v/>
      </c>
      <c r="R684" t="str">
        <f t="shared" si="46"/>
        <v/>
      </c>
      <c r="S684" s="6" t="str">
        <f>IF(OR($A684="",$C684=""),"",IFERROR(INDEX(Turno!$C$3:$V$32,MATCH($C684,Turno!$B$3:$B$32,0),MATCH(DAY($A684),Turno!$C$1:$V$1,0)),""))</f>
        <v/>
      </c>
      <c r="T684" t="str">
        <f>IF(OR($E684="",$S684=""),"",IFERROR(MAX(0,ROUND((INDEX(Config!$D$15:$D$18,MATCH($S684,Config!$B$15:$B$18,0))-$E684)*1440,0)),""))</f>
        <v/>
      </c>
      <c r="U684" s="13" t="str">
        <f>IF(OR($N684="",$T684=""),"",IFERROR(MAX(0,1-($N684+$T684+MAX(0,N($Q684)))/ROUND((INDEX(Config!$D$15:$D$18,MATCH($S684,Config!$B$15:$B$18,0))-INDEX(Config!$C$15:$C$18,MATCH($S684,Config!$B$15:$B$18,0)))*1440,0)),""))</f>
        <v/>
      </c>
      <c r="V684" s="5"/>
    </row>
    <row r="685" spans="1:22" x14ac:dyDescent="0.25">
      <c r="A685" s="11"/>
      <c r="B685" s="5"/>
      <c r="C685" s="6" t="str">
        <f>IFERROR(INDEX(Ejecutivos!$B$2:$B$100,MATCH(B685,Ejecutivos!$A$2:$A$100,0)),"")</f>
        <v/>
      </c>
      <c r="D685" s="12"/>
      <c r="E685" s="12"/>
      <c r="F685" s="12"/>
      <c r="G685" s="12"/>
      <c r="H685" s="5"/>
      <c r="I685" s="5"/>
      <c r="J685" s="5"/>
      <c r="K685" s="5"/>
      <c r="L685" s="18">
        <v>0</v>
      </c>
      <c r="M685" t="str">
        <f t="shared" si="43"/>
        <v/>
      </c>
      <c r="N685" t="str">
        <f>IF(OR($D685="",$S685=""),"",IFERROR(MAX(0,ROUND(($D685-INDEX(Config!$C$15:$C$18,MATCH($S685,Config!$B$15:$B$18,0)))*24*60,0)),""))</f>
        <v/>
      </c>
      <c r="O685" t="str">
        <f t="shared" si="44"/>
        <v/>
      </c>
      <c r="P685" t="str">
        <f t="shared" si="45"/>
        <v/>
      </c>
      <c r="Q685" t="str">
        <f>IF(OR($P685="",$S685=""),"",IFERROR($P685-INDEX(Config!$E$15:$E$18,MATCH($S685,Config!$B$15:$B$18,0)),""))</f>
        <v/>
      </c>
      <c r="R685" t="str">
        <f t="shared" si="46"/>
        <v/>
      </c>
      <c r="S685" s="6" t="str">
        <f>IF(OR($A685="",$C685=""),"",IFERROR(INDEX(Turno!$C$3:$V$32,MATCH($C685,Turno!$B$3:$B$32,0),MATCH(DAY($A685),Turno!$C$1:$V$1,0)),""))</f>
        <v/>
      </c>
      <c r="T685" t="str">
        <f>IF(OR($E685="",$S685=""),"",IFERROR(MAX(0,ROUND((INDEX(Config!$D$15:$D$18,MATCH($S685,Config!$B$15:$B$18,0))-$E685)*1440,0)),""))</f>
        <v/>
      </c>
      <c r="U685" s="13" t="str">
        <f>IF(OR($N685="",$T685=""),"",IFERROR(MAX(0,1-($N685+$T685+MAX(0,N($Q685)))/ROUND((INDEX(Config!$D$15:$D$18,MATCH($S685,Config!$B$15:$B$18,0))-INDEX(Config!$C$15:$C$18,MATCH($S685,Config!$B$15:$B$18,0)))*1440,0)),""))</f>
        <v/>
      </c>
      <c r="V685" s="5"/>
    </row>
    <row r="686" spans="1:22" x14ac:dyDescent="0.25">
      <c r="A686" s="11"/>
      <c r="B686" s="5"/>
      <c r="C686" s="6" t="str">
        <f>IFERROR(INDEX(Ejecutivos!$B$2:$B$100,MATCH(B686,Ejecutivos!$A$2:$A$100,0)),"")</f>
        <v/>
      </c>
      <c r="D686" s="12"/>
      <c r="E686" s="12"/>
      <c r="F686" s="12"/>
      <c r="G686" s="12"/>
      <c r="H686" s="5"/>
      <c r="I686" s="5"/>
      <c r="J686" s="5"/>
      <c r="K686" s="5"/>
      <c r="L686" s="18">
        <v>0</v>
      </c>
      <c r="M686" t="str">
        <f t="shared" si="43"/>
        <v/>
      </c>
      <c r="N686" t="str">
        <f>IF(OR($D686="",$S686=""),"",IFERROR(MAX(0,ROUND(($D686-INDEX(Config!$C$15:$C$18,MATCH($S686,Config!$B$15:$B$18,0)))*24*60,0)),""))</f>
        <v/>
      </c>
      <c r="O686" t="str">
        <f t="shared" si="44"/>
        <v/>
      </c>
      <c r="P686" t="str">
        <f t="shared" si="45"/>
        <v/>
      </c>
      <c r="Q686" t="str">
        <f>IF(OR($P686="",$S686=""),"",IFERROR($P686-INDEX(Config!$E$15:$E$18,MATCH($S686,Config!$B$15:$B$18,0)),""))</f>
        <v/>
      </c>
      <c r="R686" t="str">
        <f t="shared" si="46"/>
        <v/>
      </c>
      <c r="S686" s="6" t="str">
        <f>IF(OR($A686="",$C686=""),"",IFERROR(INDEX(Turno!$C$3:$V$32,MATCH($C686,Turno!$B$3:$B$32,0),MATCH(DAY($A686),Turno!$C$1:$V$1,0)),""))</f>
        <v/>
      </c>
      <c r="T686" t="str">
        <f>IF(OR($E686="",$S686=""),"",IFERROR(MAX(0,ROUND((INDEX(Config!$D$15:$D$18,MATCH($S686,Config!$B$15:$B$18,0))-$E686)*1440,0)),""))</f>
        <v/>
      </c>
      <c r="U686" s="13" t="str">
        <f>IF(OR($N686="",$T686=""),"",IFERROR(MAX(0,1-($N686+$T686+MAX(0,N($Q686)))/ROUND((INDEX(Config!$D$15:$D$18,MATCH($S686,Config!$B$15:$B$18,0))-INDEX(Config!$C$15:$C$18,MATCH($S686,Config!$B$15:$B$18,0)))*1440,0)),""))</f>
        <v/>
      </c>
      <c r="V686" s="5"/>
    </row>
    <row r="687" spans="1:22" x14ac:dyDescent="0.25">
      <c r="A687" s="11"/>
      <c r="B687" s="5"/>
      <c r="C687" s="6" t="str">
        <f>IFERROR(INDEX(Ejecutivos!$B$2:$B$100,MATCH(B687,Ejecutivos!$A$2:$A$100,0)),"")</f>
        <v/>
      </c>
      <c r="D687" s="12"/>
      <c r="E687" s="12"/>
      <c r="F687" s="12"/>
      <c r="G687" s="12"/>
      <c r="H687" s="5"/>
      <c r="I687" s="5"/>
      <c r="J687" s="5"/>
      <c r="K687" s="5"/>
      <c r="L687" s="18">
        <v>0</v>
      </c>
      <c r="M687" t="str">
        <f t="shared" si="43"/>
        <v/>
      </c>
      <c r="N687" t="str">
        <f>IF(OR($D687="",$S687=""),"",IFERROR(MAX(0,ROUND(($D687-INDEX(Config!$C$15:$C$18,MATCH($S687,Config!$B$15:$B$18,0)))*24*60,0)),""))</f>
        <v/>
      </c>
      <c r="O687" t="str">
        <f t="shared" si="44"/>
        <v/>
      </c>
      <c r="P687" t="str">
        <f t="shared" si="45"/>
        <v/>
      </c>
      <c r="Q687" t="str">
        <f>IF(OR($P687="",$S687=""),"",IFERROR($P687-INDEX(Config!$E$15:$E$18,MATCH($S687,Config!$B$15:$B$18,0)),""))</f>
        <v/>
      </c>
      <c r="R687" t="str">
        <f t="shared" si="46"/>
        <v/>
      </c>
      <c r="S687" s="6" t="str">
        <f>IF(OR($A687="",$C687=""),"",IFERROR(INDEX(Turno!$C$3:$V$32,MATCH($C687,Turno!$B$3:$B$32,0),MATCH(DAY($A687),Turno!$C$1:$V$1,0)),""))</f>
        <v/>
      </c>
      <c r="T687" t="str">
        <f>IF(OR($E687="",$S687=""),"",IFERROR(MAX(0,ROUND((INDEX(Config!$D$15:$D$18,MATCH($S687,Config!$B$15:$B$18,0))-$E687)*1440,0)),""))</f>
        <v/>
      </c>
      <c r="U687" s="13" t="str">
        <f>IF(OR($N687="",$T687=""),"",IFERROR(MAX(0,1-($N687+$T687+MAX(0,N($Q687)))/ROUND((INDEX(Config!$D$15:$D$18,MATCH($S687,Config!$B$15:$B$18,0))-INDEX(Config!$C$15:$C$18,MATCH($S687,Config!$B$15:$B$18,0)))*1440,0)),""))</f>
        <v/>
      </c>
      <c r="V687" s="5"/>
    </row>
    <row r="688" spans="1:22" x14ac:dyDescent="0.25">
      <c r="A688" s="11"/>
      <c r="B688" s="5"/>
      <c r="C688" s="6" t="str">
        <f>IFERROR(INDEX(Ejecutivos!$B$2:$B$100,MATCH(B688,Ejecutivos!$A$2:$A$100,0)),"")</f>
        <v/>
      </c>
      <c r="D688" s="12"/>
      <c r="E688" s="12"/>
      <c r="F688" s="12"/>
      <c r="G688" s="12"/>
      <c r="H688" s="5"/>
      <c r="I688" s="5"/>
      <c r="J688" s="5"/>
      <c r="K688" s="5"/>
      <c r="L688" s="18">
        <v>0</v>
      </c>
      <c r="M688" t="str">
        <f t="shared" si="43"/>
        <v/>
      </c>
      <c r="N688" t="str">
        <f>IF(OR($D688="",$S688=""),"",IFERROR(MAX(0,ROUND(($D688-INDEX(Config!$C$15:$C$18,MATCH($S688,Config!$B$15:$B$18,0)))*24*60,0)),""))</f>
        <v/>
      </c>
      <c r="O688" t="str">
        <f t="shared" si="44"/>
        <v/>
      </c>
      <c r="P688" t="str">
        <f t="shared" si="45"/>
        <v/>
      </c>
      <c r="Q688" t="str">
        <f>IF(OR($P688="",$S688=""),"",IFERROR($P688-INDEX(Config!$E$15:$E$18,MATCH($S688,Config!$B$15:$B$18,0)),""))</f>
        <v/>
      </c>
      <c r="R688" t="str">
        <f t="shared" si="46"/>
        <v/>
      </c>
      <c r="S688" s="6" t="str">
        <f>IF(OR($A688="",$C688=""),"",IFERROR(INDEX(Turno!$C$3:$V$32,MATCH($C688,Turno!$B$3:$B$32,0),MATCH(DAY($A688),Turno!$C$1:$V$1,0)),""))</f>
        <v/>
      </c>
      <c r="T688" t="str">
        <f>IF(OR($E688="",$S688=""),"",IFERROR(MAX(0,ROUND((INDEX(Config!$D$15:$D$18,MATCH($S688,Config!$B$15:$B$18,0))-$E688)*1440,0)),""))</f>
        <v/>
      </c>
      <c r="U688" s="13" t="str">
        <f>IF(OR($N688="",$T688=""),"",IFERROR(MAX(0,1-($N688+$T688+MAX(0,N($Q688)))/ROUND((INDEX(Config!$D$15:$D$18,MATCH($S688,Config!$B$15:$B$18,0))-INDEX(Config!$C$15:$C$18,MATCH($S688,Config!$B$15:$B$18,0)))*1440,0)),""))</f>
        <v/>
      </c>
      <c r="V688" s="5"/>
    </row>
    <row r="689" spans="1:22" x14ac:dyDescent="0.25">
      <c r="A689" s="11"/>
      <c r="B689" s="5"/>
      <c r="C689" s="6" t="str">
        <f>IFERROR(INDEX(Ejecutivos!$B$2:$B$100,MATCH(B689,Ejecutivos!$A$2:$A$100,0)),"")</f>
        <v/>
      </c>
      <c r="D689" s="12"/>
      <c r="E689" s="12"/>
      <c r="F689" s="12"/>
      <c r="G689" s="12"/>
      <c r="H689" s="5"/>
      <c r="I689" s="5"/>
      <c r="J689" s="5"/>
      <c r="K689" s="5"/>
      <c r="L689" s="18">
        <v>0</v>
      </c>
      <c r="M689" t="str">
        <f t="shared" si="43"/>
        <v/>
      </c>
      <c r="N689" t="str">
        <f>IF(OR($D689="",$S689=""),"",IFERROR(MAX(0,ROUND(($D689-INDEX(Config!$C$15:$C$18,MATCH($S689,Config!$B$15:$B$18,0)))*24*60,0)),""))</f>
        <v/>
      </c>
      <c r="O689" t="str">
        <f t="shared" si="44"/>
        <v/>
      </c>
      <c r="P689" t="str">
        <f t="shared" si="45"/>
        <v/>
      </c>
      <c r="Q689" t="str">
        <f>IF(OR($P689="",$S689=""),"",IFERROR($P689-INDEX(Config!$E$15:$E$18,MATCH($S689,Config!$B$15:$B$18,0)),""))</f>
        <v/>
      </c>
      <c r="R689" t="str">
        <f t="shared" si="46"/>
        <v/>
      </c>
      <c r="S689" s="6" t="str">
        <f>IF(OR($A689="",$C689=""),"",IFERROR(INDEX(Turno!$C$3:$V$32,MATCH($C689,Turno!$B$3:$B$32,0),MATCH(DAY($A689),Turno!$C$1:$V$1,0)),""))</f>
        <v/>
      </c>
      <c r="T689" t="str">
        <f>IF(OR($E689="",$S689=""),"",IFERROR(MAX(0,ROUND((INDEX(Config!$D$15:$D$18,MATCH($S689,Config!$B$15:$B$18,0))-$E689)*1440,0)),""))</f>
        <v/>
      </c>
      <c r="U689" s="13" t="str">
        <f>IF(OR($N689="",$T689=""),"",IFERROR(MAX(0,1-($N689+$T689+MAX(0,N($Q689)))/ROUND((INDEX(Config!$D$15:$D$18,MATCH($S689,Config!$B$15:$B$18,0))-INDEX(Config!$C$15:$C$18,MATCH($S689,Config!$B$15:$B$18,0)))*1440,0)),""))</f>
        <v/>
      </c>
      <c r="V689" s="5"/>
    </row>
    <row r="690" spans="1:22" x14ac:dyDescent="0.25">
      <c r="A690" s="11"/>
      <c r="B690" s="5"/>
      <c r="C690" s="6" t="str">
        <f>IFERROR(INDEX(Ejecutivos!$B$2:$B$100,MATCH(B690,Ejecutivos!$A$2:$A$100,0)),"")</f>
        <v/>
      </c>
      <c r="D690" s="12"/>
      <c r="E690" s="12"/>
      <c r="F690" s="12"/>
      <c r="G690" s="12"/>
      <c r="H690" s="5"/>
      <c r="I690" s="5"/>
      <c r="J690" s="5"/>
      <c r="K690" s="5"/>
      <c r="L690" s="18">
        <v>0</v>
      </c>
      <c r="M690" t="str">
        <f t="shared" si="43"/>
        <v/>
      </c>
      <c r="N690" t="str">
        <f>IF(OR($D690="",$S690=""),"",IFERROR(MAX(0,ROUND(($D690-INDEX(Config!$C$15:$C$18,MATCH($S690,Config!$B$15:$B$18,0)))*24*60,0)),""))</f>
        <v/>
      </c>
      <c r="O690" t="str">
        <f t="shared" si="44"/>
        <v/>
      </c>
      <c r="P690" t="str">
        <f t="shared" si="45"/>
        <v/>
      </c>
      <c r="Q690" t="str">
        <f>IF(OR($P690="",$S690=""),"",IFERROR($P690-INDEX(Config!$E$15:$E$18,MATCH($S690,Config!$B$15:$B$18,0)),""))</f>
        <v/>
      </c>
      <c r="R690" t="str">
        <f t="shared" si="46"/>
        <v/>
      </c>
      <c r="S690" s="6" t="str">
        <f>IF(OR($A690="",$C690=""),"",IFERROR(INDEX(Turno!$C$3:$V$32,MATCH($C690,Turno!$B$3:$B$32,0),MATCH(DAY($A690),Turno!$C$1:$V$1,0)),""))</f>
        <v/>
      </c>
      <c r="T690" t="str">
        <f>IF(OR($E690="",$S690=""),"",IFERROR(MAX(0,ROUND((INDEX(Config!$D$15:$D$18,MATCH($S690,Config!$B$15:$B$18,0))-$E690)*1440,0)),""))</f>
        <v/>
      </c>
      <c r="U690" s="13" t="str">
        <f>IF(OR($N690="",$T690=""),"",IFERROR(MAX(0,1-($N690+$T690+MAX(0,N($Q690)))/ROUND((INDEX(Config!$D$15:$D$18,MATCH($S690,Config!$B$15:$B$18,0))-INDEX(Config!$C$15:$C$18,MATCH($S690,Config!$B$15:$B$18,0)))*1440,0)),""))</f>
        <v/>
      </c>
      <c r="V690" s="5"/>
    </row>
    <row r="691" spans="1:22" x14ac:dyDescent="0.25">
      <c r="A691" s="11"/>
      <c r="B691" s="5"/>
      <c r="C691" s="6" t="str">
        <f>IFERROR(INDEX(Ejecutivos!$B$2:$B$100,MATCH(B691,Ejecutivos!$A$2:$A$100,0)),"")</f>
        <v/>
      </c>
      <c r="D691" s="12"/>
      <c r="E691" s="12"/>
      <c r="F691" s="12"/>
      <c r="G691" s="12"/>
      <c r="H691" s="5"/>
      <c r="I691" s="5"/>
      <c r="J691" s="5"/>
      <c r="K691" s="5"/>
      <c r="L691" s="18">
        <v>0</v>
      </c>
      <c r="M691" t="str">
        <f t="shared" si="43"/>
        <v/>
      </c>
      <c r="N691" t="str">
        <f>IF(OR($D691="",$S691=""),"",IFERROR(MAX(0,ROUND(($D691-INDEX(Config!$C$15:$C$18,MATCH($S691,Config!$B$15:$B$18,0)))*24*60,0)),""))</f>
        <v/>
      </c>
      <c r="O691" t="str">
        <f t="shared" si="44"/>
        <v/>
      </c>
      <c r="P691" t="str">
        <f t="shared" si="45"/>
        <v/>
      </c>
      <c r="Q691" t="str">
        <f>IF(OR($P691="",$S691=""),"",IFERROR($P691-INDEX(Config!$E$15:$E$18,MATCH($S691,Config!$B$15:$B$18,0)),""))</f>
        <v/>
      </c>
      <c r="R691" t="str">
        <f t="shared" si="46"/>
        <v/>
      </c>
      <c r="S691" s="6" t="str">
        <f>IF(OR($A691="",$C691=""),"",IFERROR(INDEX(Turno!$C$3:$V$32,MATCH($C691,Turno!$B$3:$B$32,0),MATCH(DAY($A691),Turno!$C$1:$V$1,0)),""))</f>
        <v/>
      </c>
      <c r="T691" t="str">
        <f>IF(OR($E691="",$S691=""),"",IFERROR(MAX(0,ROUND((INDEX(Config!$D$15:$D$18,MATCH($S691,Config!$B$15:$B$18,0))-$E691)*1440,0)),""))</f>
        <v/>
      </c>
      <c r="U691" s="13" t="str">
        <f>IF(OR($N691="",$T691=""),"",IFERROR(MAX(0,1-($N691+$T691+MAX(0,N($Q691)))/ROUND((INDEX(Config!$D$15:$D$18,MATCH($S691,Config!$B$15:$B$18,0))-INDEX(Config!$C$15:$C$18,MATCH($S691,Config!$B$15:$B$18,0)))*1440,0)),""))</f>
        <v/>
      </c>
      <c r="V691" s="5"/>
    </row>
    <row r="692" spans="1:22" x14ac:dyDescent="0.25">
      <c r="A692" s="11"/>
      <c r="B692" s="5"/>
      <c r="C692" s="6" t="str">
        <f>IFERROR(INDEX(Ejecutivos!$B$2:$B$100,MATCH(B692,Ejecutivos!$A$2:$A$100,0)),"")</f>
        <v/>
      </c>
      <c r="D692" s="12"/>
      <c r="E692" s="12"/>
      <c r="F692" s="12"/>
      <c r="G692" s="12"/>
      <c r="H692" s="5"/>
      <c r="I692" s="5"/>
      <c r="J692" s="5"/>
      <c r="K692" s="5"/>
      <c r="L692" s="18">
        <v>0</v>
      </c>
      <c r="M692" t="str">
        <f t="shared" si="43"/>
        <v/>
      </c>
      <c r="N692" t="str">
        <f>IF(OR($D692="",$S692=""),"",IFERROR(MAX(0,ROUND(($D692-INDEX(Config!$C$15:$C$18,MATCH($S692,Config!$B$15:$B$18,0)))*24*60,0)),""))</f>
        <v/>
      </c>
      <c r="O692" t="str">
        <f t="shared" si="44"/>
        <v/>
      </c>
      <c r="P692" t="str">
        <f t="shared" si="45"/>
        <v/>
      </c>
      <c r="Q692" t="str">
        <f>IF(OR($P692="",$S692=""),"",IFERROR($P692-INDEX(Config!$E$15:$E$18,MATCH($S692,Config!$B$15:$B$18,0)),""))</f>
        <v/>
      </c>
      <c r="R692" t="str">
        <f t="shared" si="46"/>
        <v/>
      </c>
      <c r="S692" s="6" t="str">
        <f>IF(OR($A692="",$C692=""),"",IFERROR(INDEX(Turno!$C$3:$V$32,MATCH($C692,Turno!$B$3:$B$32,0),MATCH(DAY($A692),Turno!$C$1:$V$1,0)),""))</f>
        <v/>
      </c>
      <c r="T692" t="str">
        <f>IF(OR($E692="",$S692=""),"",IFERROR(MAX(0,ROUND((INDEX(Config!$D$15:$D$18,MATCH($S692,Config!$B$15:$B$18,0))-$E692)*1440,0)),""))</f>
        <v/>
      </c>
      <c r="U692" s="13" t="str">
        <f>IF(OR($N692="",$T692=""),"",IFERROR(MAX(0,1-($N692+$T692+MAX(0,N($Q692)))/ROUND((INDEX(Config!$D$15:$D$18,MATCH($S692,Config!$B$15:$B$18,0))-INDEX(Config!$C$15:$C$18,MATCH($S692,Config!$B$15:$B$18,0)))*1440,0)),""))</f>
        <v/>
      </c>
      <c r="V692" s="5"/>
    </row>
    <row r="693" spans="1:22" x14ac:dyDescent="0.25">
      <c r="A693" s="11"/>
      <c r="B693" s="5"/>
      <c r="C693" s="6" t="str">
        <f>IFERROR(INDEX(Ejecutivos!$B$2:$B$100,MATCH(B693,Ejecutivos!$A$2:$A$100,0)),"")</f>
        <v/>
      </c>
      <c r="D693" s="12"/>
      <c r="E693" s="12"/>
      <c r="F693" s="12"/>
      <c r="G693" s="12"/>
      <c r="H693" s="5"/>
      <c r="I693" s="5"/>
      <c r="J693" s="5"/>
      <c r="K693" s="5"/>
      <c r="L693" s="18">
        <v>0</v>
      </c>
      <c r="M693" t="str">
        <f t="shared" ref="M693:M756" si="47">IF(OR(D693="",E693=""),"",ROUND(((E693-D693)*24)-((G693-F693)*24)-((H693+I693)/60),2))</f>
        <v/>
      </c>
      <c r="N693" t="str">
        <f>IF(OR($D693="",$S693=""),"",IFERROR(MAX(0,ROUND(($D693-INDEX(Config!$C$15:$C$18,MATCH($S693,Config!$B$15:$B$18,0)))*24*60,0)),""))</f>
        <v/>
      </c>
      <c r="O693" t="str">
        <f t="shared" ref="O693:O756" si="48">IF(OR(F693="",G693=""),"",ROUND((G693-F693)*24*60,0))</f>
        <v/>
      </c>
      <c r="P693" t="str">
        <f t="shared" ref="P693:P756" si="49">IF(O693="","",O693+H693+I693)</f>
        <v/>
      </c>
      <c r="Q693" t="str">
        <f>IF(OR($P693="",$S693=""),"",IFERROR($P693-INDEX(Config!$E$15:$E$18,MATCH($S693,Config!$B$15:$B$18,0)),""))</f>
        <v/>
      </c>
      <c r="R693" t="str">
        <f t="shared" ref="R693:R756" si="50">IF($A693="","",IF($D693="","Ausente",IF($N693="","",IF($N693&gt;0,"Atrasado","Puntual"))))</f>
        <v/>
      </c>
      <c r="S693" s="6" t="str">
        <f>IF(OR($A693="",$C693=""),"",IFERROR(INDEX(Turno!$C$3:$V$32,MATCH($C693,Turno!$B$3:$B$32,0),MATCH(DAY($A693),Turno!$C$1:$V$1,0)),""))</f>
        <v/>
      </c>
      <c r="T693" t="str">
        <f>IF(OR($E693="",$S693=""),"",IFERROR(MAX(0,ROUND((INDEX(Config!$D$15:$D$18,MATCH($S693,Config!$B$15:$B$18,0))-$E693)*1440,0)),""))</f>
        <v/>
      </c>
      <c r="U693" s="13" t="str">
        <f>IF(OR($N693="",$T693=""),"",IFERROR(MAX(0,1-($N693+$T693+MAX(0,N($Q693)))/ROUND((INDEX(Config!$D$15:$D$18,MATCH($S693,Config!$B$15:$B$18,0))-INDEX(Config!$C$15:$C$18,MATCH($S693,Config!$B$15:$B$18,0)))*1440,0)),""))</f>
        <v/>
      </c>
      <c r="V693" s="5"/>
    </row>
    <row r="694" spans="1:22" x14ac:dyDescent="0.25">
      <c r="A694" s="11"/>
      <c r="B694" s="5"/>
      <c r="C694" s="6" t="str">
        <f>IFERROR(INDEX(Ejecutivos!$B$2:$B$100,MATCH(B694,Ejecutivos!$A$2:$A$100,0)),"")</f>
        <v/>
      </c>
      <c r="D694" s="12"/>
      <c r="E694" s="12"/>
      <c r="F694" s="12"/>
      <c r="G694" s="12"/>
      <c r="H694" s="5"/>
      <c r="I694" s="5"/>
      <c r="J694" s="5"/>
      <c r="K694" s="5"/>
      <c r="L694" s="18">
        <v>0</v>
      </c>
      <c r="M694" t="str">
        <f t="shared" si="47"/>
        <v/>
      </c>
      <c r="N694" t="str">
        <f>IF(OR($D694="",$S694=""),"",IFERROR(MAX(0,ROUND(($D694-INDEX(Config!$C$15:$C$18,MATCH($S694,Config!$B$15:$B$18,0)))*24*60,0)),""))</f>
        <v/>
      </c>
      <c r="O694" t="str">
        <f t="shared" si="48"/>
        <v/>
      </c>
      <c r="P694" t="str">
        <f t="shared" si="49"/>
        <v/>
      </c>
      <c r="Q694" t="str">
        <f>IF(OR($P694="",$S694=""),"",IFERROR($P694-INDEX(Config!$E$15:$E$18,MATCH($S694,Config!$B$15:$B$18,0)),""))</f>
        <v/>
      </c>
      <c r="R694" t="str">
        <f t="shared" si="50"/>
        <v/>
      </c>
      <c r="S694" s="6" t="str">
        <f>IF(OR($A694="",$C694=""),"",IFERROR(INDEX(Turno!$C$3:$V$32,MATCH($C694,Turno!$B$3:$B$32,0),MATCH(DAY($A694),Turno!$C$1:$V$1,0)),""))</f>
        <v/>
      </c>
      <c r="T694" t="str">
        <f>IF(OR($E694="",$S694=""),"",IFERROR(MAX(0,ROUND((INDEX(Config!$D$15:$D$18,MATCH($S694,Config!$B$15:$B$18,0))-$E694)*1440,0)),""))</f>
        <v/>
      </c>
      <c r="U694" s="13" t="str">
        <f>IF(OR($N694="",$T694=""),"",IFERROR(MAX(0,1-($N694+$T694+MAX(0,N($Q694)))/ROUND((INDEX(Config!$D$15:$D$18,MATCH($S694,Config!$B$15:$B$18,0))-INDEX(Config!$C$15:$C$18,MATCH($S694,Config!$B$15:$B$18,0)))*1440,0)),""))</f>
        <v/>
      </c>
      <c r="V694" s="5"/>
    </row>
    <row r="695" spans="1:22" x14ac:dyDescent="0.25">
      <c r="A695" s="11"/>
      <c r="B695" s="5"/>
      <c r="C695" s="6" t="str">
        <f>IFERROR(INDEX(Ejecutivos!$B$2:$B$100,MATCH(B695,Ejecutivos!$A$2:$A$100,0)),"")</f>
        <v/>
      </c>
      <c r="D695" s="12"/>
      <c r="E695" s="12"/>
      <c r="F695" s="12"/>
      <c r="G695" s="12"/>
      <c r="H695" s="5"/>
      <c r="I695" s="5"/>
      <c r="J695" s="5"/>
      <c r="K695" s="5"/>
      <c r="L695" s="18">
        <v>0</v>
      </c>
      <c r="M695" t="str">
        <f t="shared" si="47"/>
        <v/>
      </c>
      <c r="N695" t="str">
        <f>IF(OR($D695="",$S695=""),"",IFERROR(MAX(0,ROUND(($D695-INDEX(Config!$C$15:$C$18,MATCH($S695,Config!$B$15:$B$18,0)))*24*60,0)),""))</f>
        <v/>
      </c>
      <c r="O695" t="str">
        <f t="shared" si="48"/>
        <v/>
      </c>
      <c r="P695" t="str">
        <f t="shared" si="49"/>
        <v/>
      </c>
      <c r="Q695" t="str">
        <f>IF(OR($P695="",$S695=""),"",IFERROR($P695-INDEX(Config!$E$15:$E$18,MATCH($S695,Config!$B$15:$B$18,0)),""))</f>
        <v/>
      </c>
      <c r="R695" t="str">
        <f t="shared" si="50"/>
        <v/>
      </c>
      <c r="S695" s="6" t="str">
        <f>IF(OR($A695="",$C695=""),"",IFERROR(INDEX(Turno!$C$3:$V$32,MATCH($C695,Turno!$B$3:$B$32,0),MATCH(DAY($A695),Turno!$C$1:$V$1,0)),""))</f>
        <v/>
      </c>
      <c r="T695" t="str">
        <f>IF(OR($E695="",$S695=""),"",IFERROR(MAX(0,ROUND((INDEX(Config!$D$15:$D$18,MATCH($S695,Config!$B$15:$B$18,0))-$E695)*1440,0)),""))</f>
        <v/>
      </c>
      <c r="U695" s="13" t="str">
        <f>IF(OR($N695="",$T695=""),"",IFERROR(MAX(0,1-($N695+$T695+MAX(0,N($Q695)))/ROUND((INDEX(Config!$D$15:$D$18,MATCH($S695,Config!$B$15:$B$18,0))-INDEX(Config!$C$15:$C$18,MATCH($S695,Config!$B$15:$B$18,0)))*1440,0)),""))</f>
        <v/>
      </c>
      <c r="V695" s="5"/>
    </row>
    <row r="696" spans="1:22" x14ac:dyDescent="0.25">
      <c r="A696" s="11"/>
      <c r="B696" s="5"/>
      <c r="C696" s="6" t="str">
        <f>IFERROR(INDEX(Ejecutivos!$B$2:$B$100,MATCH(B696,Ejecutivos!$A$2:$A$100,0)),"")</f>
        <v/>
      </c>
      <c r="D696" s="12"/>
      <c r="E696" s="12"/>
      <c r="F696" s="12"/>
      <c r="G696" s="12"/>
      <c r="H696" s="5"/>
      <c r="I696" s="5"/>
      <c r="J696" s="5"/>
      <c r="K696" s="5"/>
      <c r="L696" s="18">
        <v>0</v>
      </c>
      <c r="M696" t="str">
        <f t="shared" si="47"/>
        <v/>
      </c>
      <c r="N696" t="str">
        <f>IF(OR($D696="",$S696=""),"",IFERROR(MAX(0,ROUND(($D696-INDEX(Config!$C$15:$C$18,MATCH($S696,Config!$B$15:$B$18,0)))*24*60,0)),""))</f>
        <v/>
      </c>
      <c r="O696" t="str">
        <f t="shared" si="48"/>
        <v/>
      </c>
      <c r="P696" t="str">
        <f t="shared" si="49"/>
        <v/>
      </c>
      <c r="Q696" t="str">
        <f>IF(OR($P696="",$S696=""),"",IFERROR($P696-INDEX(Config!$E$15:$E$18,MATCH($S696,Config!$B$15:$B$18,0)),""))</f>
        <v/>
      </c>
      <c r="R696" t="str">
        <f t="shared" si="50"/>
        <v/>
      </c>
      <c r="S696" s="6" t="str">
        <f>IF(OR($A696="",$C696=""),"",IFERROR(INDEX(Turno!$C$3:$V$32,MATCH($C696,Turno!$B$3:$B$32,0),MATCH(DAY($A696),Turno!$C$1:$V$1,0)),""))</f>
        <v/>
      </c>
      <c r="T696" t="str">
        <f>IF(OR($E696="",$S696=""),"",IFERROR(MAX(0,ROUND((INDEX(Config!$D$15:$D$18,MATCH($S696,Config!$B$15:$B$18,0))-$E696)*1440,0)),""))</f>
        <v/>
      </c>
      <c r="U696" s="13" t="str">
        <f>IF(OR($N696="",$T696=""),"",IFERROR(MAX(0,1-($N696+$T696+MAX(0,N($Q696)))/ROUND((INDEX(Config!$D$15:$D$18,MATCH($S696,Config!$B$15:$B$18,0))-INDEX(Config!$C$15:$C$18,MATCH($S696,Config!$B$15:$B$18,0)))*1440,0)),""))</f>
        <v/>
      </c>
      <c r="V696" s="5"/>
    </row>
    <row r="697" spans="1:22" x14ac:dyDescent="0.25">
      <c r="A697" s="11"/>
      <c r="B697" s="5"/>
      <c r="C697" s="6" t="str">
        <f>IFERROR(INDEX(Ejecutivos!$B$2:$B$100,MATCH(B697,Ejecutivos!$A$2:$A$100,0)),"")</f>
        <v/>
      </c>
      <c r="D697" s="12"/>
      <c r="E697" s="12"/>
      <c r="F697" s="12"/>
      <c r="G697" s="12"/>
      <c r="H697" s="5"/>
      <c r="I697" s="5"/>
      <c r="J697" s="5"/>
      <c r="K697" s="5"/>
      <c r="L697" s="18">
        <v>0</v>
      </c>
      <c r="M697" t="str">
        <f t="shared" si="47"/>
        <v/>
      </c>
      <c r="N697" t="str">
        <f>IF(OR($D697="",$S697=""),"",IFERROR(MAX(0,ROUND(($D697-INDEX(Config!$C$15:$C$18,MATCH($S697,Config!$B$15:$B$18,0)))*24*60,0)),""))</f>
        <v/>
      </c>
      <c r="O697" t="str">
        <f t="shared" si="48"/>
        <v/>
      </c>
      <c r="P697" t="str">
        <f t="shared" si="49"/>
        <v/>
      </c>
      <c r="Q697" t="str">
        <f>IF(OR($P697="",$S697=""),"",IFERROR($P697-INDEX(Config!$E$15:$E$18,MATCH($S697,Config!$B$15:$B$18,0)),""))</f>
        <v/>
      </c>
      <c r="R697" t="str">
        <f t="shared" si="50"/>
        <v/>
      </c>
      <c r="S697" s="6" t="str">
        <f>IF(OR($A697="",$C697=""),"",IFERROR(INDEX(Turno!$C$3:$V$32,MATCH($C697,Turno!$B$3:$B$32,0),MATCH(DAY($A697),Turno!$C$1:$V$1,0)),""))</f>
        <v/>
      </c>
      <c r="T697" t="str">
        <f>IF(OR($E697="",$S697=""),"",IFERROR(MAX(0,ROUND((INDEX(Config!$D$15:$D$18,MATCH($S697,Config!$B$15:$B$18,0))-$E697)*1440,0)),""))</f>
        <v/>
      </c>
      <c r="U697" s="13" t="str">
        <f>IF(OR($N697="",$T697=""),"",IFERROR(MAX(0,1-($N697+$T697+MAX(0,N($Q697)))/ROUND((INDEX(Config!$D$15:$D$18,MATCH($S697,Config!$B$15:$B$18,0))-INDEX(Config!$C$15:$C$18,MATCH($S697,Config!$B$15:$B$18,0)))*1440,0)),""))</f>
        <v/>
      </c>
      <c r="V697" s="5"/>
    </row>
    <row r="698" spans="1:22" x14ac:dyDescent="0.25">
      <c r="A698" s="11"/>
      <c r="B698" s="5"/>
      <c r="C698" s="6" t="str">
        <f>IFERROR(INDEX(Ejecutivos!$B$2:$B$100,MATCH(B698,Ejecutivos!$A$2:$A$100,0)),"")</f>
        <v/>
      </c>
      <c r="D698" s="12"/>
      <c r="E698" s="12"/>
      <c r="F698" s="12"/>
      <c r="G698" s="12"/>
      <c r="H698" s="5"/>
      <c r="I698" s="5"/>
      <c r="J698" s="5"/>
      <c r="K698" s="5"/>
      <c r="L698" s="18">
        <v>0</v>
      </c>
      <c r="M698" t="str">
        <f t="shared" si="47"/>
        <v/>
      </c>
      <c r="N698" t="str">
        <f>IF(OR($D698="",$S698=""),"",IFERROR(MAX(0,ROUND(($D698-INDEX(Config!$C$15:$C$18,MATCH($S698,Config!$B$15:$B$18,0)))*24*60,0)),""))</f>
        <v/>
      </c>
      <c r="O698" t="str">
        <f t="shared" si="48"/>
        <v/>
      </c>
      <c r="P698" t="str">
        <f t="shared" si="49"/>
        <v/>
      </c>
      <c r="Q698" t="str">
        <f>IF(OR($P698="",$S698=""),"",IFERROR($P698-INDEX(Config!$E$15:$E$18,MATCH($S698,Config!$B$15:$B$18,0)),""))</f>
        <v/>
      </c>
      <c r="R698" t="str">
        <f t="shared" si="50"/>
        <v/>
      </c>
      <c r="S698" s="6" t="str">
        <f>IF(OR($A698="",$C698=""),"",IFERROR(INDEX(Turno!$C$3:$V$32,MATCH($C698,Turno!$B$3:$B$32,0),MATCH(DAY($A698),Turno!$C$1:$V$1,0)),""))</f>
        <v/>
      </c>
      <c r="T698" t="str">
        <f>IF(OR($E698="",$S698=""),"",IFERROR(MAX(0,ROUND((INDEX(Config!$D$15:$D$18,MATCH($S698,Config!$B$15:$B$18,0))-$E698)*1440,0)),""))</f>
        <v/>
      </c>
      <c r="U698" s="13" t="str">
        <f>IF(OR($N698="",$T698=""),"",IFERROR(MAX(0,1-($N698+$T698+MAX(0,N($Q698)))/ROUND((INDEX(Config!$D$15:$D$18,MATCH($S698,Config!$B$15:$B$18,0))-INDEX(Config!$C$15:$C$18,MATCH($S698,Config!$B$15:$B$18,0)))*1440,0)),""))</f>
        <v/>
      </c>
      <c r="V698" s="5"/>
    </row>
    <row r="699" spans="1:22" x14ac:dyDescent="0.25">
      <c r="A699" s="11"/>
      <c r="B699" s="5"/>
      <c r="C699" s="6" t="str">
        <f>IFERROR(INDEX(Ejecutivos!$B$2:$B$100,MATCH(B699,Ejecutivos!$A$2:$A$100,0)),"")</f>
        <v/>
      </c>
      <c r="D699" s="12"/>
      <c r="E699" s="12"/>
      <c r="F699" s="12"/>
      <c r="G699" s="12"/>
      <c r="H699" s="5"/>
      <c r="I699" s="5"/>
      <c r="J699" s="5"/>
      <c r="K699" s="5"/>
      <c r="L699" s="18">
        <v>0</v>
      </c>
      <c r="M699" t="str">
        <f t="shared" si="47"/>
        <v/>
      </c>
      <c r="N699" t="str">
        <f>IF(OR($D699="",$S699=""),"",IFERROR(MAX(0,ROUND(($D699-INDEX(Config!$C$15:$C$18,MATCH($S699,Config!$B$15:$B$18,0)))*24*60,0)),""))</f>
        <v/>
      </c>
      <c r="O699" t="str">
        <f t="shared" si="48"/>
        <v/>
      </c>
      <c r="P699" t="str">
        <f t="shared" si="49"/>
        <v/>
      </c>
      <c r="Q699" t="str">
        <f>IF(OR($P699="",$S699=""),"",IFERROR($P699-INDEX(Config!$E$15:$E$18,MATCH($S699,Config!$B$15:$B$18,0)),""))</f>
        <v/>
      </c>
      <c r="R699" t="str">
        <f t="shared" si="50"/>
        <v/>
      </c>
      <c r="S699" s="6" t="str">
        <f>IF(OR($A699="",$C699=""),"",IFERROR(INDEX(Turno!$C$3:$V$32,MATCH($C699,Turno!$B$3:$B$32,0),MATCH(DAY($A699),Turno!$C$1:$V$1,0)),""))</f>
        <v/>
      </c>
      <c r="T699" t="str">
        <f>IF(OR($E699="",$S699=""),"",IFERROR(MAX(0,ROUND((INDEX(Config!$D$15:$D$18,MATCH($S699,Config!$B$15:$B$18,0))-$E699)*1440,0)),""))</f>
        <v/>
      </c>
      <c r="U699" s="13" t="str">
        <f>IF(OR($N699="",$T699=""),"",IFERROR(MAX(0,1-($N699+$T699+MAX(0,N($Q699)))/ROUND((INDEX(Config!$D$15:$D$18,MATCH($S699,Config!$B$15:$B$18,0))-INDEX(Config!$C$15:$C$18,MATCH($S699,Config!$B$15:$B$18,0)))*1440,0)),""))</f>
        <v/>
      </c>
      <c r="V699" s="5"/>
    </row>
    <row r="700" spans="1:22" x14ac:dyDescent="0.25">
      <c r="A700" s="11"/>
      <c r="B700" s="5"/>
      <c r="C700" s="6" t="str">
        <f>IFERROR(INDEX(Ejecutivos!$B$2:$B$100,MATCH(B700,Ejecutivos!$A$2:$A$100,0)),"")</f>
        <v/>
      </c>
      <c r="D700" s="12"/>
      <c r="E700" s="12"/>
      <c r="F700" s="12"/>
      <c r="G700" s="12"/>
      <c r="H700" s="5"/>
      <c r="I700" s="5"/>
      <c r="J700" s="5"/>
      <c r="K700" s="5"/>
      <c r="L700" s="18">
        <v>0</v>
      </c>
      <c r="M700" t="str">
        <f t="shared" si="47"/>
        <v/>
      </c>
      <c r="N700" t="str">
        <f>IF(OR($D700="",$S700=""),"",IFERROR(MAX(0,ROUND(($D700-INDEX(Config!$C$15:$C$18,MATCH($S700,Config!$B$15:$B$18,0)))*24*60,0)),""))</f>
        <v/>
      </c>
      <c r="O700" t="str">
        <f t="shared" si="48"/>
        <v/>
      </c>
      <c r="P700" t="str">
        <f t="shared" si="49"/>
        <v/>
      </c>
      <c r="Q700" t="str">
        <f>IF(OR($P700="",$S700=""),"",IFERROR($P700-INDEX(Config!$E$15:$E$18,MATCH($S700,Config!$B$15:$B$18,0)),""))</f>
        <v/>
      </c>
      <c r="R700" t="str">
        <f t="shared" si="50"/>
        <v/>
      </c>
      <c r="S700" s="6" t="str">
        <f>IF(OR($A700="",$C700=""),"",IFERROR(INDEX(Turno!$C$3:$V$32,MATCH($C700,Turno!$B$3:$B$32,0),MATCH(DAY($A700),Turno!$C$1:$V$1,0)),""))</f>
        <v/>
      </c>
      <c r="T700" t="str">
        <f>IF(OR($E700="",$S700=""),"",IFERROR(MAX(0,ROUND((INDEX(Config!$D$15:$D$18,MATCH($S700,Config!$B$15:$B$18,0))-$E700)*1440,0)),""))</f>
        <v/>
      </c>
      <c r="U700" s="13" t="str">
        <f>IF(OR($N700="",$T700=""),"",IFERROR(MAX(0,1-($N700+$T700+MAX(0,N($Q700)))/ROUND((INDEX(Config!$D$15:$D$18,MATCH($S700,Config!$B$15:$B$18,0))-INDEX(Config!$C$15:$C$18,MATCH($S700,Config!$B$15:$B$18,0)))*1440,0)),""))</f>
        <v/>
      </c>
      <c r="V700" s="5"/>
    </row>
    <row r="701" spans="1:22" x14ac:dyDescent="0.25">
      <c r="A701" s="11"/>
      <c r="B701" s="5"/>
      <c r="C701" s="6" t="str">
        <f>IFERROR(INDEX(Ejecutivos!$B$2:$B$100,MATCH(B701,Ejecutivos!$A$2:$A$100,0)),"")</f>
        <v/>
      </c>
      <c r="D701" s="12"/>
      <c r="E701" s="12"/>
      <c r="F701" s="12"/>
      <c r="G701" s="12"/>
      <c r="H701" s="5"/>
      <c r="I701" s="5"/>
      <c r="J701" s="5"/>
      <c r="K701" s="5"/>
      <c r="L701" s="18">
        <v>0</v>
      </c>
      <c r="M701" t="str">
        <f t="shared" si="47"/>
        <v/>
      </c>
      <c r="N701" t="str">
        <f>IF(OR($D701="",$S701=""),"",IFERROR(MAX(0,ROUND(($D701-INDEX(Config!$C$15:$C$18,MATCH($S701,Config!$B$15:$B$18,0)))*24*60,0)),""))</f>
        <v/>
      </c>
      <c r="O701" t="str">
        <f t="shared" si="48"/>
        <v/>
      </c>
      <c r="P701" t="str">
        <f t="shared" si="49"/>
        <v/>
      </c>
      <c r="Q701" t="str">
        <f>IF(OR($P701="",$S701=""),"",IFERROR($P701-INDEX(Config!$E$15:$E$18,MATCH($S701,Config!$B$15:$B$18,0)),""))</f>
        <v/>
      </c>
      <c r="R701" t="str">
        <f t="shared" si="50"/>
        <v/>
      </c>
      <c r="S701" s="6" t="str">
        <f>IF(OR($A701="",$C701=""),"",IFERROR(INDEX(Turno!$C$3:$V$32,MATCH($C701,Turno!$B$3:$B$32,0),MATCH(DAY($A701),Turno!$C$1:$V$1,0)),""))</f>
        <v/>
      </c>
      <c r="T701" t="str">
        <f>IF(OR($E701="",$S701=""),"",IFERROR(MAX(0,ROUND((INDEX(Config!$D$15:$D$18,MATCH($S701,Config!$B$15:$B$18,0))-$E701)*1440,0)),""))</f>
        <v/>
      </c>
      <c r="U701" s="13" t="str">
        <f>IF(OR($N701="",$T701=""),"",IFERROR(MAX(0,1-($N701+$T701+MAX(0,N($Q701)))/ROUND((INDEX(Config!$D$15:$D$18,MATCH($S701,Config!$B$15:$B$18,0))-INDEX(Config!$C$15:$C$18,MATCH($S701,Config!$B$15:$B$18,0)))*1440,0)),""))</f>
        <v/>
      </c>
      <c r="V701" s="5"/>
    </row>
    <row r="702" spans="1:22" x14ac:dyDescent="0.25">
      <c r="A702" s="11"/>
      <c r="B702" s="5"/>
      <c r="C702" s="6" t="str">
        <f>IFERROR(INDEX(Ejecutivos!$B$2:$B$100,MATCH(B702,Ejecutivos!$A$2:$A$100,0)),"")</f>
        <v/>
      </c>
      <c r="D702" s="12"/>
      <c r="E702" s="12"/>
      <c r="F702" s="12"/>
      <c r="G702" s="12"/>
      <c r="H702" s="5"/>
      <c r="I702" s="5"/>
      <c r="J702" s="5"/>
      <c r="K702" s="5"/>
      <c r="L702" s="18">
        <v>0</v>
      </c>
      <c r="M702" t="str">
        <f t="shared" si="47"/>
        <v/>
      </c>
      <c r="N702" t="str">
        <f>IF(OR($D702="",$S702=""),"",IFERROR(MAX(0,ROUND(($D702-INDEX(Config!$C$15:$C$18,MATCH($S702,Config!$B$15:$B$18,0)))*24*60,0)),""))</f>
        <v/>
      </c>
      <c r="O702" t="str">
        <f t="shared" si="48"/>
        <v/>
      </c>
      <c r="P702" t="str">
        <f t="shared" si="49"/>
        <v/>
      </c>
      <c r="Q702" t="str">
        <f>IF(OR($P702="",$S702=""),"",IFERROR($P702-INDEX(Config!$E$15:$E$18,MATCH($S702,Config!$B$15:$B$18,0)),""))</f>
        <v/>
      </c>
      <c r="R702" t="str">
        <f t="shared" si="50"/>
        <v/>
      </c>
      <c r="S702" s="6" t="str">
        <f>IF(OR($A702="",$C702=""),"",IFERROR(INDEX(Turno!$C$3:$V$32,MATCH($C702,Turno!$B$3:$B$32,0),MATCH(DAY($A702),Turno!$C$1:$V$1,0)),""))</f>
        <v/>
      </c>
      <c r="T702" t="str">
        <f>IF(OR($E702="",$S702=""),"",IFERROR(MAX(0,ROUND((INDEX(Config!$D$15:$D$18,MATCH($S702,Config!$B$15:$B$18,0))-$E702)*1440,0)),""))</f>
        <v/>
      </c>
      <c r="U702" s="13" t="str">
        <f>IF(OR($N702="",$T702=""),"",IFERROR(MAX(0,1-($N702+$T702+MAX(0,N($Q702)))/ROUND((INDEX(Config!$D$15:$D$18,MATCH($S702,Config!$B$15:$B$18,0))-INDEX(Config!$C$15:$C$18,MATCH($S702,Config!$B$15:$B$18,0)))*1440,0)),""))</f>
        <v/>
      </c>
      <c r="V702" s="5"/>
    </row>
    <row r="703" spans="1:22" x14ac:dyDescent="0.25">
      <c r="A703" s="11"/>
      <c r="B703" s="5"/>
      <c r="C703" s="6" t="str">
        <f>IFERROR(INDEX(Ejecutivos!$B$2:$B$100,MATCH(B703,Ejecutivos!$A$2:$A$100,0)),"")</f>
        <v/>
      </c>
      <c r="D703" s="12"/>
      <c r="E703" s="12"/>
      <c r="F703" s="12"/>
      <c r="G703" s="12"/>
      <c r="H703" s="5"/>
      <c r="I703" s="5"/>
      <c r="J703" s="5"/>
      <c r="K703" s="5"/>
      <c r="L703" s="18">
        <v>0</v>
      </c>
      <c r="M703" t="str">
        <f t="shared" si="47"/>
        <v/>
      </c>
      <c r="N703" t="str">
        <f>IF(OR($D703="",$S703=""),"",IFERROR(MAX(0,ROUND(($D703-INDEX(Config!$C$15:$C$18,MATCH($S703,Config!$B$15:$B$18,0)))*24*60,0)),""))</f>
        <v/>
      </c>
      <c r="O703" t="str">
        <f t="shared" si="48"/>
        <v/>
      </c>
      <c r="P703" t="str">
        <f t="shared" si="49"/>
        <v/>
      </c>
      <c r="Q703" t="str">
        <f>IF(OR($P703="",$S703=""),"",IFERROR($P703-INDEX(Config!$E$15:$E$18,MATCH($S703,Config!$B$15:$B$18,0)),""))</f>
        <v/>
      </c>
      <c r="R703" t="str">
        <f t="shared" si="50"/>
        <v/>
      </c>
      <c r="S703" s="6" t="str">
        <f>IF(OR($A703="",$C703=""),"",IFERROR(INDEX(Turno!$C$3:$V$32,MATCH($C703,Turno!$B$3:$B$32,0),MATCH(DAY($A703),Turno!$C$1:$V$1,0)),""))</f>
        <v/>
      </c>
      <c r="T703" t="str">
        <f>IF(OR($E703="",$S703=""),"",IFERROR(MAX(0,ROUND((INDEX(Config!$D$15:$D$18,MATCH($S703,Config!$B$15:$B$18,0))-$E703)*1440,0)),""))</f>
        <v/>
      </c>
      <c r="U703" s="13" t="str">
        <f>IF(OR($N703="",$T703=""),"",IFERROR(MAX(0,1-($N703+$T703+MAX(0,N($Q703)))/ROUND((INDEX(Config!$D$15:$D$18,MATCH($S703,Config!$B$15:$B$18,0))-INDEX(Config!$C$15:$C$18,MATCH($S703,Config!$B$15:$B$18,0)))*1440,0)),""))</f>
        <v/>
      </c>
      <c r="V703" s="5"/>
    </row>
    <row r="704" spans="1:22" x14ac:dyDescent="0.25">
      <c r="A704" s="11"/>
      <c r="B704" s="5"/>
      <c r="C704" s="6" t="str">
        <f>IFERROR(INDEX(Ejecutivos!$B$2:$B$100,MATCH(B704,Ejecutivos!$A$2:$A$100,0)),"")</f>
        <v/>
      </c>
      <c r="D704" s="12"/>
      <c r="E704" s="12"/>
      <c r="F704" s="12"/>
      <c r="G704" s="12"/>
      <c r="H704" s="5"/>
      <c r="I704" s="5"/>
      <c r="J704" s="5"/>
      <c r="K704" s="5"/>
      <c r="L704" s="18">
        <v>0</v>
      </c>
      <c r="M704" t="str">
        <f t="shared" si="47"/>
        <v/>
      </c>
      <c r="N704" t="str">
        <f>IF(OR($D704="",$S704=""),"",IFERROR(MAX(0,ROUND(($D704-INDEX(Config!$C$15:$C$18,MATCH($S704,Config!$B$15:$B$18,0)))*24*60,0)),""))</f>
        <v/>
      </c>
      <c r="O704" t="str">
        <f t="shared" si="48"/>
        <v/>
      </c>
      <c r="P704" t="str">
        <f t="shared" si="49"/>
        <v/>
      </c>
      <c r="Q704" t="str">
        <f>IF(OR($P704="",$S704=""),"",IFERROR($P704-INDEX(Config!$E$15:$E$18,MATCH($S704,Config!$B$15:$B$18,0)),""))</f>
        <v/>
      </c>
      <c r="R704" t="str">
        <f t="shared" si="50"/>
        <v/>
      </c>
      <c r="S704" s="6" t="str">
        <f>IF(OR($A704="",$C704=""),"",IFERROR(INDEX(Turno!$C$3:$V$32,MATCH($C704,Turno!$B$3:$B$32,0),MATCH(DAY($A704),Turno!$C$1:$V$1,0)),""))</f>
        <v/>
      </c>
      <c r="T704" t="str">
        <f>IF(OR($E704="",$S704=""),"",IFERROR(MAX(0,ROUND((INDEX(Config!$D$15:$D$18,MATCH($S704,Config!$B$15:$B$18,0))-$E704)*1440,0)),""))</f>
        <v/>
      </c>
      <c r="U704" s="13" t="str">
        <f>IF(OR($N704="",$T704=""),"",IFERROR(MAX(0,1-($N704+$T704+MAX(0,N($Q704)))/ROUND((INDEX(Config!$D$15:$D$18,MATCH($S704,Config!$B$15:$B$18,0))-INDEX(Config!$C$15:$C$18,MATCH($S704,Config!$B$15:$B$18,0)))*1440,0)),""))</f>
        <v/>
      </c>
      <c r="V704" s="5"/>
    </row>
    <row r="705" spans="1:22" x14ac:dyDescent="0.25">
      <c r="A705" s="11"/>
      <c r="B705" s="5"/>
      <c r="C705" s="6" t="str">
        <f>IFERROR(INDEX(Ejecutivos!$B$2:$B$100,MATCH(B705,Ejecutivos!$A$2:$A$100,0)),"")</f>
        <v/>
      </c>
      <c r="D705" s="12"/>
      <c r="E705" s="12"/>
      <c r="F705" s="12"/>
      <c r="G705" s="12"/>
      <c r="H705" s="5"/>
      <c r="I705" s="5"/>
      <c r="J705" s="5"/>
      <c r="K705" s="5"/>
      <c r="L705" s="18">
        <v>0</v>
      </c>
      <c r="M705" t="str">
        <f t="shared" si="47"/>
        <v/>
      </c>
      <c r="N705" t="str">
        <f>IF(OR($D705="",$S705=""),"",IFERROR(MAX(0,ROUND(($D705-INDEX(Config!$C$15:$C$18,MATCH($S705,Config!$B$15:$B$18,0)))*24*60,0)),""))</f>
        <v/>
      </c>
      <c r="O705" t="str">
        <f t="shared" si="48"/>
        <v/>
      </c>
      <c r="P705" t="str">
        <f t="shared" si="49"/>
        <v/>
      </c>
      <c r="Q705" t="str">
        <f>IF(OR($P705="",$S705=""),"",IFERROR($P705-INDEX(Config!$E$15:$E$18,MATCH($S705,Config!$B$15:$B$18,0)),""))</f>
        <v/>
      </c>
      <c r="R705" t="str">
        <f t="shared" si="50"/>
        <v/>
      </c>
      <c r="S705" s="6" t="str">
        <f>IF(OR($A705="",$C705=""),"",IFERROR(INDEX(Turno!$C$3:$V$32,MATCH($C705,Turno!$B$3:$B$32,0),MATCH(DAY($A705),Turno!$C$1:$V$1,0)),""))</f>
        <v/>
      </c>
      <c r="T705" t="str">
        <f>IF(OR($E705="",$S705=""),"",IFERROR(MAX(0,ROUND((INDEX(Config!$D$15:$D$18,MATCH($S705,Config!$B$15:$B$18,0))-$E705)*1440,0)),""))</f>
        <v/>
      </c>
      <c r="U705" s="13" t="str">
        <f>IF(OR($N705="",$T705=""),"",IFERROR(MAX(0,1-($N705+$T705+MAX(0,N($Q705)))/ROUND((INDEX(Config!$D$15:$D$18,MATCH($S705,Config!$B$15:$B$18,0))-INDEX(Config!$C$15:$C$18,MATCH($S705,Config!$B$15:$B$18,0)))*1440,0)),""))</f>
        <v/>
      </c>
      <c r="V705" s="5"/>
    </row>
    <row r="706" spans="1:22" x14ac:dyDescent="0.25">
      <c r="A706" s="11"/>
      <c r="B706" s="5"/>
      <c r="C706" s="6" t="str">
        <f>IFERROR(INDEX(Ejecutivos!$B$2:$B$100,MATCH(B706,Ejecutivos!$A$2:$A$100,0)),"")</f>
        <v/>
      </c>
      <c r="D706" s="12"/>
      <c r="E706" s="12"/>
      <c r="F706" s="12"/>
      <c r="G706" s="12"/>
      <c r="H706" s="5"/>
      <c r="I706" s="5"/>
      <c r="J706" s="5"/>
      <c r="K706" s="5"/>
      <c r="L706" s="18">
        <v>0</v>
      </c>
      <c r="M706" t="str">
        <f t="shared" si="47"/>
        <v/>
      </c>
      <c r="N706" t="str">
        <f>IF(OR($D706="",$S706=""),"",IFERROR(MAX(0,ROUND(($D706-INDEX(Config!$C$15:$C$18,MATCH($S706,Config!$B$15:$B$18,0)))*24*60,0)),""))</f>
        <v/>
      </c>
      <c r="O706" t="str">
        <f t="shared" si="48"/>
        <v/>
      </c>
      <c r="P706" t="str">
        <f t="shared" si="49"/>
        <v/>
      </c>
      <c r="Q706" t="str">
        <f>IF(OR($P706="",$S706=""),"",IFERROR($P706-INDEX(Config!$E$15:$E$18,MATCH($S706,Config!$B$15:$B$18,0)),""))</f>
        <v/>
      </c>
      <c r="R706" t="str">
        <f t="shared" si="50"/>
        <v/>
      </c>
      <c r="S706" s="6" t="str">
        <f>IF(OR($A706="",$C706=""),"",IFERROR(INDEX(Turno!$C$3:$V$32,MATCH($C706,Turno!$B$3:$B$32,0),MATCH(DAY($A706),Turno!$C$1:$V$1,0)),""))</f>
        <v/>
      </c>
      <c r="T706" t="str">
        <f>IF(OR($E706="",$S706=""),"",IFERROR(MAX(0,ROUND((INDEX(Config!$D$15:$D$18,MATCH($S706,Config!$B$15:$B$18,0))-$E706)*1440,0)),""))</f>
        <v/>
      </c>
      <c r="U706" s="13" t="str">
        <f>IF(OR($N706="",$T706=""),"",IFERROR(MAX(0,1-($N706+$T706+MAX(0,N($Q706)))/ROUND((INDEX(Config!$D$15:$D$18,MATCH($S706,Config!$B$15:$B$18,0))-INDEX(Config!$C$15:$C$18,MATCH($S706,Config!$B$15:$B$18,0)))*1440,0)),""))</f>
        <v/>
      </c>
      <c r="V706" s="5"/>
    </row>
    <row r="707" spans="1:22" x14ac:dyDescent="0.25">
      <c r="A707" s="11"/>
      <c r="B707" s="5"/>
      <c r="C707" s="6" t="str">
        <f>IFERROR(INDEX(Ejecutivos!$B$2:$B$100,MATCH(B707,Ejecutivos!$A$2:$A$100,0)),"")</f>
        <v/>
      </c>
      <c r="D707" s="12"/>
      <c r="E707" s="12"/>
      <c r="F707" s="12"/>
      <c r="G707" s="12"/>
      <c r="H707" s="5"/>
      <c r="I707" s="5"/>
      <c r="J707" s="5"/>
      <c r="K707" s="5"/>
      <c r="L707" s="18">
        <v>0</v>
      </c>
      <c r="M707" t="str">
        <f t="shared" si="47"/>
        <v/>
      </c>
      <c r="N707" t="str">
        <f>IF(OR($D707="",$S707=""),"",IFERROR(MAX(0,ROUND(($D707-INDEX(Config!$C$15:$C$18,MATCH($S707,Config!$B$15:$B$18,0)))*24*60,0)),""))</f>
        <v/>
      </c>
      <c r="O707" t="str">
        <f t="shared" si="48"/>
        <v/>
      </c>
      <c r="P707" t="str">
        <f t="shared" si="49"/>
        <v/>
      </c>
      <c r="Q707" t="str">
        <f>IF(OR($P707="",$S707=""),"",IFERROR($P707-INDEX(Config!$E$15:$E$18,MATCH($S707,Config!$B$15:$B$18,0)),""))</f>
        <v/>
      </c>
      <c r="R707" t="str">
        <f t="shared" si="50"/>
        <v/>
      </c>
      <c r="S707" s="6" t="str">
        <f>IF(OR($A707="",$C707=""),"",IFERROR(INDEX(Turno!$C$3:$V$32,MATCH($C707,Turno!$B$3:$B$32,0),MATCH(DAY($A707),Turno!$C$1:$V$1,0)),""))</f>
        <v/>
      </c>
      <c r="T707" t="str">
        <f>IF(OR($E707="",$S707=""),"",IFERROR(MAX(0,ROUND((INDEX(Config!$D$15:$D$18,MATCH($S707,Config!$B$15:$B$18,0))-$E707)*1440,0)),""))</f>
        <v/>
      </c>
      <c r="U707" s="13" t="str">
        <f>IF(OR($N707="",$T707=""),"",IFERROR(MAX(0,1-($N707+$T707+MAX(0,N($Q707)))/ROUND((INDEX(Config!$D$15:$D$18,MATCH($S707,Config!$B$15:$B$18,0))-INDEX(Config!$C$15:$C$18,MATCH($S707,Config!$B$15:$B$18,0)))*1440,0)),""))</f>
        <v/>
      </c>
      <c r="V707" s="5"/>
    </row>
    <row r="708" spans="1:22" x14ac:dyDescent="0.25">
      <c r="A708" s="11"/>
      <c r="B708" s="5"/>
      <c r="C708" s="6" t="str">
        <f>IFERROR(INDEX(Ejecutivos!$B$2:$B$100,MATCH(B708,Ejecutivos!$A$2:$A$100,0)),"")</f>
        <v/>
      </c>
      <c r="D708" s="12"/>
      <c r="E708" s="12"/>
      <c r="F708" s="12"/>
      <c r="G708" s="12"/>
      <c r="H708" s="5"/>
      <c r="I708" s="5"/>
      <c r="J708" s="5"/>
      <c r="K708" s="5"/>
      <c r="L708" s="18">
        <v>0</v>
      </c>
      <c r="M708" t="str">
        <f t="shared" si="47"/>
        <v/>
      </c>
      <c r="N708" t="str">
        <f>IF(OR($D708="",$S708=""),"",IFERROR(MAX(0,ROUND(($D708-INDEX(Config!$C$15:$C$18,MATCH($S708,Config!$B$15:$B$18,0)))*24*60,0)),""))</f>
        <v/>
      </c>
      <c r="O708" t="str">
        <f t="shared" si="48"/>
        <v/>
      </c>
      <c r="P708" t="str">
        <f t="shared" si="49"/>
        <v/>
      </c>
      <c r="Q708" t="str">
        <f>IF(OR($P708="",$S708=""),"",IFERROR($P708-INDEX(Config!$E$15:$E$18,MATCH($S708,Config!$B$15:$B$18,0)),""))</f>
        <v/>
      </c>
      <c r="R708" t="str">
        <f t="shared" si="50"/>
        <v/>
      </c>
      <c r="S708" s="6" t="str">
        <f>IF(OR($A708="",$C708=""),"",IFERROR(INDEX(Turno!$C$3:$V$32,MATCH($C708,Turno!$B$3:$B$32,0),MATCH(DAY($A708),Turno!$C$1:$V$1,0)),""))</f>
        <v/>
      </c>
      <c r="T708" t="str">
        <f>IF(OR($E708="",$S708=""),"",IFERROR(MAX(0,ROUND((INDEX(Config!$D$15:$D$18,MATCH($S708,Config!$B$15:$B$18,0))-$E708)*1440,0)),""))</f>
        <v/>
      </c>
      <c r="U708" s="13" t="str">
        <f>IF(OR($N708="",$T708=""),"",IFERROR(MAX(0,1-($N708+$T708+MAX(0,N($Q708)))/ROUND((INDEX(Config!$D$15:$D$18,MATCH($S708,Config!$B$15:$B$18,0))-INDEX(Config!$C$15:$C$18,MATCH($S708,Config!$B$15:$B$18,0)))*1440,0)),""))</f>
        <v/>
      </c>
      <c r="V708" s="5"/>
    </row>
    <row r="709" spans="1:22" x14ac:dyDescent="0.25">
      <c r="A709" s="11"/>
      <c r="B709" s="5"/>
      <c r="C709" s="6" t="str">
        <f>IFERROR(INDEX(Ejecutivos!$B$2:$B$100,MATCH(B709,Ejecutivos!$A$2:$A$100,0)),"")</f>
        <v/>
      </c>
      <c r="D709" s="12"/>
      <c r="E709" s="12"/>
      <c r="F709" s="12"/>
      <c r="G709" s="12"/>
      <c r="H709" s="5"/>
      <c r="I709" s="5"/>
      <c r="J709" s="5"/>
      <c r="K709" s="5"/>
      <c r="L709" s="18">
        <v>0</v>
      </c>
      <c r="M709" t="str">
        <f t="shared" si="47"/>
        <v/>
      </c>
      <c r="N709" t="str">
        <f>IF(OR($D709="",$S709=""),"",IFERROR(MAX(0,ROUND(($D709-INDEX(Config!$C$15:$C$18,MATCH($S709,Config!$B$15:$B$18,0)))*24*60,0)),""))</f>
        <v/>
      </c>
      <c r="O709" t="str">
        <f t="shared" si="48"/>
        <v/>
      </c>
      <c r="P709" t="str">
        <f t="shared" si="49"/>
        <v/>
      </c>
      <c r="Q709" t="str">
        <f>IF(OR($P709="",$S709=""),"",IFERROR($P709-INDEX(Config!$E$15:$E$18,MATCH($S709,Config!$B$15:$B$18,0)),""))</f>
        <v/>
      </c>
      <c r="R709" t="str">
        <f t="shared" si="50"/>
        <v/>
      </c>
      <c r="S709" s="6" t="str">
        <f>IF(OR($A709="",$C709=""),"",IFERROR(INDEX(Turno!$C$3:$V$32,MATCH($C709,Turno!$B$3:$B$32,0),MATCH(DAY($A709),Turno!$C$1:$V$1,0)),""))</f>
        <v/>
      </c>
      <c r="T709" t="str">
        <f>IF(OR($E709="",$S709=""),"",IFERROR(MAX(0,ROUND((INDEX(Config!$D$15:$D$18,MATCH($S709,Config!$B$15:$B$18,0))-$E709)*1440,0)),""))</f>
        <v/>
      </c>
      <c r="U709" s="13" t="str">
        <f>IF(OR($N709="",$T709=""),"",IFERROR(MAX(0,1-($N709+$T709+MAX(0,N($Q709)))/ROUND((INDEX(Config!$D$15:$D$18,MATCH($S709,Config!$B$15:$B$18,0))-INDEX(Config!$C$15:$C$18,MATCH($S709,Config!$B$15:$B$18,0)))*1440,0)),""))</f>
        <v/>
      </c>
      <c r="V709" s="5"/>
    </row>
    <row r="710" spans="1:22" x14ac:dyDescent="0.25">
      <c r="A710" s="11"/>
      <c r="B710" s="5"/>
      <c r="C710" s="6" t="str">
        <f>IFERROR(INDEX(Ejecutivos!$B$2:$B$100,MATCH(B710,Ejecutivos!$A$2:$A$100,0)),"")</f>
        <v/>
      </c>
      <c r="D710" s="12"/>
      <c r="E710" s="12"/>
      <c r="F710" s="12"/>
      <c r="G710" s="12"/>
      <c r="H710" s="5"/>
      <c r="I710" s="5"/>
      <c r="J710" s="5"/>
      <c r="K710" s="5"/>
      <c r="L710" s="18">
        <v>0</v>
      </c>
      <c r="M710" t="str">
        <f t="shared" si="47"/>
        <v/>
      </c>
      <c r="N710" t="str">
        <f>IF(OR($D710="",$S710=""),"",IFERROR(MAX(0,ROUND(($D710-INDEX(Config!$C$15:$C$18,MATCH($S710,Config!$B$15:$B$18,0)))*24*60,0)),""))</f>
        <v/>
      </c>
      <c r="O710" t="str">
        <f t="shared" si="48"/>
        <v/>
      </c>
      <c r="P710" t="str">
        <f t="shared" si="49"/>
        <v/>
      </c>
      <c r="Q710" t="str">
        <f>IF(OR($P710="",$S710=""),"",IFERROR($P710-INDEX(Config!$E$15:$E$18,MATCH($S710,Config!$B$15:$B$18,0)),""))</f>
        <v/>
      </c>
      <c r="R710" t="str">
        <f t="shared" si="50"/>
        <v/>
      </c>
      <c r="S710" s="6" t="str">
        <f>IF(OR($A710="",$C710=""),"",IFERROR(INDEX(Turno!$C$3:$V$32,MATCH($C710,Turno!$B$3:$B$32,0),MATCH(DAY($A710),Turno!$C$1:$V$1,0)),""))</f>
        <v/>
      </c>
      <c r="T710" t="str">
        <f>IF(OR($E710="",$S710=""),"",IFERROR(MAX(0,ROUND((INDEX(Config!$D$15:$D$18,MATCH($S710,Config!$B$15:$B$18,0))-$E710)*1440,0)),""))</f>
        <v/>
      </c>
      <c r="U710" s="13" t="str">
        <f>IF(OR($N710="",$T710=""),"",IFERROR(MAX(0,1-($N710+$T710+MAX(0,N($Q710)))/ROUND((INDEX(Config!$D$15:$D$18,MATCH($S710,Config!$B$15:$B$18,0))-INDEX(Config!$C$15:$C$18,MATCH($S710,Config!$B$15:$B$18,0)))*1440,0)),""))</f>
        <v/>
      </c>
      <c r="V710" s="5"/>
    </row>
    <row r="711" spans="1:22" x14ac:dyDescent="0.25">
      <c r="A711" s="11"/>
      <c r="B711" s="5"/>
      <c r="C711" s="6" t="str">
        <f>IFERROR(INDEX(Ejecutivos!$B$2:$B$100,MATCH(B711,Ejecutivos!$A$2:$A$100,0)),"")</f>
        <v/>
      </c>
      <c r="D711" s="12"/>
      <c r="E711" s="12"/>
      <c r="F711" s="12"/>
      <c r="G711" s="12"/>
      <c r="H711" s="5"/>
      <c r="I711" s="5"/>
      <c r="J711" s="5"/>
      <c r="K711" s="5"/>
      <c r="L711" s="18">
        <v>0</v>
      </c>
      <c r="M711" t="str">
        <f t="shared" si="47"/>
        <v/>
      </c>
      <c r="N711" t="str">
        <f>IF(OR($D711="",$S711=""),"",IFERROR(MAX(0,ROUND(($D711-INDEX(Config!$C$15:$C$18,MATCH($S711,Config!$B$15:$B$18,0)))*24*60,0)),""))</f>
        <v/>
      </c>
      <c r="O711" t="str">
        <f t="shared" si="48"/>
        <v/>
      </c>
      <c r="P711" t="str">
        <f t="shared" si="49"/>
        <v/>
      </c>
      <c r="Q711" t="str">
        <f>IF(OR($P711="",$S711=""),"",IFERROR($P711-INDEX(Config!$E$15:$E$18,MATCH($S711,Config!$B$15:$B$18,0)),""))</f>
        <v/>
      </c>
      <c r="R711" t="str">
        <f t="shared" si="50"/>
        <v/>
      </c>
      <c r="S711" s="6" t="str">
        <f>IF(OR($A711="",$C711=""),"",IFERROR(INDEX(Turno!$C$3:$V$32,MATCH($C711,Turno!$B$3:$B$32,0),MATCH(DAY($A711),Turno!$C$1:$V$1,0)),""))</f>
        <v/>
      </c>
      <c r="T711" t="str">
        <f>IF(OR($E711="",$S711=""),"",IFERROR(MAX(0,ROUND((INDEX(Config!$D$15:$D$18,MATCH($S711,Config!$B$15:$B$18,0))-$E711)*1440,0)),""))</f>
        <v/>
      </c>
      <c r="U711" s="13" t="str">
        <f>IF(OR($N711="",$T711=""),"",IFERROR(MAX(0,1-($N711+$T711+MAX(0,N($Q711)))/ROUND((INDEX(Config!$D$15:$D$18,MATCH($S711,Config!$B$15:$B$18,0))-INDEX(Config!$C$15:$C$18,MATCH($S711,Config!$B$15:$B$18,0)))*1440,0)),""))</f>
        <v/>
      </c>
      <c r="V711" s="5"/>
    </row>
    <row r="712" spans="1:22" x14ac:dyDescent="0.25">
      <c r="A712" s="11"/>
      <c r="B712" s="5"/>
      <c r="C712" s="6" t="str">
        <f>IFERROR(INDEX(Ejecutivos!$B$2:$B$100,MATCH(B712,Ejecutivos!$A$2:$A$100,0)),"")</f>
        <v/>
      </c>
      <c r="D712" s="12"/>
      <c r="E712" s="12"/>
      <c r="F712" s="12"/>
      <c r="G712" s="12"/>
      <c r="H712" s="5"/>
      <c r="I712" s="5"/>
      <c r="J712" s="5"/>
      <c r="K712" s="5"/>
      <c r="L712" s="18">
        <v>0</v>
      </c>
      <c r="M712" t="str">
        <f t="shared" si="47"/>
        <v/>
      </c>
      <c r="N712" t="str">
        <f>IF(OR($D712="",$S712=""),"",IFERROR(MAX(0,ROUND(($D712-INDEX(Config!$C$15:$C$18,MATCH($S712,Config!$B$15:$B$18,0)))*24*60,0)),""))</f>
        <v/>
      </c>
      <c r="O712" t="str">
        <f t="shared" si="48"/>
        <v/>
      </c>
      <c r="P712" t="str">
        <f t="shared" si="49"/>
        <v/>
      </c>
      <c r="Q712" t="str">
        <f>IF(OR($P712="",$S712=""),"",IFERROR($P712-INDEX(Config!$E$15:$E$18,MATCH($S712,Config!$B$15:$B$18,0)),""))</f>
        <v/>
      </c>
      <c r="R712" t="str">
        <f t="shared" si="50"/>
        <v/>
      </c>
      <c r="S712" s="6" t="str">
        <f>IF(OR($A712="",$C712=""),"",IFERROR(INDEX(Turno!$C$3:$V$32,MATCH($C712,Turno!$B$3:$B$32,0),MATCH(DAY($A712),Turno!$C$1:$V$1,0)),""))</f>
        <v/>
      </c>
      <c r="T712" t="str">
        <f>IF(OR($E712="",$S712=""),"",IFERROR(MAX(0,ROUND((INDEX(Config!$D$15:$D$18,MATCH($S712,Config!$B$15:$B$18,0))-$E712)*1440,0)),""))</f>
        <v/>
      </c>
      <c r="U712" s="13" t="str">
        <f>IF(OR($N712="",$T712=""),"",IFERROR(MAX(0,1-($N712+$T712+MAX(0,N($Q712)))/ROUND((INDEX(Config!$D$15:$D$18,MATCH($S712,Config!$B$15:$B$18,0))-INDEX(Config!$C$15:$C$18,MATCH($S712,Config!$B$15:$B$18,0)))*1440,0)),""))</f>
        <v/>
      </c>
      <c r="V712" s="5"/>
    </row>
    <row r="713" spans="1:22" x14ac:dyDescent="0.25">
      <c r="A713" s="11"/>
      <c r="B713" s="5"/>
      <c r="C713" s="6" t="str">
        <f>IFERROR(INDEX(Ejecutivos!$B$2:$B$100,MATCH(B713,Ejecutivos!$A$2:$A$100,0)),"")</f>
        <v/>
      </c>
      <c r="D713" s="12"/>
      <c r="E713" s="12"/>
      <c r="F713" s="12"/>
      <c r="G713" s="12"/>
      <c r="H713" s="5"/>
      <c r="I713" s="5"/>
      <c r="J713" s="5"/>
      <c r="K713" s="5"/>
      <c r="L713" s="18">
        <v>0</v>
      </c>
      <c r="M713" t="str">
        <f t="shared" si="47"/>
        <v/>
      </c>
      <c r="N713" t="str">
        <f>IF(OR($D713="",$S713=""),"",IFERROR(MAX(0,ROUND(($D713-INDEX(Config!$C$15:$C$18,MATCH($S713,Config!$B$15:$B$18,0)))*24*60,0)),""))</f>
        <v/>
      </c>
      <c r="O713" t="str">
        <f t="shared" si="48"/>
        <v/>
      </c>
      <c r="P713" t="str">
        <f t="shared" si="49"/>
        <v/>
      </c>
      <c r="Q713" t="str">
        <f>IF(OR($P713="",$S713=""),"",IFERROR($P713-INDEX(Config!$E$15:$E$18,MATCH($S713,Config!$B$15:$B$18,0)),""))</f>
        <v/>
      </c>
      <c r="R713" t="str">
        <f t="shared" si="50"/>
        <v/>
      </c>
      <c r="S713" s="6" t="str">
        <f>IF(OR($A713="",$C713=""),"",IFERROR(INDEX(Turno!$C$3:$V$32,MATCH($C713,Turno!$B$3:$B$32,0),MATCH(DAY($A713),Turno!$C$1:$V$1,0)),""))</f>
        <v/>
      </c>
      <c r="T713" t="str">
        <f>IF(OR($E713="",$S713=""),"",IFERROR(MAX(0,ROUND((INDEX(Config!$D$15:$D$18,MATCH($S713,Config!$B$15:$B$18,0))-$E713)*1440,0)),""))</f>
        <v/>
      </c>
      <c r="U713" s="13" t="str">
        <f>IF(OR($N713="",$T713=""),"",IFERROR(MAX(0,1-($N713+$T713+MAX(0,N($Q713)))/ROUND((INDEX(Config!$D$15:$D$18,MATCH($S713,Config!$B$15:$B$18,0))-INDEX(Config!$C$15:$C$18,MATCH($S713,Config!$B$15:$B$18,0)))*1440,0)),""))</f>
        <v/>
      </c>
      <c r="V713" s="5"/>
    </row>
    <row r="714" spans="1:22" x14ac:dyDescent="0.25">
      <c r="A714" s="11"/>
      <c r="B714" s="5"/>
      <c r="C714" s="6" t="str">
        <f>IFERROR(INDEX(Ejecutivos!$B$2:$B$100,MATCH(B714,Ejecutivos!$A$2:$A$100,0)),"")</f>
        <v/>
      </c>
      <c r="D714" s="12"/>
      <c r="E714" s="12"/>
      <c r="F714" s="12"/>
      <c r="G714" s="12"/>
      <c r="H714" s="5"/>
      <c r="I714" s="5"/>
      <c r="J714" s="5"/>
      <c r="K714" s="5"/>
      <c r="L714" s="18">
        <v>0</v>
      </c>
      <c r="M714" t="str">
        <f t="shared" si="47"/>
        <v/>
      </c>
      <c r="N714" t="str">
        <f>IF(OR($D714="",$S714=""),"",IFERROR(MAX(0,ROUND(($D714-INDEX(Config!$C$15:$C$18,MATCH($S714,Config!$B$15:$B$18,0)))*24*60,0)),""))</f>
        <v/>
      </c>
      <c r="O714" t="str">
        <f t="shared" si="48"/>
        <v/>
      </c>
      <c r="P714" t="str">
        <f t="shared" si="49"/>
        <v/>
      </c>
      <c r="Q714" t="str">
        <f>IF(OR($P714="",$S714=""),"",IFERROR($P714-INDEX(Config!$E$15:$E$18,MATCH($S714,Config!$B$15:$B$18,0)),""))</f>
        <v/>
      </c>
      <c r="R714" t="str">
        <f t="shared" si="50"/>
        <v/>
      </c>
      <c r="S714" s="6" t="str">
        <f>IF(OR($A714="",$C714=""),"",IFERROR(INDEX(Turno!$C$3:$V$32,MATCH($C714,Turno!$B$3:$B$32,0),MATCH(DAY($A714),Turno!$C$1:$V$1,0)),""))</f>
        <v/>
      </c>
      <c r="T714" t="str">
        <f>IF(OR($E714="",$S714=""),"",IFERROR(MAX(0,ROUND((INDEX(Config!$D$15:$D$18,MATCH($S714,Config!$B$15:$B$18,0))-$E714)*1440,0)),""))</f>
        <v/>
      </c>
      <c r="U714" s="13" t="str">
        <f>IF(OR($N714="",$T714=""),"",IFERROR(MAX(0,1-($N714+$T714+MAX(0,N($Q714)))/ROUND((INDEX(Config!$D$15:$D$18,MATCH($S714,Config!$B$15:$B$18,0))-INDEX(Config!$C$15:$C$18,MATCH($S714,Config!$B$15:$B$18,0)))*1440,0)),""))</f>
        <v/>
      </c>
      <c r="V714" s="5"/>
    </row>
    <row r="715" spans="1:22" x14ac:dyDescent="0.25">
      <c r="A715" s="11"/>
      <c r="B715" s="5"/>
      <c r="C715" s="6" t="str">
        <f>IFERROR(INDEX(Ejecutivos!$B$2:$B$100,MATCH(B715,Ejecutivos!$A$2:$A$100,0)),"")</f>
        <v/>
      </c>
      <c r="D715" s="12"/>
      <c r="E715" s="12"/>
      <c r="F715" s="12"/>
      <c r="G715" s="12"/>
      <c r="H715" s="5"/>
      <c r="I715" s="5"/>
      <c r="J715" s="5"/>
      <c r="K715" s="5"/>
      <c r="L715" s="18">
        <v>0</v>
      </c>
      <c r="M715" t="str">
        <f t="shared" si="47"/>
        <v/>
      </c>
      <c r="N715" t="str">
        <f>IF(OR($D715="",$S715=""),"",IFERROR(MAX(0,ROUND(($D715-INDEX(Config!$C$15:$C$18,MATCH($S715,Config!$B$15:$B$18,0)))*24*60,0)),""))</f>
        <v/>
      </c>
      <c r="O715" t="str">
        <f t="shared" si="48"/>
        <v/>
      </c>
      <c r="P715" t="str">
        <f t="shared" si="49"/>
        <v/>
      </c>
      <c r="Q715" t="str">
        <f>IF(OR($P715="",$S715=""),"",IFERROR($P715-INDEX(Config!$E$15:$E$18,MATCH($S715,Config!$B$15:$B$18,0)),""))</f>
        <v/>
      </c>
      <c r="R715" t="str">
        <f t="shared" si="50"/>
        <v/>
      </c>
      <c r="S715" s="6" t="str">
        <f>IF(OR($A715="",$C715=""),"",IFERROR(INDEX(Turno!$C$3:$V$32,MATCH($C715,Turno!$B$3:$B$32,0),MATCH(DAY($A715),Turno!$C$1:$V$1,0)),""))</f>
        <v/>
      </c>
      <c r="T715" t="str">
        <f>IF(OR($E715="",$S715=""),"",IFERROR(MAX(0,ROUND((INDEX(Config!$D$15:$D$18,MATCH($S715,Config!$B$15:$B$18,0))-$E715)*1440,0)),""))</f>
        <v/>
      </c>
      <c r="U715" s="13" t="str">
        <f>IF(OR($N715="",$T715=""),"",IFERROR(MAX(0,1-($N715+$T715+MAX(0,N($Q715)))/ROUND((INDEX(Config!$D$15:$D$18,MATCH($S715,Config!$B$15:$B$18,0))-INDEX(Config!$C$15:$C$18,MATCH($S715,Config!$B$15:$B$18,0)))*1440,0)),""))</f>
        <v/>
      </c>
      <c r="V715" s="5"/>
    </row>
    <row r="716" spans="1:22" x14ac:dyDescent="0.25">
      <c r="A716" s="11"/>
      <c r="B716" s="5"/>
      <c r="C716" s="6" t="str">
        <f>IFERROR(INDEX(Ejecutivos!$B$2:$B$100,MATCH(B716,Ejecutivos!$A$2:$A$100,0)),"")</f>
        <v/>
      </c>
      <c r="D716" s="12"/>
      <c r="E716" s="12"/>
      <c r="F716" s="12"/>
      <c r="G716" s="12"/>
      <c r="H716" s="5"/>
      <c r="I716" s="5"/>
      <c r="J716" s="5"/>
      <c r="K716" s="5"/>
      <c r="L716" s="18">
        <v>0</v>
      </c>
      <c r="M716" t="str">
        <f t="shared" si="47"/>
        <v/>
      </c>
      <c r="N716" t="str">
        <f>IF(OR($D716="",$S716=""),"",IFERROR(MAX(0,ROUND(($D716-INDEX(Config!$C$15:$C$18,MATCH($S716,Config!$B$15:$B$18,0)))*24*60,0)),""))</f>
        <v/>
      </c>
      <c r="O716" t="str">
        <f t="shared" si="48"/>
        <v/>
      </c>
      <c r="P716" t="str">
        <f t="shared" si="49"/>
        <v/>
      </c>
      <c r="Q716" t="str">
        <f>IF(OR($P716="",$S716=""),"",IFERROR($P716-INDEX(Config!$E$15:$E$18,MATCH($S716,Config!$B$15:$B$18,0)),""))</f>
        <v/>
      </c>
      <c r="R716" t="str">
        <f t="shared" si="50"/>
        <v/>
      </c>
      <c r="S716" s="6" t="str">
        <f>IF(OR($A716="",$C716=""),"",IFERROR(INDEX(Turno!$C$3:$V$32,MATCH($C716,Turno!$B$3:$B$32,0),MATCH(DAY($A716),Turno!$C$1:$V$1,0)),""))</f>
        <v/>
      </c>
      <c r="T716" t="str">
        <f>IF(OR($E716="",$S716=""),"",IFERROR(MAX(0,ROUND((INDEX(Config!$D$15:$D$18,MATCH($S716,Config!$B$15:$B$18,0))-$E716)*1440,0)),""))</f>
        <v/>
      </c>
      <c r="U716" s="13" t="str">
        <f>IF(OR($N716="",$T716=""),"",IFERROR(MAX(0,1-($N716+$T716+MAX(0,N($Q716)))/ROUND((INDEX(Config!$D$15:$D$18,MATCH($S716,Config!$B$15:$B$18,0))-INDEX(Config!$C$15:$C$18,MATCH($S716,Config!$B$15:$B$18,0)))*1440,0)),""))</f>
        <v/>
      </c>
      <c r="V716" s="5"/>
    </row>
    <row r="717" spans="1:22" x14ac:dyDescent="0.25">
      <c r="A717" s="11"/>
      <c r="B717" s="5"/>
      <c r="C717" s="6" t="str">
        <f>IFERROR(INDEX(Ejecutivos!$B$2:$B$100,MATCH(B717,Ejecutivos!$A$2:$A$100,0)),"")</f>
        <v/>
      </c>
      <c r="D717" s="12"/>
      <c r="E717" s="12"/>
      <c r="F717" s="12"/>
      <c r="G717" s="12"/>
      <c r="H717" s="5"/>
      <c r="I717" s="5"/>
      <c r="J717" s="5"/>
      <c r="K717" s="5"/>
      <c r="L717" s="18">
        <v>0</v>
      </c>
      <c r="M717" t="str">
        <f t="shared" si="47"/>
        <v/>
      </c>
      <c r="N717" t="str">
        <f>IF(OR($D717="",$S717=""),"",IFERROR(MAX(0,ROUND(($D717-INDEX(Config!$C$15:$C$18,MATCH($S717,Config!$B$15:$B$18,0)))*24*60,0)),""))</f>
        <v/>
      </c>
      <c r="O717" t="str">
        <f t="shared" si="48"/>
        <v/>
      </c>
      <c r="P717" t="str">
        <f t="shared" si="49"/>
        <v/>
      </c>
      <c r="Q717" t="str">
        <f>IF(OR($P717="",$S717=""),"",IFERROR($P717-INDEX(Config!$E$15:$E$18,MATCH($S717,Config!$B$15:$B$18,0)),""))</f>
        <v/>
      </c>
      <c r="R717" t="str">
        <f t="shared" si="50"/>
        <v/>
      </c>
      <c r="S717" s="6" t="str">
        <f>IF(OR($A717="",$C717=""),"",IFERROR(INDEX(Turno!$C$3:$V$32,MATCH($C717,Turno!$B$3:$B$32,0),MATCH(DAY($A717),Turno!$C$1:$V$1,0)),""))</f>
        <v/>
      </c>
      <c r="T717" t="str">
        <f>IF(OR($E717="",$S717=""),"",IFERROR(MAX(0,ROUND((INDEX(Config!$D$15:$D$18,MATCH($S717,Config!$B$15:$B$18,0))-$E717)*1440,0)),""))</f>
        <v/>
      </c>
      <c r="U717" s="13" t="str">
        <f>IF(OR($N717="",$T717=""),"",IFERROR(MAX(0,1-($N717+$T717+MAX(0,N($Q717)))/ROUND((INDEX(Config!$D$15:$D$18,MATCH($S717,Config!$B$15:$B$18,0))-INDEX(Config!$C$15:$C$18,MATCH($S717,Config!$B$15:$B$18,0)))*1440,0)),""))</f>
        <v/>
      </c>
      <c r="V717" s="5"/>
    </row>
    <row r="718" spans="1:22" x14ac:dyDescent="0.25">
      <c r="A718" s="11"/>
      <c r="B718" s="5"/>
      <c r="C718" s="6" t="str">
        <f>IFERROR(INDEX(Ejecutivos!$B$2:$B$100,MATCH(B718,Ejecutivos!$A$2:$A$100,0)),"")</f>
        <v/>
      </c>
      <c r="D718" s="12"/>
      <c r="E718" s="12"/>
      <c r="F718" s="12"/>
      <c r="G718" s="12"/>
      <c r="H718" s="5"/>
      <c r="I718" s="5"/>
      <c r="J718" s="5"/>
      <c r="K718" s="5"/>
      <c r="L718" s="18">
        <v>0</v>
      </c>
      <c r="M718" t="str">
        <f t="shared" si="47"/>
        <v/>
      </c>
      <c r="N718" t="str">
        <f>IF(OR($D718="",$S718=""),"",IFERROR(MAX(0,ROUND(($D718-INDEX(Config!$C$15:$C$18,MATCH($S718,Config!$B$15:$B$18,0)))*24*60,0)),""))</f>
        <v/>
      </c>
      <c r="O718" t="str">
        <f t="shared" si="48"/>
        <v/>
      </c>
      <c r="P718" t="str">
        <f t="shared" si="49"/>
        <v/>
      </c>
      <c r="Q718" t="str">
        <f>IF(OR($P718="",$S718=""),"",IFERROR($P718-INDEX(Config!$E$15:$E$18,MATCH($S718,Config!$B$15:$B$18,0)),""))</f>
        <v/>
      </c>
      <c r="R718" t="str">
        <f t="shared" si="50"/>
        <v/>
      </c>
      <c r="S718" s="6" t="str">
        <f>IF(OR($A718="",$C718=""),"",IFERROR(INDEX(Turno!$C$3:$V$32,MATCH($C718,Turno!$B$3:$B$32,0),MATCH(DAY($A718),Turno!$C$1:$V$1,0)),""))</f>
        <v/>
      </c>
      <c r="T718" t="str">
        <f>IF(OR($E718="",$S718=""),"",IFERROR(MAX(0,ROUND((INDEX(Config!$D$15:$D$18,MATCH($S718,Config!$B$15:$B$18,0))-$E718)*1440,0)),""))</f>
        <v/>
      </c>
      <c r="U718" s="13" t="str">
        <f>IF(OR($N718="",$T718=""),"",IFERROR(MAX(0,1-($N718+$T718+MAX(0,N($Q718)))/ROUND((INDEX(Config!$D$15:$D$18,MATCH($S718,Config!$B$15:$B$18,0))-INDEX(Config!$C$15:$C$18,MATCH($S718,Config!$B$15:$B$18,0)))*1440,0)),""))</f>
        <v/>
      </c>
      <c r="V718" s="5"/>
    </row>
    <row r="719" spans="1:22" x14ac:dyDescent="0.25">
      <c r="A719" s="11"/>
      <c r="B719" s="5"/>
      <c r="C719" s="6" t="str">
        <f>IFERROR(INDEX(Ejecutivos!$B$2:$B$100,MATCH(B719,Ejecutivos!$A$2:$A$100,0)),"")</f>
        <v/>
      </c>
      <c r="D719" s="12"/>
      <c r="E719" s="12"/>
      <c r="F719" s="12"/>
      <c r="G719" s="12"/>
      <c r="H719" s="5"/>
      <c r="I719" s="5"/>
      <c r="J719" s="5"/>
      <c r="K719" s="5"/>
      <c r="L719" s="18">
        <v>0</v>
      </c>
      <c r="M719" t="str">
        <f t="shared" si="47"/>
        <v/>
      </c>
      <c r="N719" t="str">
        <f>IF(OR($D719="",$S719=""),"",IFERROR(MAX(0,ROUND(($D719-INDEX(Config!$C$15:$C$18,MATCH($S719,Config!$B$15:$B$18,0)))*24*60,0)),""))</f>
        <v/>
      </c>
      <c r="O719" t="str">
        <f t="shared" si="48"/>
        <v/>
      </c>
      <c r="P719" t="str">
        <f t="shared" si="49"/>
        <v/>
      </c>
      <c r="Q719" t="str">
        <f>IF(OR($P719="",$S719=""),"",IFERROR($P719-INDEX(Config!$E$15:$E$18,MATCH($S719,Config!$B$15:$B$18,0)),""))</f>
        <v/>
      </c>
      <c r="R719" t="str">
        <f t="shared" si="50"/>
        <v/>
      </c>
      <c r="S719" s="6" t="str">
        <f>IF(OR($A719="",$C719=""),"",IFERROR(INDEX(Turno!$C$3:$V$32,MATCH($C719,Turno!$B$3:$B$32,0),MATCH(DAY($A719),Turno!$C$1:$V$1,0)),""))</f>
        <v/>
      </c>
      <c r="T719" t="str">
        <f>IF(OR($E719="",$S719=""),"",IFERROR(MAX(0,ROUND((INDEX(Config!$D$15:$D$18,MATCH($S719,Config!$B$15:$B$18,0))-$E719)*1440,0)),""))</f>
        <v/>
      </c>
      <c r="U719" s="13" t="str">
        <f>IF(OR($N719="",$T719=""),"",IFERROR(MAX(0,1-($N719+$T719+MAX(0,N($Q719)))/ROUND((INDEX(Config!$D$15:$D$18,MATCH($S719,Config!$B$15:$B$18,0))-INDEX(Config!$C$15:$C$18,MATCH($S719,Config!$B$15:$B$18,0)))*1440,0)),""))</f>
        <v/>
      </c>
      <c r="V719" s="5"/>
    </row>
    <row r="720" spans="1:22" x14ac:dyDescent="0.25">
      <c r="A720" s="11"/>
      <c r="B720" s="5"/>
      <c r="C720" s="6" t="str">
        <f>IFERROR(INDEX(Ejecutivos!$B$2:$B$100,MATCH(B720,Ejecutivos!$A$2:$A$100,0)),"")</f>
        <v/>
      </c>
      <c r="D720" s="12"/>
      <c r="E720" s="12"/>
      <c r="F720" s="12"/>
      <c r="G720" s="12"/>
      <c r="H720" s="5"/>
      <c r="I720" s="5"/>
      <c r="J720" s="5"/>
      <c r="K720" s="5"/>
      <c r="L720" s="18">
        <v>0</v>
      </c>
      <c r="M720" t="str">
        <f t="shared" si="47"/>
        <v/>
      </c>
      <c r="N720" t="str">
        <f>IF(OR($D720="",$S720=""),"",IFERROR(MAX(0,ROUND(($D720-INDEX(Config!$C$15:$C$18,MATCH($S720,Config!$B$15:$B$18,0)))*24*60,0)),""))</f>
        <v/>
      </c>
      <c r="O720" t="str">
        <f t="shared" si="48"/>
        <v/>
      </c>
      <c r="P720" t="str">
        <f t="shared" si="49"/>
        <v/>
      </c>
      <c r="Q720" t="str">
        <f>IF(OR($P720="",$S720=""),"",IFERROR($P720-INDEX(Config!$E$15:$E$18,MATCH($S720,Config!$B$15:$B$18,0)),""))</f>
        <v/>
      </c>
      <c r="R720" t="str">
        <f t="shared" si="50"/>
        <v/>
      </c>
      <c r="S720" s="6" t="str">
        <f>IF(OR($A720="",$C720=""),"",IFERROR(INDEX(Turno!$C$3:$V$32,MATCH($C720,Turno!$B$3:$B$32,0),MATCH(DAY($A720),Turno!$C$1:$V$1,0)),""))</f>
        <v/>
      </c>
      <c r="T720" t="str">
        <f>IF(OR($E720="",$S720=""),"",IFERROR(MAX(0,ROUND((INDEX(Config!$D$15:$D$18,MATCH($S720,Config!$B$15:$B$18,0))-$E720)*1440,0)),""))</f>
        <v/>
      </c>
      <c r="U720" s="13" t="str">
        <f>IF(OR($N720="",$T720=""),"",IFERROR(MAX(0,1-($N720+$T720+MAX(0,N($Q720)))/ROUND((INDEX(Config!$D$15:$D$18,MATCH($S720,Config!$B$15:$B$18,0))-INDEX(Config!$C$15:$C$18,MATCH($S720,Config!$B$15:$B$18,0)))*1440,0)),""))</f>
        <v/>
      </c>
      <c r="V720" s="5"/>
    </row>
    <row r="721" spans="1:22" x14ac:dyDescent="0.25">
      <c r="A721" s="11"/>
      <c r="B721" s="5"/>
      <c r="C721" s="6" t="str">
        <f>IFERROR(INDEX(Ejecutivos!$B$2:$B$100,MATCH(B721,Ejecutivos!$A$2:$A$100,0)),"")</f>
        <v/>
      </c>
      <c r="D721" s="12"/>
      <c r="E721" s="12"/>
      <c r="F721" s="12"/>
      <c r="G721" s="12"/>
      <c r="H721" s="5"/>
      <c r="I721" s="5"/>
      <c r="J721" s="5"/>
      <c r="K721" s="5"/>
      <c r="L721" s="18">
        <v>0</v>
      </c>
      <c r="M721" t="str">
        <f t="shared" si="47"/>
        <v/>
      </c>
      <c r="N721" t="str">
        <f>IF(OR($D721="",$S721=""),"",IFERROR(MAX(0,ROUND(($D721-INDEX(Config!$C$15:$C$18,MATCH($S721,Config!$B$15:$B$18,0)))*24*60,0)),""))</f>
        <v/>
      </c>
      <c r="O721" t="str">
        <f t="shared" si="48"/>
        <v/>
      </c>
      <c r="P721" t="str">
        <f t="shared" si="49"/>
        <v/>
      </c>
      <c r="Q721" t="str">
        <f>IF(OR($P721="",$S721=""),"",IFERROR($P721-INDEX(Config!$E$15:$E$18,MATCH($S721,Config!$B$15:$B$18,0)),""))</f>
        <v/>
      </c>
      <c r="R721" t="str">
        <f t="shared" si="50"/>
        <v/>
      </c>
      <c r="S721" s="6" t="str">
        <f>IF(OR($A721="",$C721=""),"",IFERROR(INDEX(Turno!$C$3:$V$32,MATCH($C721,Turno!$B$3:$B$32,0),MATCH(DAY($A721),Turno!$C$1:$V$1,0)),""))</f>
        <v/>
      </c>
      <c r="T721" t="str">
        <f>IF(OR($E721="",$S721=""),"",IFERROR(MAX(0,ROUND((INDEX(Config!$D$15:$D$18,MATCH($S721,Config!$B$15:$B$18,0))-$E721)*1440,0)),""))</f>
        <v/>
      </c>
      <c r="U721" s="13" t="str">
        <f>IF(OR($N721="",$T721=""),"",IFERROR(MAX(0,1-($N721+$T721+MAX(0,N($Q721)))/ROUND((INDEX(Config!$D$15:$D$18,MATCH($S721,Config!$B$15:$B$18,0))-INDEX(Config!$C$15:$C$18,MATCH($S721,Config!$B$15:$B$18,0)))*1440,0)),""))</f>
        <v/>
      </c>
      <c r="V721" s="5"/>
    </row>
    <row r="722" spans="1:22" x14ac:dyDescent="0.25">
      <c r="A722" s="11"/>
      <c r="B722" s="5"/>
      <c r="C722" s="6" t="str">
        <f>IFERROR(INDEX(Ejecutivos!$B$2:$B$100,MATCH(B722,Ejecutivos!$A$2:$A$100,0)),"")</f>
        <v/>
      </c>
      <c r="D722" s="12"/>
      <c r="E722" s="12"/>
      <c r="F722" s="12"/>
      <c r="G722" s="12"/>
      <c r="H722" s="5"/>
      <c r="I722" s="5"/>
      <c r="J722" s="5"/>
      <c r="K722" s="5"/>
      <c r="L722" s="18">
        <v>0</v>
      </c>
      <c r="M722" t="str">
        <f t="shared" si="47"/>
        <v/>
      </c>
      <c r="N722" t="str">
        <f>IF(OR($D722="",$S722=""),"",IFERROR(MAX(0,ROUND(($D722-INDEX(Config!$C$15:$C$18,MATCH($S722,Config!$B$15:$B$18,0)))*24*60,0)),""))</f>
        <v/>
      </c>
      <c r="O722" t="str">
        <f t="shared" si="48"/>
        <v/>
      </c>
      <c r="P722" t="str">
        <f t="shared" si="49"/>
        <v/>
      </c>
      <c r="Q722" t="str">
        <f>IF(OR($P722="",$S722=""),"",IFERROR($P722-INDEX(Config!$E$15:$E$18,MATCH($S722,Config!$B$15:$B$18,0)),""))</f>
        <v/>
      </c>
      <c r="R722" t="str">
        <f t="shared" si="50"/>
        <v/>
      </c>
      <c r="S722" s="6" t="str">
        <f>IF(OR($A722="",$C722=""),"",IFERROR(INDEX(Turno!$C$3:$V$32,MATCH($C722,Turno!$B$3:$B$32,0),MATCH(DAY($A722),Turno!$C$1:$V$1,0)),""))</f>
        <v/>
      </c>
      <c r="T722" t="str">
        <f>IF(OR($E722="",$S722=""),"",IFERROR(MAX(0,ROUND((INDEX(Config!$D$15:$D$18,MATCH($S722,Config!$B$15:$B$18,0))-$E722)*1440,0)),""))</f>
        <v/>
      </c>
      <c r="U722" s="13" t="str">
        <f>IF(OR($N722="",$T722=""),"",IFERROR(MAX(0,1-($N722+$T722+MAX(0,N($Q722)))/ROUND((INDEX(Config!$D$15:$D$18,MATCH($S722,Config!$B$15:$B$18,0))-INDEX(Config!$C$15:$C$18,MATCH($S722,Config!$B$15:$B$18,0)))*1440,0)),""))</f>
        <v/>
      </c>
      <c r="V722" s="5"/>
    </row>
    <row r="723" spans="1:22" x14ac:dyDescent="0.25">
      <c r="A723" s="11"/>
      <c r="B723" s="5"/>
      <c r="C723" s="6" t="str">
        <f>IFERROR(INDEX(Ejecutivos!$B$2:$B$100,MATCH(B723,Ejecutivos!$A$2:$A$100,0)),"")</f>
        <v/>
      </c>
      <c r="D723" s="12"/>
      <c r="E723" s="12"/>
      <c r="F723" s="12"/>
      <c r="G723" s="12"/>
      <c r="H723" s="5"/>
      <c r="I723" s="5"/>
      <c r="J723" s="5"/>
      <c r="K723" s="5"/>
      <c r="L723" s="18">
        <v>0</v>
      </c>
      <c r="M723" t="str">
        <f t="shared" si="47"/>
        <v/>
      </c>
      <c r="N723" t="str">
        <f>IF(OR($D723="",$S723=""),"",IFERROR(MAX(0,ROUND(($D723-INDEX(Config!$C$15:$C$18,MATCH($S723,Config!$B$15:$B$18,0)))*24*60,0)),""))</f>
        <v/>
      </c>
      <c r="O723" t="str">
        <f t="shared" si="48"/>
        <v/>
      </c>
      <c r="P723" t="str">
        <f t="shared" si="49"/>
        <v/>
      </c>
      <c r="Q723" t="str">
        <f>IF(OR($P723="",$S723=""),"",IFERROR($P723-INDEX(Config!$E$15:$E$18,MATCH($S723,Config!$B$15:$B$18,0)),""))</f>
        <v/>
      </c>
      <c r="R723" t="str">
        <f t="shared" si="50"/>
        <v/>
      </c>
      <c r="S723" s="6" t="str">
        <f>IF(OR($A723="",$C723=""),"",IFERROR(INDEX(Turno!$C$3:$V$32,MATCH($C723,Turno!$B$3:$B$32,0),MATCH(DAY($A723),Turno!$C$1:$V$1,0)),""))</f>
        <v/>
      </c>
      <c r="T723" t="str">
        <f>IF(OR($E723="",$S723=""),"",IFERROR(MAX(0,ROUND((INDEX(Config!$D$15:$D$18,MATCH($S723,Config!$B$15:$B$18,0))-$E723)*1440,0)),""))</f>
        <v/>
      </c>
      <c r="U723" s="13" t="str">
        <f>IF(OR($N723="",$T723=""),"",IFERROR(MAX(0,1-($N723+$T723+MAX(0,N($Q723)))/ROUND((INDEX(Config!$D$15:$D$18,MATCH($S723,Config!$B$15:$B$18,0))-INDEX(Config!$C$15:$C$18,MATCH($S723,Config!$B$15:$B$18,0)))*1440,0)),""))</f>
        <v/>
      </c>
      <c r="V723" s="5"/>
    </row>
    <row r="724" spans="1:22" x14ac:dyDescent="0.25">
      <c r="A724" s="11"/>
      <c r="B724" s="5"/>
      <c r="C724" s="6" t="str">
        <f>IFERROR(INDEX(Ejecutivos!$B$2:$B$100,MATCH(B724,Ejecutivos!$A$2:$A$100,0)),"")</f>
        <v/>
      </c>
      <c r="D724" s="12"/>
      <c r="E724" s="12"/>
      <c r="F724" s="12"/>
      <c r="G724" s="12"/>
      <c r="H724" s="5"/>
      <c r="I724" s="5"/>
      <c r="J724" s="5"/>
      <c r="K724" s="5"/>
      <c r="L724" s="18">
        <v>0</v>
      </c>
      <c r="M724" t="str">
        <f t="shared" si="47"/>
        <v/>
      </c>
      <c r="N724" t="str">
        <f>IF(OR($D724="",$S724=""),"",IFERROR(MAX(0,ROUND(($D724-INDEX(Config!$C$15:$C$18,MATCH($S724,Config!$B$15:$B$18,0)))*24*60,0)),""))</f>
        <v/>
      </c>
      <c r="O724" t="str">
        <f t="shared" si="48"/>
        <v/>
      </c>
      <c r="P724" t="str">
        <f t="shared" si="49"/>
        <v/>
      </c>
      <c r="Q724" t="str">
        <f>IF(OR($P724="",$S724=""),"",IFERROR($P724-INDEX(Config!$E$15:$E$18,MATCH($S724,Config!$B$15:$B$18,0)),""))</f>
        <v/>
      </c>
      <c r="R724" t="str">
        <f t="shared" si="50"/>
        <v/>
      </c>
      <c r="S724" s="6" t="str">
        <f>IF(OR($A724="",$C724=""),"",IFERROR(INDEX(Turno!$C$3:$V$32,MATCH($C724,Turno!$B$3:$B$32,0),MATCH(DAY($A724),Turno!$C$1:$V$1,0)),""))</f>
        <v/>
      </c>
      <c r="T724" t="str">
        <f>IF(OR($E724="",$S724=""),"",IFERROR(MAX(0,ROUND((INDEX(Config!$D$15:$D$18,MATCH($S724,Config!$B$15:$B$18,0))-$E724)*1440,0)),""))</f>
        <v/>
      </c>
      <c r="U724" s="13" t="str">
        <f>IF(OR($N724="",$T724=""),"",IFERROR(MAX(0,1-($N724+$T724+MAX(0,N($Q724)))/ROUND((INDEX(Config!$D$15:$D$18,MATCH($S724,Config!$B$15:$B$18,0))-INDEX(Config!$C$15:$C$18,MATCH($S724,Config!$B$15:$B$18,0)))*1440,0)),""))</f>
        <v/>
      </c>
      <c r="V724" s="5"/>
    </row>
    <row r="725" spans="1:22" x14ac:dyDescent="0.25">
      <c r="A725" s="11"/>
      <c r="B725" s="5"/>
      <c r="C725" s="6" t="str">
        <f>IFERROR(INDEX(Ejecutivos!$B$2:$B$100,MATCH(B725,Ejecutivos!$A$2:$A$100,0)),"")</f>
        <v/>
      </c>
      <c r="D725" s="12"/>
      <c r="E725" s="12"/>
      <c r="F725" s="12"/>
      <c r="G725" s="12"/>
      <c r="H725" s="5"/>
      <c r="I725" s="5"/>
      <c r="J725" s="5"/>
      <c r="K725" s="5"/>
      <c r="L725" s="18">
        <v>0</v>
      </c>
      <c r="M725" t="str">
        <f t="shared" si="47"/>
        <v/>
      </c>
      <c r="N725" t="str">
        <f>IF(OR($D725="",$S725=""),"",IFERROR(MAX(0,ROUND(($D725-INDEX(Config!$C$15:$C$18,MATCH($S725,Config!$B$15:$B$18,0)))*24*60,0)),""))</f>
        <v/>
      </c>
      <c r="O725" t="str">
        <f t="shared" si="48"/>
        <v/>
      </c>
      <c r="P725" t="str">
        <f t="shared" si="49"/>
        <v/>
      </c>
      <c r="Q725" t="str">
        <f>IF(OR($P725="",$S725=""),"",IFERROR($P725-INDEX(Config!$E$15:$E$18,MATCH($S725,Config!$B$15:$B$18,0)),""))</f>
        <v/>
      </c>
      <c r="R725" t="str">
        <f t="shared" si="50"/>
        <v/>
      </c>
      <c r="S725" s="6" t="str">
        <f>IF(OR($A725="",$C725=""),"",IFERROR(INDEX(Turno!$C$3:$V$32,MATCH($C725,Turno!$B$3:$B$32,0),MATCH(DAY($A725),Turno!$C$1:$V$1,0)),""))</f>
        <v/>
      </c>
      <c r="T725" t="str">
        <f>IF(OR($E725="",$S725=""),"",IFERROR(MAX(0,ROUND((INDEX(Config!$D$15:$D$18,MATCH($S725,Config!$B$15:$B$18,0))-$E725)*1440,0)),""))</f>
        <v/>
      </c>
      <c r="U725" s="13" t="str">
        <f>IF(OR($N725="",$T725=""),"",IFERROR(MAX(0,1-($N725+$T725+MAX(0,N($Q725)))/ROUND((INDEX(Config!$D$15:$D$18,MATCH($S725,Config!$B$15:$B$18,0))-INDEX(Config!$C$15:$C$18,MATCH($S725,Config!$B$15:$B$18,0)))*1440,0)),""))</f>
        <v/>
      </c>
      <c r="V725" s="5"/>
    </row>
    <row r="726" spans="1:22" x14ac:dyDescent="0.25">
      <c r="A726" s="11"/>
      <c r="B726" s="5"/>
      <c r="C726" s="6" t="str">
        <f>IFERROR(INDEX(Ejecutivos!$B$2:$B$100,MATCH(B726,Ejecutivos!$A$2:$A$100,0)),"")</f>
        <v/>
      </c>
      <c r="D726" s="12"/>
      <c r="E726" s="12"/>
      <c r="F726" s="12"/>
      <c r="G726" s="12"/>
      <c r="H726" s="5"/>
      <c r="I726" s="5"/>
      <c r="J726" s="5"/>
      <c r="K726" s="5"/>
      <c r="L726" s="18">
        <v>0</v>
      </c>
      <c r="M726" t="str">
        <f t="shared" si="47"/>
        <v/>
      </c>
      <c r="N726" t="str">
        <f>IF(OR($D726="",$S726=""),"",IFERROR(MAX(0,ROUND(($D726-INDEX(Config!$C$15:$C$18,MATCH($S726,Config!$B$15:$B$18,0)))*24*60,0)),""))</f>
        <v/>
      </c>
      <c r="O726" t="str">
        <f t="shared" si="48"/>
        <v/>
      </c>
      <c r="P726" t="str">
        <f t="shared" si="49"/>
        <v/>
      </c>
      <c r="Q726" t="str">
        <f>IF(OR($P726="",$S726=""),"",IFERROR($P726-INDEX(Config!$E$15:$E$18,MATCH($S726,Config!$B$15:$B$18,0)),""))</f>
        <v/>
      </c>
      <c r="R726" t="str">
        <f t="shared" si="50"/>
        <v/>
      </c>
      <c r="S726" s="6" t="str">
        <f>IF(OR($A726="",$C726=""),"",IFERROR(INDEX(Turno!$C$3:$V$32,MATCH($C726,Turno!$B$3:$B$32,0),MATCH(DAY($A726),Turno!$C$1:$V$1,0)),""))</f>
        <v/>
      </c>
      <c r="T726" t="str">
        <f>IF(OR($E726="",$S726=""),"",IFERROR(MAX(0,ROUND((INDEX(Config!$D$15:$D$18,MATCH($S726,Config!$B$15:$B$18,0))-$E726)*1440,0)),""))</f>
        <v/>
      </c>
      <c r="U726" s="13" t="str">
        <f>IF(OR($N726="",$T726=""),"",IFERROR(MAX(0,1-($N726+$T726+MAX(0,N($Q726)))/ROUND((INDEX(Config!$D$15:$D$18,MATCH($S726,Config!$B$15:$B$18,0))-INDEX(Config!$C$15:$C$18,MATCH($S726,Config!$B$15:$B$18,0)))*1440,0)),""))</f>
        <v/>
      </c>
      <c r="V726" s="5"/>
    </row>
    <row r="727" spans="1:22" x14ac:dyDescent="0.25">
      <c r="A727" s="11"/>
      <c r="B727" s="5"/>
      <c r="C727" s="6" t="str">
        <f>IFERROR(INDEX(Ejecutivos!$B$2:$B$100,MATCH(B727,Ejecutivos!$A$2:$A$100,0)),"")</f>
        <v/>
      </c>
      <c r="D727" s="12"/>
      <c r="E727" s="12"/>
      <c r="F727" s="12"/>
      <c r="G727" s="12"/>
      <c r="H727" s="5"/>
      <c r="I727" s="5"/>
      <c r="J727" s="5"/>
      <c r="K727" s="5"/>
      <c r="L727" s="18">
        <v>0</v>
      </c>
      <c r="M727" t="str">
        <f t="shared" si="47"/>
        <v/>
      </c>
      <c r="N727" t="str">
        <f>IF(OR($D727="",$S727=""),"",IFERROR(MAX(0,ROUND(($D727-INDEX(Config!$C$15:$C$18,MATCH($S727,Config!$B$15:$B$18,0)))*24*60,0)),""))</f>
        <v/>
      </c>
      <c r="O727" t="str">
        <f t="shared" si="48"/>
        <v/>
      </c>
      <c r="P727" t="str">
        <f t="shared" si="49"/>
        <v/>
      </c>
      <c r="Q727" t="str">
        <f>IF(OR($P727="",$S727=""),"",IFERROR($P727-INDEX(Config!$E$15:$E$18,MATCH($S727,Config!$B$15:$B$18,0)),""))</f>
        <v/>
      </c>
      <c r="R727" t="str">
        <f t="shared" si="50"/>
        <v/>
      </c>
      <c r="S727" s="6" t="str">
        <f>IF(OR($A727="",$C727=""),"",IFERROR(INDEX(Turno!$C$3:$V$32,MATCH($C727,Turno!$B$3:$B$32,0),MATCH(DAY($A727),Turno!$C$1:$V$1,0)),""))</f>
        <v/>
      </c>
      <c r="T727" t="str">
        <f>IF(OR($E727="",$S727=""),"",IFERROR(MAX(0,ROUND((INDEX(Config!$D$15:$D$18,MATCH($S727,Config!$B$15:$B$18,0))-$E727)*1440,0)),""))</f>
        <v/>
      </c>
      <c r="U727" s="13" t="str">
        <f>IF(OR($N727="",$T727=""),"",IFERROR(MAX(0,1-($N727+$T727+MAX(0,N($Q727)))/ROUND((INDEX(Config!$D$15:$D$18,MATCH($S727,Config!$B$15:$B$18,0))-INDEX(Config!$C$15:$C$18,MATCH($S727,Config!$B$15:$B$18,0)))*1440,0)),""))</f>
        <v/>
      </c>
      <c r="V727" s="5"/>
    </row>
    <row r="728" spans="1:22" x14ac:dyDescent="0.25">
      <c r="A728" s="11"/>
      <c r="B728" s="5"/>
      <c r="C728" s="6" t="str">
        <f>IFERROR(INDEX(Ejecutivos!$B$2:$B$100,MATCH(B728,Ejecutivos!$A$2:$A$100,0)),"")</f>
        <v/>
      </c>
      <c r="D728" s="12"/>
      <c r="E728" s="12"/>
      <c r="F728" s="12"/>
      <c r="G728" s="12"/>
      <c r="H728" s="5"/>
      <c r="I728" s="5"/>
      <c r="J728" s="5"/>
      <c r="K728" s="5"/>
      <c r="L728" s="18">
        <v>0</v>
      </c>
      <c r="M728" t="str">
        <f t="shared" si="47"/>
        <v/>
      </c>
      <c r="N728" t="str">
        <f>IF(OR($D728="",$S728=""),"",IFERROR(MAX(0,ROUND(($D728-INDEX(Config!$C$15:$C$18,MATCH($S728,Config!$B$15:$B$18,0)))*24*60,0)),""))</f>
        <v/>
      </c>
      <c r="O728" t="str">
        <f t="shared" si="48"/>
        <v/>
      </c>
      <c r="P728" t="str">
        <f t="shared" si="49"/>
        <v/>
      </c>
      <c r="Q728" t="str">
        <f>IF(OR($P728="",$S728=""),"",IFERROR($P728-INDEX(Config!$E$15:$E$18,MATCH($S728,Config!$B$15:$B$18,0)),""))</f>
        <v/>
      </c>
      <c r="R728" t="str">
        <f t="shared" si="50"/>
        <v/>
      </c>
      <c r="S728" s="6" t="str">
        <f>IF(OR($A728="",$C728=""),"",IFERROR(INDEX(Turno!$C$3:$V$32,MATCH($C728,Turno!$B$3:$B$32,0),MATCH(DAY($A728),Turno!$C$1:$V$1,0)),""))</f>
        <v/>
      </c>
      <c r="T728" t="str">
        <f>IF(OR($E728="",$S728=""),"",IFERROR(MAX(0,ROUND((INDEX(Config!$D$15:$D$18,MATCH($S728,Config!$B$15:$B$18,0))-$E728)*1440,0)),""))</f>
        <v/>
      </c>
      <c r="U728" s="13" t="str">
        <f>IF(OR($N728="",$T728=""),"",IFERROR(MAX(0,1-($N728+$T728+MAX(0,N($Q728)))/ROUND((INDEX(Config!$D$15:$D$18,MATCH($S728,Config!$B$15:$B$18,0))-INDEX(Config!$C$15:$C$18,MATCH($S728,Config!$B$15:$B$18,0)))*1440,0)),""))</f>
        <v/>
      </c>
      <c r="V728" s="5"/>
    </row>
    <row r="729" spans="1:22" x14ac:dyDescent="0.25">
      <c r="A729" s="11"/>
      <c r="B729" s="5"/>
      <c r="C729" s="6" t="str">
        <f>IFERROR(INDEX(Ejecutivos!$B$2:$B$100,MATCH(B729,Ejecutivos!$A$2:$A$100,0)),"")</f>
        <v/>
      </c>
      <c r="D729" s="12"/>
      <c r="E729" s="12"/>
      <c r="F729" s="12"/>
      <c r="G729" s="12"/>
      <c r="H729" s="5"/>
      <c r="I729" s="5"/>
      <c r="J729" s="5"/>
      <c r="K729" s="5"/>
      <c r="L729" s="18">
        <v>0</v>
      </c>
      <c r="M729" t="str">
        <f t="shared" si="47"/>
        <v/>
      </c>
      <c r="N729" t="str">
        <f>IF(OR($D729="",$S729=""),"",IFERROR(MAX(0,ROUND(($D729-INDEX(Config!$C$15:$C$18,MATCH($S729,Config!$B$15:$B$18,0)))*24*60,0)),""))</f>
        <v/>
      </c>
      <c r="O729" t="str">
        <f t="shared" si="48"/>
        <v/>
      </c>
      <c r="P729" t="str">
        <f t="shared" si="49"/>
        <v/>
      </c>
      <c r="Q729" t="str">
        <f>IF(OR($P729="",$S729=""),"",IFERROR($P729-INDEX(Config!$E$15:$E$18,MATCH($S729,Config!$B$15:$B$18,0)),""))</f>
        <v/>
      </c>
      <c r="R729" t="str">
        <f t="shared" si="50"/>
        <v/>
      </c>
      <c r="S729" s="6" t="str">
        <f>IF(OR($A729="",$C729=""),"",IFERROR(INDEX(Turno!$C$3:$V$32,MATCH($C729,Turno!$B$3:$B$32,0),MATCH(DAY($A729),Turno!$C$1:$V$1,0)),""))</f>
        <v/>
      </c>
      <c r="T729" t="str">
        <f>IF(OR($E729="",$S729=""),"",IFERROR(MAX(0,ROUND((INDEX(Config!$D$15:$D$18,MATCH($S729,Config!$B$15:$B$18,0))-$E729)*1440,0)),""))</f>
        <v/>
      </c>
      <c r="U729" s="13" t="str">
        <f>IF(OR($N729="",$T729=""),"",IFERROR(MAX(0,1-($N729+$T729+MAX(0,N($Q729)))/ROUND((INDEX(Config!$D$15:$D$18,MATCH($S729,Config!$B$15:$B$18,0))-INDEX(Config!$C$15:$C$18,MATCH($S729,Config!$B$15:$B$18,0)))*1440,0)),""))</f>
        <v/>
      </c>
      <c r="V729" s="5"/>
    </row>
    <row r="730" spans="1:22" x14ac:dyDescent="0.25">
      <c r="A730" s="11"/>
      <c r="B730" s="5"/>
      <c r="C730" s="6" t="str">
        <f>IFERROR(INDEX(Ejecutivos!$B$2:$B$100,MATCH(B730,Ejecutivos!$A$2:$A$100,0)),"")</f>
        <v/>
      </c>
      <c r="D730" s="12"/>
      <c r="E730" s="12"/>
      <c r="F730" s="12"/>
      <c r="G730" s="12"/>
      <c r="H730" s="5"/>
      <c r="I730" s="5"/>
      <c r="J730" s="5"/>
      <c r="K730" s="5"/>
      <c r="L730" s="18">
        <v>0</v>
      </c>
      <c r="M730" t="str">
        <f t="shared" si="47"/>
        <v/>
      </c>
      <c r="N730" t="str">
        <f>IF(OR($D730="",$S730=""),"",IFERROR(MAX(0,ROUND(($D730-INDEX(Config!$C$15:$C$18,MATCH($S730,Config!$B$15:$B$18,0)))*24*60,0)),""))</f>
        <v/>
      </c>
      <c r="O730" t="str">
        <f t="shared" si="48"/>
        <v/>
      </c>
      <c r="P730" t="str">
        <f t="shared" si="49"/>
        <v/>
      </c>
      <c r="Q730" t="str">
        <f>IF(OR($P730="",$S730=""),"",IFERROR($P730-INDEX(Config!$E$15:$E$18,MATCH($S730,Config!$B$15:$B$18,0)),""))</f>
        <v/>
      </c>
      <c r="R730" t="str">
        <f t="shared" si="50"/>
        <v/>
      </c>
      <c r="S730" s="6" t="str">
        <f>IF(OR($A730="",$C730=""),"",IFERROR(INDEX(Turno!$C$3:$V$32,MATCH($C730,Turno!$B$3:$B$32,0),MATCH(DAY($A730),Turno!$C$1:$V$1,0)),""))</f>
        <v/>
      </c>
      <c r="T730" t="str">
        <f>IF(OR($E730="",$S730=""),"",IFERROR(MAX(0,ROUND((INDEX(Config!$D$15:$D$18,MATCH($S730,Config!$B$15:$B$18,0))-$E730)*1440,0)),""))</f>
        <v/>
      </c>
      <c r="U730" s="13" t="str">
        <f>IF(OR($N730="",$T730=""),"",IFERROR(MAX(0,1-($N730+$T730+MAX(0,N($Q730)))/ROUND((INDEX(Config!$D$15:$D$18,MATCH($S730,Config!$B$15:$B$18,0))-INDEX(Config!$C$15:$C$18,MATCH($S730,Config!$B$15:$B$18,0)))*1440,0)),""))</f>
        <v/>
      </c>
      <c r="V730" s="5"/>
    </row>
    <row r="731" spans="1:22" x14ac:dyDescent="0.25">
      <c r="A731" s="11"/>
      <c r="B731" s="5"/>
      <c r="C731" s="6" t="str">
        <f>IFERROR(INDEX(Ejecutivos!$B$2:$B$100,MATCH(B731,Ejecutivos!$A$2:$A$100,0)),"")</f>
        <v/>
      </c>
      <c r="D731" s="12"/>
      <c r="E731" s="12"/>
      <c r="F731" s="12"/>
      <c r="G731" s="12"/>
      <c r="H731" s="5"/>
      <c r="I731" s="5"/>
      <c r="J731" s="5"/>
      <c r="K731" s="5"/>
      <c r="L731" s="18">
        <v>0</v>
      </c>
      <c r="M731" t="str">
        <f t="shared" si="47"/>
        <v/>
      </c>
      <c r="N731" t="str">
        <f>IF(OR($D731="",$S731=""),"",IFERROR(MAX(0,ROUND(($D731-INDEX(Config!$C$15:$C$18,MATCH($S731,Config!$B$15:$B$18,0)))*24*60,0)),""))</f>
        <v/>
      </c>
      <c r="O731" t="str">
        <f t="shared" si="48"/>
        <v/>
      </c>
      <c r="P731" t="str">
        <f t="shared" si="49"/>
        <v/>
      </c>
      <c r="Q731" t="str">
        <f>IF(OR($P731="",$S731=""),"",IFERROR($P731-INDEX(Config!$E$15:$E$18,MATCH($S731,Config!$B$15:$B$18,0)),""))</f>
        <v/>
      </c>
      <c r="R731" t="str">
        <f t="shared" si="50"/>
        <v/>
      </c>
      <c r="S731" s="6" t="str">
        <f>IF(OR($A731="",$C731=""),"",IFERROR(INDEX(Turno!$C$3:$V$32,MATCH($C731,Turno!$B$3:$B$32,0),MATCH(DAY($A731),Turno!$C$1:$V$1,0)),""))</f>
        <v/>
      </c>
      <c r="T731" t="str">
        <f>IF(OR($E731="",$S731=""),"",IFERROR(MAX(0,ROUND((INDEX(Config!$D$15:$D$18,MATCH($S731,Config!$B$15:$B$18,0))-$E731)*1440,0)),""))</f>
        <v/>
      </c>
      <c r="U731" s="13" t="str">
        <f>IF(OR($N731="",$T731=""),"",IFERROR(MAX(0,1-($N731+$T731+MAX(0,N($Q731)))/ROUND((INDEX(Config!$D$15:$D$18,MATCH($S731,Config!$B$15:$B$18,0))-INDEX(Config!$C$15:$C$18,MATCH($S731,Config!$B$15:$B$18,0)))*1440,0)),""))</f>
        <v/>
      </c>
      <c r="V731" s="5"/>
    </row>
    <row r="732" spans="1:22" x14ac:dyDescent="0.25">
      <c r="A732" s="11"/>
      <c r="B732" s="5"/>
      <c r="C732" s="6" t="str">
        <f>IFERROR(INDEX(Ejecutivos!$B$2:$B$100,MATCH(B732,Ejecutivos!$A$2:$A$100,0)),"")</f>
        <v/>
      </c>
      <c r="D732" s="12"/>
      <c r="E732" s="12"/>
      <c r="F732" s="12"/>
      <c r="G732" s="12"/>
      <c r="H732" s="5"/>
      <c r="I732" s="5"/>
      <c r="J732" s="5"/>
      <c r="K732" s="5"/>
      <c r="L732" s="18">
        <v>0</v>
      </c>
      <c r="M732" t="str">
        <f t="shared" si="47"/>
        <v/>
      </c>
      <c r="N732" t="str">
        <f>IF(OR($D732="",$S732=""),"",IFERROR(MAX(0,ROUND(($D732-INDEX(Config!$C$15:$C$18,MATCH($S732,Config!$B$15:$B$18,0)))*24*60,0)),""))</f>
        <v/>
      </c>
      <c r="O732" t="str">
        <f t="shared" si="48"/>
        <v/>
      </c>
      <c r="P732" t="str">
        <f t="shared" si="49"/>
        <v/>
      </c>
      <c r="Q732" t="str">
        <f>IF(OR($P732="",$S732=""),"",IFERROR($P732-INDEX(Config!$E$15:$E$18,MATCH($S732,Config!$B$15:$B$18,0)),""))</f>
        <v/>
      </c>
      <c r="R732" t="str">
        <f t="shared" si="50"/>
        <v/>
      </c>
      <c r="S732" s="6" t="str">
        <f>IF(OR($A732="",$C732=""),"",IFERROR(INDEX(Turno!$C$3:$V$32,MATCH($C732,Turno!$B$3:$B$32,0),MATCH(DAY($A732),Turno!$C$1:$V$1,0)),""))</f>
        <v/>
      </c>
      <c r="T732" t="str">
        <f>IF(OR($E732="",$S732=""),"",IFERROR(MAX(0,ROUND((INDEX(Config!$D$15:$D$18,MATCH($S732,Config!$B$15:$B$18,0))-$E732)*1440,0)),""))</f>
        <v/>
      </c>
      <c r="U732" s="13" t="str">
        <f>IF(OR($N732="",$T732=""),"",IFERROR(MAX(0,1-($N732+$T732+MAX(0,N($Q732)))/ROUND((INDEX(Config!$D$15:$D$18,MATCH($S732,Config!$B$15:$B$18,0))-INDEX(Config!$C$15:$C$18,MATCH($S732,Config!$B$15:$B$18,0)))*1440,0)),""))</f>
        <v/>
      </c>
      <c r="V732" s="5"/>
    </row>
    <row r="733" spans="1:22" x14ac:dyDescent="0.25">
      <c r="A733" s="11"/>
      <c r="B733" s="5"/>
      <c r="C733" s="6" t="str">
        <f>IFERROR(INDEX(Ejecutivos!$B$2:$B$100,MATCH(B733,Ejecutivos!$A$2:$A$100,0)),"")</f>
        <v/>
      </c>
      <c r="D733" s="12"/>
      <c r="E733" s="12"/>
      <c r="F733" s="12"/>
      <c r="G733" s="12"/>
      <c r="H733" s="5"/>
      <c r="I733" s="5"/>
      <c r="J733" s="5"/>
      <c r="K733" s="5"/>
      <c r="L733" s="18">
        <v>0</v>
      </c>
      <c r="M733" t="str">
        <f t="shared" si="47"/>
        <v/>
      </c>
      <c r="N733" t="str">
        <f>IF(OR($D733="",$S733=""),"",IFERROR(MAX(0,ROUND(($D733-INDEX(Config!$C$15:$C$18,MATCH($S733,Config!$B$15:$B$18,0)))*24*60,0)),""))</f>
        <v/>
      </c>
      <c r="O733" t="str">
        <f t="shared" si="48"/>
        <v/>
      </c>
      <c r="P733" t="str">
        <f t="shared" si="49"/>
        <v/>
      </c>
      <c r="Q733" t="str">
        <f>IF(OR($P733="",$S733=""),"",IFERROR($P733-INDEX(Config!$E$15:$E$18,MATCH($S733,Config!$B$15:$B$18,0)),""))</f>
        <v/>
      </c>
      <c r="R733" t="str">
        <f t="shared" si="50"/>
        <v/>
      </c>
      <c r="S733" s="6" t="str">
        <f>IF(OR($A733="",$C733=""),"",IFERROR(INDEX(Turno!$C$3:$V$32,MATCH($C733,Turno!$B$3:$B$32,0),MATCH(DAY($A733),Turno!$C$1:$V$1,0)),""))</f>
        <v/>
      </c>
      <c r="T733" t="str">
        <f>IF(OR($E733="",$S733=""),"",IFERROR(MAX(0,ROUND((INDEX(Config!$D$15:$D$18,MATCH($S733,Config!$B$15:$B$18,0))-$E733)*1440,0)),""))</f>
        <v/>
      </c>
      <c r="U733" s="13" t="str">
        <f>IF(OR($N733="",$T733=""),"",IFERROR(MAX(0,1-($N733+$T733+MAX(0,N($Q733)))/ROUND((INDEX(Config!$D$15:$D$18,MATCH($S733,Config!$B$15:$B$18,0))-INDEX(Config!$C$15:$C$18,MATCH($S733,Config!$B$15:$B$18,0)))*1440,0)),""))</f>
        <v/>
      </c>
      <c r="V733" s="5"/>
    </row>
    <row r="734" spans="1:22" x14ac:dyDescent="0.25">
      <c r="A734" s="11"/>
      <c r="B734" s="5"/>
      <c r="C734" s="6" t="str">
        <f>IFERROR(INDEX(Ejecutivos!$B$2:$B$100,MATCH(B734,Ejecutivos!$A$2:$A$100,0)),"")</f>
        <v/>
      </c>
      <c r="D734" s="12"/>
      <c r="E734" s="12"/>
      <c r="F734" s="12"/>
      <c r="G734" s="12"/>
      <c r="H734" s="5"/>
      <c r="I734" s="5"/>
      <c r="J734" s="5"/>
      <c r="K734" s="5"/>
      <c r="L734" s="18">
        <v>0</v>
      </c>
      <c r="M734" t="str">
        <f t="shared" si="47"/>
        <v/>
      </c>
      <c r="N734" t="str">
        <f>IF(OR($D734="",$S734=""),"",IFERROR(MAX(0,ROUND(($D734-INDEX(Config!$C$15:$C$18,MATCH($S734,Config!$B$15:$B$18,0)))*24*60,0)),""))</f>
        <v/>
      </c>
      <c r="O734" t="str">
        <f t="shared" si="48"/>
        <v/>
      </c>
      <c r="P734" t="str">
        <f t="shared" si="49"/>
        <v/>
      </c>
      <c r="Q734" t="str">
        <f>IF(OR($P734="",$S734=""),"",IFERROR($P734-INDEX(Config!$E$15:$E$18,MATCH($S734,Config!$B$15:$B$18,0)),""))</f>
        <v/>
      </c>
      <c r="R734" t="str">
        <f t="shared" si="50"/>
        <v/>
      </c>
      <c r="S734" s="6" t="str">
        <f>IF(OR($A734="",$C734=""),"",IFERROR(INDEX(Turno!$C$3:$V$32,MATCH($C734,Turno!$B$3:$B$32,0),MATCH(DAY($A734),Turno!$C$1:$V$1,0)),""))</f>
        <v/>
      </c>
      <c r="T734" t="str">
        <f>IF(OR($E734="",$S734=""),"",IFERROR(MAX(0,ROUND((INDEX(Config!$D$15:$D$18,MATCH($S734,Config!$B$15:$B$18,0))-$E734)*1440,0)),""))</f>
        <v/>
      </c>
      <c r="U734" s="13" t="str">
        <f>IF(OR($N734="",$T734=""),"",IFERROR(MAX(0,1-($N734+$T734+MAX(0,N($Q734)))/ROUND((INDEX(Config!$D$15:$D$18,MATCH($S734,Config!$B$15:$B$18,0))-INDEX(Config!$C$15:$C$18,MATCH($S734,Config!$B$15:$B$18,0)))*1440,0)),""))</f>
        <v/>
      </c>
      <c r="V734" s="5"/>
    </row>
    <row r="735" spans="1:22" x14ac:dyDescent="0.25">
      <c r="A735" s="11"/>
      <c r="B735" s="5"/>
      <c r="C735" s="6" t="str">
        <f>IFERROR(INDEX(Ejecutivos!$B$2:$B$100,MATCH(B735,Ejecutivos!$A$2:$A$100,0)),"")</f>
        <v/>
      </c>
      <c r="D735" s="12"/>
      <c r="E735" s="12"/>
      <c r="F735" s="12"/>
      <c r="G735" s="12"/>
      <c r="H735" s="5"/>
      <c r="I735" s="5"/>
      <c r="J735" s="5"/>
      <c r="K735" s="5"/>
      <c r="L735" s="18">
        <v>0</v>
      </c>
      <c r="M735" t="str">
        <f t="shared" si="47"/>
        <v/>
      </c>
      <c r="N735" t="str">
        <f>IF(OR($D735="",$S735=""),"",IFERROR(MAX(0,ROUND(($D735-INDEX(Config!$C$15:$C$18,MATCH($S735,Config!$B$15:$B$18,0)))*24*60,0)),""))</f>
        <v/>
      </c>
      <c r="O735" t="str">
        <f t="shared" si="48"/>
        <v/>
      </c>
      <c r="P735" t="str">
        <f t="shared" si="49"/>
        <v/>
      </c>
      <c r="Q735" t="str">
        <f>IF(OR($P735="",$S735=""),"",IFERROR($P735-INDEX(Config!$E$15:$E$18,MATCH($S735,Config!$B$15:$B$18,0)),""))</f>
        <v/>
      </c>
      <c r="R735" t="str">
        <f t="shared" si="50"/>
        <v/>
      </c>
      <c r="S735" s="6" t="str">
        <f>IF(OR($A735="",$C735=""),"",IFERROR(INDEX(Turno!$C$3:$V$32,MATCH($C735,Turno!$B$3:$B$32,0),MATCH(DAY($A735),Turno!$C$1:$V$1,0)),""))</f>
        <v/>
      </c>
      <c r="T735" t="str">
        <f>IF(OR($E735="",$S735=""),"",IFERROR(MAX(0,ROUND((INDEX(Config!$D$15:$D$18,MATCH($S735,Config!$B$15:$B$18,0))-$E735)*1440,0)),""))</f>
        <v/>
      </c>
      <c r="U735" s="13" t="str">
        <f>IF(OR($N735="",$T735=""),"",IFERROR(MAX(0,1-($N735+$T735+MAX(0,N($Q735)))/ROUND((INDEX(Config!$D$15:$D$18,MATCH($S735,Config!$B$15:$B$18,0))-INDEX(Config!$C$15:$C$18,MATCH($S735,Config!$B$15:$B$18,0)))*1440,0)),""))</f>
        <v/>
      </c>
      <c r="V735" s="5"/>
    </row>
    <row r="736" spans="1:22" x14ac:dyDescent="0.25">
      <c r="A736" s="11"/>
      <c r="B736" s="5"/>
      <c r="C736" s="6" t="str">
        <f>IFERROR(INDEX(Ejecutivos!$B$2:$B$100,MATCH(B736,Ejecutivos!$A$2:$A$100,0)),"")</f>
        <v/>
      </c>
      <c r="D736" s="12"/>
      <c r="E736" s="12"/>
      <c r="F736" s="12"/>
      <c r="G736" s="12"/>
      <c r="H736" s="5"/>
      <c r="I736" s="5"/>
      <c r="J736" s="5"/>
      <c r="K736" s="5"/>
      <c r="L736" s="18">
        <v>0</v>
      </c>
      <c r="M736" t="str">
        <f t="shared" si="47"/>
        <v/>
      </c>
      <c r="N736" t="str">
        <f>IF(OR($D736="",$S736=""),"",IFERROR(MAX(0,ROUND(($D736-INDEX(Config!$C$15:$C$18,MATCH($S736,Config!$B$15:$B$18,0)))*24*60,0)),""))</f>
        <v/>
      </c>
      <c r="O736" t="str">
        <f t="shared" si="48"/>
        <v/>
      </c>
      <c r="P736" t="str">
        <f t="shared" si="49"/>
        <v/>
      </c>
      <c r="Q736" t="str">
        <f>IF(OR($P736="",$S736=""),"",IFERROR($P736-INDEX(Config!$E$15:$E$18,MATCH($S736,Config!$B$15:$B$18,0)),""))</f>
        <v/>
      </c>
      <c r="R736" t="str">
        <f t="shared" si="50"/>
        <v/>
      </c>
      <c r="S736" s="6" t="str">
        <f>IF(OR($A736="",$C736=""),"",IFERROR(INDEX(Turno!$C$3:$V$32,MATCH($C736,Turno!$B$3:$B$32,0),MATCH(DAY($A736),Turno!$C$1:$V$1,0)),""))</f>
        <v/>
      </c>
      <c r="T736" t="str">
        <f>IF(OR($E736="",$S736=""),"",IFERROR(MAX(0,ROUND((INDEX(Config!$D$15:$D$18,MATCH($S736,Config!$B$15:$B$18,0))-$E736)*1440,0)),""))</f>
        <v/>
      </c>
      <c r="U736" s="13" t="str">
        <f>IF(OR($N736="",$T736=""),"",IFERROR(MAX(0,1-($N736+$T736+MAX(0,N($Q736)))/ROUND((INDEX(Config!$D$15:$D$18,MATCH($S736,Config!$B$15:$B$18,0))-INDEX(Config!$C$15:$C$18,MATCH($S736,Config!$B$15:$B$18,0)))*1440,0)),""))</f>
        <v/>
      </c>
      <c r="V736" s="5"/>
    </row>
    <row r="737" spans="1:22" x14ac:dyDescent="0.25">
      <c r="A737" s="11"/>
      <c r="B737" s="5"/>
      <c r="C737" s="6" t="str">
        <f>IFERROR(INDEX(Ejecutivos!$B$2:$B$100,MATCH(B737,Ejecutivos!$A$2:$A$100,0)),"")</f>
        <v/>
      </c>
      <c r="D737" s="12"/>
      <c r="E737" s="12"/>
      <c r="F737" s="12"/>
      <c r="G737" s="12"/>
      <c r="H737" s="5"/>
      <c r="I737" s="5"/>
      <c r="J737" s="5"/>
      <c r="K737" s="5"/>
      <c r="L737" s="18">
        <v>0</v>
      </c>
      <c r="M737" t="str">
        <f t="shared" si="47"/>
        <v/>
      </c>
      <c r="N737" t="str">
        <f>IF(OR($D737="",$S737=""),"",IFERROR(MAX(0,ROUND(($D737-INDEX(Config!$C$15:$C$18,MATCH($S737,Config!$B$15:$B$18,0)))*24*60,0)),""))</f>
        <v/>
      </c>
      <c r="O737" t="str">
        <f t="shared" si="48"/>
        <v/>
      </c>
      <c r="P737" t="str">
        <f t="shared" si="49"/>
        <v/>
      </c>
      <c r="Q737" t="str">
        <f>IF(OR($P737="",$S737=""),"",IFERROR($P737-INDEX(Config!$E$15:$E$18,MATCH($S737,Config!$B$15:$B$18,0)),""))</f>
        <v/>
      </c>
      <c r="R737" t="str">
        <f t="shared" si="50"/>
        <v/>
      </c>
      <c r="S737" s="6" t="str">
        <f>IF(OR($A737="",$C737=""),"",IFERROR(INDEX(Turno!$C$3:$V$32,MATCH($C737,Turno!$B$3:$B$32,0),MATCH(DAY($A737),Turno!$C$1:$V$1,0)),""))</f>
        <v/>
      </c>
      <c r="T737" t="str">
        <f>IF(OR($E737="",$S737=""),"",IFERROR(MAX(0,ROUND((INDEX(Config!$D$15:$D$18,MATCH($S737,Config!$B$15:$B$18,0))-$E737)*1440,0)),""))</f>
        <v/>
      </c>
      <c r="U737" s="13" t="str">
        <f>IF(OR($N737="",$T737=""),"",IFERROR(MAX(0,1-($N737+$T737+MAX(0,N($Q737)))/ROUND((INDEX(Config!$D$15:$D$18,MATCH($S737,Config!$B$15:$B$18,0))-INDEX(Config!$C$15:$C$18,MATCH($S737,Config!$B$15:$B$18,0)))*1440,0)),""))</f>
        <v/>
      </c>
      <c r="V737" s="5"/>
    </row>
    <row r="738" spans="1:22" x14ac:dyDescent="0.25">
      <c r="A738" s="11"/>
      <c r="B738" s="5"/>
      <c r="C738" s="6" t="str">
        <f>IFERROR(INDEX(Ejecutivos!$B$2:$B$100,MATCH(B738,Ejecutivos!$A$2:$A$100,0)),"")</f>
        <v/>
      </c>
      <c r="D738" s="12"/>
      <c r="E738" s="12"/>
      <c r="F738" s="12"/>
      <c r="G738" s="12"/>
      <c r="H738" s="5"/>
      <c r="I738" s="5"/>
      <c r="J738" s="5"/>
      <c r="K738" s="5"/>
      <c r="L738" s="18">
        <v>0</v>
      </c>
      <c r="M738" t="str">
        <f t="shared" si="47"/>
        <v/>
      </c>
      <c r="N738" t="str">
        <f>IF(OR($D738="",$S738=""),"",IFERROR(MAX(0,ROUND(($D738-INDEX(Config!$C$15:$C$18,MATCH($S738,Config!$B$15:$B$18,0)))*24*60,0)),""))</f>
        <v/>
      </c>
      <c r="O738" t="str">
        <f t="shared" si="48"/>
        <v/>
      </c>
      <c r="P738" t="str">
        <f t="shared" si="49"/>
        <v/>
      </c>
      <c r="Q738" t="str">
        <f>IF(OR($P738="",$S738=""),"",IFERROR($P738-INDEX(Config!$E$15:$E$18,MATCH($S738,Config!$B$15:$B$18,0)),""))</f>
        <v/>
      </c>
      <c r="R738" t="str">
        <f t="shared" si="50"/>
        <v/>
      </c>
      <c r="S738" s="6" t="str">
        <f>IF(OR($A738="",$C738=""),"",IFERROR(INDEX(Turno!$C$3:$V$32,MATCH($C738,Turno!$B$3:$B$32,0),MATCH(DAY($A738),Turno!$C$1:$V$1,0)),""))</f>
        <v/>
      </c>
      <c r="T738" t="str">
        <f>IF(OR($E738="",$S738=""),"",IFERROR(MAX(0,ROUND((INDEX(Config!$D$15:$D$18,MATCH($S738,Config!$B$15:$B$18,0))-$E738)*1440,0)),""))</f>
        <v/>
      </c>
      <c r="U738" s="13" t="str">
        <f>IF(OR($N738="",$T738=""),"",IFERROR(MAX(0,1-($N738+$T738+MAX(0,N($Q738)))/ROUND((INDEX(Config!$D$15:$D$18,MATCH($S738,Config!$B$15:$B$18,0))-INDEX(Config!$C$15:$C$18,MATCH($S738,Config!$B$15:$B$18,0)))*1440,0)),""))</f>
        <v/>
      </c>
      <c r="V738" s="5"/>
    </row>
    <row r="739" spans="1:22" x14ac:dyDescent="0.25">
      <c r="A739" s="11"/>
      <c r="B739" s="5"/>
      <c r="C739" s="6" t="str">
        <f>IFERROR(INDEX(Ejecutivos!$B$2:$B$100,MATCH(B739,Ejecutivos!$A$2:$A$100,0)),"")</f>
        <v/>
      </c>
      <c r="D739" s="12"/>
      <c r="E739" s="12"/>
      <c r="F739" s="12"/>
      <c r="G739" s="12"/>
      <c r="H739" s="5"/>
      <c r="I739" s="5"/>
      <c r="J739" s="5"/>
      <c r="K739" s="5"/>
      <c r="L739" s="18">
        <v>0</v>
      </c>
      <c r="M739" t="str">
        <f t="shared" si="47"/>
        <v/>
      </c>
      <c r="N739" t="str">
        <f>IF(OR($D739="",$S739=""),"",IFERROR(MAX(0,ROUND(($D739-INDEX(Config!$C$15:$C$18,MATCH($S739,Config!$B$15:$B$18,0)))*24*60,0)),""))</f>
        <v/>
      </c>
      <c r="O739" t="str">
        <f t="shared" si="48"/>
        <v/>
      </c>
      <c r="P739" t="str">
        <f t="shared" si="49"/>
        <v/>
      </c>
      <c r="Q739" t="str">
        <f>IF(OR($P739="",$S739=""),"",IFERROR($P739-INDEX(Config!$E$15:$E$18,MATCH($S739,Config!$B$15:$B$18,0)),""))</f>
        <v/>
      </c>
      <c r="R739" t="str">
        <f t="shared" si="50"/>
        <v/>
      </c>
      <c r="S739" s="6" t="str">
        <f>IF(OR($A739="",$C739=""),"",IFERROR(INDEX(Turno!$C$3:$V$32,MATCH($C739,Turno!$B$3:$B$32,0),MATCH(DAY($A739),Turno!$C$1:$V$1,0)),""))</f>
        <v/>
      </c>
      <c r="T739" t="str">
        <f>IF(OR($E739="",$S739=""),"",IFERROR(MAX(0,ROUND((INDEX(Config!$D$15:$D$18,MATCH($S739,Config!$B$15:$B$18,0))-$E739)*1440,0)),""))</f>
        <v/>
      </c>
      <c r="U739" s="13" t="str">
        <f>IF(OR($N739="",$T739=""),"",IFERROR(MAX(0,1-($N739+$T739+MAX(0,N($Q739)))/ROUND((INDEX(Config!$D$15:$D$18,MATCH($S739,Config!$B$15:$B$18,0))-INDEX(Config!$C$15:$C$18,MATCH($S739,Config!$B$15:$B$18,0)))*1440,0)),""))</f>
        <v/>
      </c>
      <c r="V739" s="5"/>
    </row>
    <row r="740" spans="1:22" x14ac:dyDescent="0.25">
      <c r="A740" s="11"/>
      <c r="B740" s="5"/>
      <c r="C740" s="6" t="str">
        <f>IFERROR(INDEX(Ejecutivos!$B$2:$B$100,MATCH(B740,Ejecutivos!$A$2:$A$100,0)),"")</f>
        <v/>
      </c>
      <c r="D740" s="12"/>
      <c r="E740" s="12"/>
      <c r="F740" s="12"/>
      <c r="G740" s="12"/>
      <c r="H740" s="5"/>
      <c r="I740" s="5"/>
      <c r="J740" s="5"/>
      <c r="K740" s="5"/>
      <c r="L740" s="18">
        <v>0</v>
      </c>
      <c r="M740" t="str">
        <f t="shared" si="47"/>
        <v/>
      </c>
      <c r="N740" t="str">
        <f>IF(OR($D740="",$S740=""),"",IFERROR(MAX(0,ROUND(($D740-INDEX(Config!$C$15:$C$18,MATCH($S740,Config!$B$15:$B$18,0)))*24*60,0)),""))</f>
        <v/>
      </c>
      <c r="O740" t="str">
        <f t="shared" si="48"/>
        <v/>
      </c>
      <c r="P740" t="str">
        <f t="shared" si="49"/>
        <v/>
      </c>
      <c r="Q740" t="str">
        <f>IF(OR($P740="",$S740=""),"",IFERROR($P740-INDEX(Config!$E$15:$E$18,MATCH($S740,Config!$B$15:$B$18,0)),""))</f>
        <v/>
      </c>
      <c r="R740" t="str">
        <f t="shared" si="50"/>
        <v/>
      </c>
      <c r="S740" s="6" t="str">
        <f>IF(OR($A740="",$C740=""),"",IFERROR(INDEX(Turno!$C$3:$V$32,MATCH($C740,Turno!$B$3:$B$32,0),MATCH(DAY($A740),Turno!$C$1:$V$1,0)),""))</f>
        <v/>
      </c>
      <c r="T740" t="str">
        <f>IF(OR($E740="",$S740=""),"",IFERROR(MAX(0,ROUND((INDEX(Config!$D$15:$D$18,MATCH($S740,Config!$B$15:$B$18,0))-$E740)*1440,0)),""))</f>
        <v/>
      </c>
      <c r="U740" s="13" t="str">
        <f>IF(OR($N740="",$T740=""),"",IFERROR(MAX(0,1-($N740+$T740+MAX(0,N($Q740)))/ROUND((INDEX(Config!$D$15:$D$18,MATCH($S740,Config!$B$15:$B$18,0))-INDEX(Config!$C$15:$C$18,MATCH($S740,Config!$B$15:$B$18,0)))*1440,0)),""))</f>
        <v/>
      </c>
      <c r="V740" s="5"/>
    </row>
    <row r="741" spans="1:22" x14ac:dyDescent="0.25">
      <c r="A741" s="11"/>
      <c r="B741" s="5"/>
      <c r="C741" s="6" t="str">
        <f>IFERROR(INDEX(Ejecutivos!$B$2:$B$100,MATCH(B741,Ejecutivos!$A$2:$A$100,0)),"")</f>
        <v/>
      </c>
      <c r="D741" s="12"/>
      <c r="E741" s="12"/>
      <c r="F741" s="12"/>
      <c r="G741" s="12"/>
      <c r="H741" s="5"/>
      <c r="I741" s="5"/>
      <c r="J741" s="5"/>
      <c r="K741" s="5"/>
      <c r="L741" s="18">
        <v>0</v>
      </c>
      <c r="M741" t="str">
        <f t="shared" si="47"/>
        <v/>
      </c>
      <c r="N741" t="str">
        <f>IF(OR($D741="",$S741=""),"",IFERROR(MAX(0,ROUND(($D741-INDEX(Config!$C$15:$C$18,MATCH($S741,Config!$B$15:$B$18,0)))*24*60,0)),""))</f>
        <v/>
      </c>
      <c r="O741" t="str">
        <f t="shared" si="48"/>
        <v/>
      </c>
      <c r="P741" t="str">
        <f t="shared" si="49"/>
        <v/>
      </c>
      <c r="Q741" t="str">
        <f>IF(OR($P741="",$S741=""),"",IFERROR($P741-INDEX(Config!$E$15:$E$18,MATCH($S741,Config!$B$15:$B$18,0)),""))</f>
        <v/>
      </c>
      <c r="R741" t="str">
        <f t="shared" si="50"/>
        <v/>
      </c>
      <c r="S741" s="6" t="str">
        <f>IF(OR($A741="",$C741=""),"",IFERROR(INDEX(Turno!$C$3:$V$32,MATCH($C741,Turno!$B$3:$B$32,0),MATCH(DAY($A741),Turno!$C$1:$V$1,0)),""))</f>
        <v/>
      </c>
      <c r="T741" t="str">
        <f>IF(OR($E741="",$S741=""),"",IFERROR(MAX(0,ROUND((INDEX(Config!$D$15:$D$18,MATCH($S741,Config!$B$15:$B$18,0))-$E741)*1440,0)),""))</f>
        <v/>
      </c>
      <c r="U741" s="13" t="str">
        <f>IF(OR($N741="",$T741=""),"",IFERROR(MAX(0,1-($N741+$T741+MAX(0,N($Q741)))/ROUND((INDEX(Config!$D$15:$D$18,MATCH($S741,Config!$B$15:$B$18,0))-INDEX(Config!$C$15:$C$18,MATCH($S741,Config!$B$15:$B$18,0)))*1440,0)),""))</f>
        <v/>
      </c>
      <c r="V741" s="5"/>
    </row>
    <row r="742" spans="1:22" x14ac:dyDescent="0.25">
      <c r="A742" s="11"/>
      <c r="B742" s="5"/>
      <c r="C742" s="6" t="str">
        <f>IFERROR(INDEX(Ejecutivos!$B$2:$B$100,MATCH(B742,Ejecutivos!$A$2:$A$100,0)),"")</f>
        <v/>
      </c>
      <c r="D742" s="12"/>
      <c r="E742" s="12"/>
      <c r="F742" s="12"/>
      <c r="G742" s="12"/>
      <c r="H742" s="5"/>
      <c r="I742" s="5"/>
      <c r="J742" s="5"/>
      <c r="K742" s="5"/>
      <c r="L742" s="18">
        <v>0</v>
      </c>
      <c r="M742" t="str">
        <f t="shared" si="47"/>
        <v/>
      </c>
      <c r="N742" t="str">
        <f>IF(OR($D742="",$S742=""),"",IFERROR(MAX(0,ROUND(($D742-INDEX(Config!$C$15:$C$18,MATCH($S742,Config!$B$15:$B$18,0)))*24*60,0)),""))</f>
        <v/>
      </c>
      <c r="O742" t="str">
        <f t="shared" si="48"/>
        <v/>
      </c>
      <c r="P742" t="str">
        <f t="shared" si="49"/>
        <v/>
      </c>
      <c r="Q742" t="str">
        <f>IF(OR($P742="",$S742=""),"",IFERROR($P742-INDEX(Config!$E$15:$E$18,MATCH($S742,Config!$B$15:$B$18,0)),""))</f>
        <v/>
      </c>
      <c r="R742" t="str">
        <f t="shared" si="50"/>
        <v/>
      </c>
      <c r="S742" s="6" t="str">
        <f>IF(OR($A742="",$C742=""),"",IFERROR(INDEX(Turno!$C$3:$V$32,MATCH($C742,Turno!$B$3:$B$32,0),MATCH(DAY($A742),Turno!$C$1:$V$1,0)),""))</f>
        <v/>
      </c>
      <c r="T742" t="str">
        <f>IF(OR($E742="",$S742=""),"",IFERROR(MAX(0,ROUND((INDEX(Config!$D$15:$D$18,MATCH($S742,Config!$B$15:$B$18,0))-$E742)*1440,0)),""))</f>
        <v/>
      </c>
      <c r="U742" s="13" t="str">
        <f>IF(OR($N742="",$T742=""),"",IFERROR(MAX(0,1-($N742+$T742+MAX(0,N($Q742)))/ROUND((INDEX(Config!$D$15:$D$18,MATCH($S742,Config!$B$15:$B$18,0))-INDEX(Config!$C$15:$C$18,MATCH($S742,Config!$B$15:$B$18,0)))*1440,0)),""))</f>
        <v/>
      </c>
      <c r="V742" s="5"/>
    </row>
    <row r="743" spans="1:22" x14ac:dyDescent="0.25">
      <c r="A743" s="11"/>
      <c r="B743" s="5"/>
      <c r="C743" s="6" t="str">
        <f>IFERROR(INDEX(Ejecutivos!$B$2:$B$100,MATCH(B743,Ejecutivos!$A$2:$A$100,0)),"")</f>
        <v/>
      </c>
      <c r="D743" s="12"/>
      <c r="E743" s="12"/>
      <c r="F743" s="12"/>
      <c r="G743" s="12"/>
      <c r="H743" s="5"/>
      <c r="I743" s="5"/>
      <c r="J743" s="5"/>
      <c r="K743" s="5"/>
      <c r="L743" s="18">
        <v>0</v>
      </c>
      <c r="M743" t="str">
        <f t="shared" si="47"/>
        <v/>
      </c>
      <c r="N743" t="str">
        <f>IF(OR($D743="",$S743=""),"",IFERROR(MAX(0,ROUND(($D743-INDEX(Config!$C$15:$C$18,MATCH($S743,Config!$B$15:$B$18,0)))*24*60,0)),""))</f>
        <v/>
      </c>
      <c r="O743" t="str">
        <f t="shared" si="48"/>
        <v/>
      </c>
      <c r="P743" t="str">
        <f t="shared" si="49"/>
        <v/>
      </c>
      <c r="Q743" t="str">
        <f>IF(OR($P743="",$S743=""),"",IFERROR($P743-INDEX(Config!$E$15:$E$18,MATCH($S743,Config!$B$15:$B$18,0)),""))</f>
        <v/>
      </c>
      <c r="R743" t="str">
        <f t="shared" si="50"/>
        <v/>
      </c>
      <c r="S743" s="6" t="str">
        <f>IF(OR($A743="",$C743=""),"",IFERROR(INDEX(Turno!$C$3:$V$32,MATCH($C743,Turno!$B$3:$B$32,0),MATCH(DAY($A743),Turno!$C$1:$V$1,0)),""))</f>
        <v/>
      </c>
      <c r="T743" t="str">
        <f>IF(OR($E743="",$S743=""),"",IFERROR(MAX(0,ROUND((INDEX(Config!$D$15:$D$18,MATCH($S743,Config!$B$15:$B$18,0))-$E743)*1440,0)),""))</f>
        <v/>
      </c>
      <c r="U743" s="13" t="str">
        <f>IF(OR($N743="",$T743=""),"",IFERROR(MAX(0,1-($N743+$T743+MAX(0,N($Q743)))/ROUND((INDEX(Config!$D$15:$D$18,MATCH($S743,Config!$B$15:$B$18,0))-INDEX(Config!$C$15:$C$18,MATCH($S743,Config!$B$15:$B$18,0)))*1440,0)),""))</f>
        <v/>
      </c>
      <c r="V743" s="5"/>
    </row>
    <row r="744" spans="1:22" x14ac:dyDescent="0.25">
      <c r="A744" s="11"/>
      <c r="B744" s="5"/>
      <c r="C744" s="6" t="str">
        <f>IFERROR(INDEX(Ejecutivos!$B$2:$B$100,MATCH(B744,Ejecutivos!$A$2:$A$100,0)),"")</f>
        <v/>
      </c>
      <c r="D744" s="12"/>
      <c r="E744" s="12"/>
      <c r="F744" s="12"/>
      <c r="G744" s="12"/>
      <c r="H744" s="5"/>
      <c r="I744" s="5"/>
      <c r="J744" s="5"/>
      <c r="K744" s="5"/>
      <c r="L744" s="18">
        <v>0</v>
      </c>
      <c r="M744" t="str">
        <f t="shared" si="47"/>
        <v/>
      </c>
      <c r="N744" t="str">
        <f>IF(OR($D744="",$S744=""),"",IFERROR(MAX(0,ROUND(($D744-INDEX(Config!$C$15:$C$18,MATCH($S744,Config!$B$15:$B$18,0)))*24*60,0)),""))</f>
        <v/>
      </c>
      <c r="O744" t="str">
        <f t="shared" si="48"/>
        <v/>
      </c>
      <c r="P744" t="str">
        <f t="shared" si="49"/>
        <v/>
      </c>
      <c r="Q744" t="str">
        <f>IF(OR($P744="",$S744=""),"",IFERROR($P744-INDEX(Config!$E$15:$E$18,MATCH($S744,Config!$B$15:$B$18,0)),""))</f>
        <v/>
      </c>
      <c r="R744" t="str">
        <f t="shared" si="50"/>
        <v/>
      </c>
      <c r="S744" s="6" t="str">
        <f>IF(OR($A744="",$C744=""),"",IFERROR(INDEX(Turno!$C$3:$V$32,MATCH($C744,Turno!$B$3:$B$32,0),MATCH(DAY($A744),Turno!$C$1:$V$1,0)),""))</f>
        <v/>
      </c>
      <c r="T744" t="str">
        <f>IF(OR($E744="",$S744=""),"",IFERROR(MAX(0,ROUND((INDEX(Config!$D$15:$D$18,MATCH($S744,Config!$B$15:$B$18,0))-$E744)*1440,0)),""))</f>
        <v/>
      </c>
      <c r="U744" s="13" t="str">
        <f>IF(OR($N744="",$T744=""),"",IFERROR(MAX(0,1-($N744+$T744+MAX(0,N($Q744)))/ROUND((INDEX(Config!$D$15:$D$18,MATCH($S744,Config!$B$15:$B$18,0))-INDEX(Config!$C$15:$C$18,MATCH($S744,Config!$B$15:$B$18,0)))*1440,0)),""))</f>
        <v/>
      </c>
      <c r="V744" s="5"/>
    </row>
    <row r="745" spans="1:22" x14ac:dyDescent="0.25">
      <c r="A745" s="11"/>
      <c r="B745" s="5"/>
      <c r="C745" s="6" t="str">
        <f>IFERROR(INDEX(Ejecutivos!$B$2:$B$100,MATCH(B745,Ejecutivos!$A$2:$A$100,0)),"")</f>
        <v/>
      </c>
      <c r="D745" s="12"/>
      <c r="E745" s="12"/>
      <c r="F745" s="12"/>
      <c r="G745" s="12"/>
      <c r="H745" s="5"/>
      <c r="I745" s="5"/>
      <c r="J745" s="5"/>
      <c r="K745" s="5"/>
      <c r="L745" s="18">
        <v>0</v>
      </c>
      <c r="M745" t="str">
        <f t="shared" si="47"/>
        <v/>
      </c>
      <c r="N745" t="str">
        <f>IF(OR($D745="",$S745=""),"",IFERROR(MAX(0,ROUND(($D745-INDEX(Config!$C$15:$C$18,MATCH($S745,Config!$B$15:$B$18,0)))*24*60,0)),""))</f>
        <v/>
      </c>
      <c r="O745" t="str">
        <f t="shared" si="48"/>
        <v/>
      </c>
      <c r="P745" t="str">
        <f t="shared" si="49"/>
        <v/>
      </c>
      <c r="Q745" t="str">
        <f>IF(OR($P745="",$S745=""),"",IFERROR($P745-INDEX(Config!$E$15:$E$18,MATCH($S745,Config!$B$15:$B$18,0)),""))</f>
        <v/>
      </c>
      <c r="R745" t="str">
        <f t="shared" si="50"/>
        <v/>
      </c>
      <c r="S745" s="6" t="str">
        <f>IF(OR($A745="",$C745=""),"",IFERROR(INDEX(Turno!$C$3:$V$32,MATCH($C745,Turno!$B$3:$B$32,0),MATCH(DAY($A745),Turno!$C$1:$V$1,0)),""))</f>
        <v/>
      </c>
      <c r="T745" t="str">
        <f>IF(OR($E745="",$S745=""),"",IFERROR(MAX(0,ROUND((INDEX(Config!$D$15:$D$18,MATCH($S745,Config!$B$15:$B$18,0))-$E745)*1440,0)),""))</f>
        <v/>
      </c>
      <c r="U745" s="13" t="str">
        <f>IF(OR($N745="",$T745=""),"",IFERROR(MAX(0,1-($N745+$T745+MAX(0,N($Q745)))/ROUND((INDEX(Config!$D$15:$D$18,MATCH($S745,Config!$B$15:$B$18,0))-INDEX(Config!$C$15:$C$18,MATCH($S745,Config!$B$15:$B$18,0)))*1440,0)),""))</f>
        <v/>
      </c>
      <c r="V745" s="5"/>
    </row>
    <row r="746" spans="1:22" x14ac:dyDescent="0.25">
      <c r="A746" s="11"/>
      <c r="B746" s="5"/>
      <c r="C746" s="6" t="str">
        <f>IFERROR(INDEX(Ejecutivos!$B$2:$B$100,MATCH(B746,Ejecutivos!$A$2:$A$100,0)),"")</f>
        <v/>
      </c>
      <c r="D746" s="12"/>
      <c r="E746" s="12"/>
      <c r="F746" s="12"/>
      <c r="G746" s="12"/>
      <c r="H746" s="5"/>
      <c r="I746" s="5"/>
      <c r="J746" s="5"/>
      <c r="K746" s="5"/>
      <c r="L746" s="18">
        <v>0</v>
      </c>
      <c r="M746" t="str">
        <f t="shared" si="47"/>
        <v/>
      </c>
      <c r="N746" t="str">
        <f>IF(OR($D746="",$S746=""),"",IFERROR(MAX(0,ROUND(($D746-INDEX(Config!$C$15:$C$18,MATCH($S746,Config!$B$15:$B$18,0)))*24*60,0)),""))</f>
        <v/>
      </c>
      <c r="O746" t="str">
        <f t="shared" si="48"/>
        <v/>
      </c>
      <c r="P746" t="str">
        <f t="shared" si="49"/>
        <v/>
      </c>
      <c r="Q746" t="str">
        <f>IF(OR($P746="",$S746=""),"",IFERROR($P746-INDEX(Config!$E$15:$E$18,MATCH($S746,Config!$B$15:$B$18,0)),""))</f>
        <v/>
      </c>
      <c r="R746" t="str">
        <f t="shared" si="50"/>
        <v/>
      </c>
      <c r="S746" s="6" t="str">
        <f>IF(OR($A746="",$C746=""),"",IFERROR(INDEX(Turno!$C$3:$V$32,MATCH($C746,Turno!$B$3:$B$32,0),MATCH(DAY($A746),Turno!$C$1:$V$1,0)),""))</f>
        <v/>
      </c>
      <c r="T746" t="str">
        <f>IF(OR($E746="",$S746=""),"",IFERROR(MAX(0,ROUND((INDEX(Config!$D$15:$D$18,MATCH($S746,Config!$B$15:$B$18,0))-$E746)*1440,0)),""))</f>
        <v/>
      </c>
      <c r="U746" s="13" t="str">
        <f>IF(OR($N746="",$T746=""),"",IFERROR(MAX(0,1-($N746+$T746+MAX(0,N($Q746)))/ROUND((INDEX(Config!$D$15:$D$18,MATCH($S746,Config!$B$15:$B$18,0))-INDEX(Config!$C$15:$C$18,MATCH($S746,Config!$B$15:$B$18,0)))*1440,0)),""))</f>
        <v/>
      </c>
      <c r="V746" s="5"/>
    </row>
    <row r="747" spans="1:22" x14ac:dyDescent="0.25">
      <c r="A747" s="11"/>
      <c r="B747" s="5"/>
      <c r="C747" s="6" t="str">
        <f>IFERROR(INDEX(Ejecutivos!$B$2:$B$100,MATCH(B747,Ejecutivos!$A$2:$A$100,0)),"")</f>
        <v/>
      </c>
      <c r="D747" s="12"/>
      <c r="E747" s="12"/>
      <c r="F747" s="12"/>
      <c r="G747" s="12"/>
      <c r="H747" s="5"/>
      <c r="I747" s="5"/>
      <c r="J747" s="5"/>
      <c r="K747" s="5"/>
      <c r="L747" s="18">
        <v>0</v>
      </c>
      <c r="M747" t="str">
        <f t="shared" si="47"/>
        <v/>
      </c>
      <c r="N747" t="str">
        <f>IF(OR($D747="",$S747=""),"",IFERROR(MAX(0,ROUND(($D747-INDEX(Config!$C$15:$C$18,MATCH($S747,Config!$B$15:$B$18,0)))*24*60,0)),""))</f>
        <v/>
      </c>
      <c r="O747" t="str">
        <f t="shared" si="48"/>
        <v/>
      </c>
      <c r="P747" t="str">
        <f t="shared" si="49"/>
        <v/>
      </c>
      <c r="Q747" t="str">
        <f>IF(OR($P747="",$S747=""),"",IFERROR($P747-INDEX(Config!$E$15:$E$18,MATCH($S747,Config!$B$15:$B$18,0)),""))</f>
        <v/>
      </c>
      <c r="R747" t="str">
        <f t="shared" si="50"/>
        <v/>
      </c>
      <c r="S747" s="6" t="str">
        <f>IF(OR($A747="",$C747=""),"",IFERROR(INDEX(Turno!$C$3:$V$32,MATCH($C747,Turno!$B$3:$B$32,0),MATCH(DAY($A747),Turno!$C$1:$V$1,0)),""))</f>
        <v/>
      </c>
      <c r="T747" t="str">
        <f>IF(OR($E747="",$S747=""),"",IFERROR(MAX(0,ROUND((INDEX(Config!$D$15:$D$18,MATCH($S747,Config!$B$15:$B$18,0))-$E747)*1440,0)),""))</f>
        <v/>
      </c>
      <c r="U747" s="13" t="str">
        <f>IF(OR($N747="",$T747=""),"",IFERROR(MAX(0,1-($N747+$T747+MAX(0,N($Q747)))/ROUND((INDEX(Config!$D$15:$D$18,MATCH($S747,Config!$B$15:$B$18,0))-INDEX(Config!$C$15:$C$18,MATCH($S747,Config!$B$15:$B$18,0)))*1440,0)),""))</f>
        <v/>
      </c>
      <c r="V747" s="5"/>
    </row>
    <row r="748" spans="1:22" x14ac:dyDescent="0.25">
      <c r="A748" s="11"/>
      <c r="B748" s="5"/>
      <c r="C748" s="6" t="str">
        <f>IFERROR(INDEX(Ejecutivos!$B$2:$B$100,MATCH(B748,Ejecutivos!$A$2:$A$100,0)),"")</f>
        <v/>
      </c>
      <c r="D748" s="12"/>
      <c r="E748" s="12"/>
      <c r="F748" s="12"/>
      <c r="G748" s="12"/>
      <c r="H748" s="5"/>
      <c r="I748" s="5"/>
      <c r="J748" s="5"/>
      <c r="K748" s="5"/>
      <c r="L748" s="18">
        <v>0</v>
      </c>
      <c r="M748" t="str">
        <f t="shared" si="47"/>
        <v/>
      </c>
      <c r="N748" t="str">
        <f>IF(OR($D748="",$S748=""),"",IFERROR(MAX(0,ROUND(($D748-INDEX(Config!$C$15:$C$18,MATCH($S748,Config!$B$15:$B$18,0)))*24*60,0)),""))</f>
        <v/>
      </c>
      <c r="O748" t="str">
        <f t="shared" si="48"/>
        <v/>
      </c>
      <c r="P748" t="str">
        <f t="shared" si="49"/>
        <v/>
      </c>
      <c r="Q748" t="str">
        <f>IF(OR($P748="",$S748=""),"",IFERROR($P748-INDEX(Config!$E$15:$E$18,MATCH($S748,Config!$B$15:$B$18,0)),""))</f>
        <v/>
      </c>
      <c r="R748" t="str">
        <f t="shared" si="50"/>
        <v/>
      </c>
      <c r="S748" s="6" t="str">
        <f>IF(OR($A748="",$C748=""),"",IFERROR(INDEX(Turno!$C$3:$V$32,MATCH($C748,Turno!$B$3:$B$32,0),MATCH(DAY($A748),Turno!$C$1:$V$1,0)),""))</f>
        <v/>
      </c>
      <c r="T748" t="str">
        <f>IF(OR($E748="",$S748=""),"",IFERROR(MAX(0,ROUND((INDEX(Config!$D$15:$D$18,MATCH($S748,Config!$B$15:$B$18,0))-$E748)*1440,0)),""))</f>
        <v/>
      </c>
      <c r="U748" s="13" t="str">
        <f>IF(OR($N748="",$T748=""),"",IFERROR(MAX(0,1-($N748+$T748+MAX(0,N($Q748)))/ROUND((INDEX(Config!$D$15:$D$18,MATCH($S748,Config!$B$15:$B$18,0))-INDEX(Config!$C$15:$C$18,MATCH($S748,Config!$B$15:$B$18,0)))*1440,0)),""))</f>
        <v/>
      </c>
      <c r="V748" s="5"/>
    </row>
    <row r="749" spans="1:22" x14ac:dyDescent="0.25">
      <c r="A749" s="11"/>
      <c r="B749" s="5"/>
      <c r="C749" s="6" t="str">
        <f>IFERROR(INDEX(Ejecutivos!$B$2:$B$100,MATCH(B749,Ejecutivos!$A$2:$A$100,0)),"")</f>
        <v/>
      </c>
      <c r="D749" s="12"/>
      <c r="E749" s="12"/>
      <c r="F749" s="12"/>
      <c r="G749" s="12"/>
      <c r="H749" s="5"/>
      <c r="I749" s="5"/>
      <c r="J749" s="5"/>
      <c r="K749" s="5"/>
      <c r="L749" s="18">
        <v>0</v>
      </c>
      <c r="M749" t="str">
        <f t="shared" si="47"/>
        <v/>
      </c>
      <c r="N749" t="str">
        <f>IF(OR($D749="",$S749=""),"",IFERROR(MAX(0,ROUND(($D749-INDEX(Config!$C$15:$C$18,MATCH($S749,Config!$B$15:$B$18,0)))*24*60,0)),""))</f>
        <v/>
      </c>
      <c r="O749" t="str">
        <f t="shared" si="48"/>
        <v/>
      </c>
      <c r="P749" t="str">
        <f t="shared" si="49"/>
        <v/>
      </c>
      <c r="Q749" t="str">
        <f>IF(OR($P749="",$S749=""),"",IFERROR($P749-INDEX(Config!$E$15:$E$18,MATCH($S749,Config!$B$15:$B$18,0)),""))</f>
        <v/>
      </c>
      <c r="R749" t="str">
        <f t="shared" si="50"/>
        <v/>
      </c>
      <c r="S749" s="6" t="str">
        <f>IF(OR($A749="",$C749=""),"",IFERROR(INDEX(Turno!$C$3:$V$32,MATCH($C749,Turno!$B$3:$B$32,0),MATCH(DAY($A749),Turno!$C$1:$V$1,0)),""))</f>
        <v/>
      </c>
      <c r="T749" t="str">
        <f>IF(OR($E749="",$S749=""),"",IFERROR(MAX(0,ROUND((INDEX(Config!$D$15:$D$18,MATCH($S749,Config!$B$15:$B$18,0))-$E749)*1440,0)),""))</f>
        <v/>
      </c>
      <c r="U749" s="13" t="str">
        <f>IF(OR($N749="",$T749=""),"",IFERROR(MAX(0,1-($N749+$T749+MAX(0,N($Q749)))/ROUND((INDEX(Config!$D$15:$D$18,MATCH($S749,Config!$B$15:$B$18,0))-INDEX(Config!$C$15:$C$18,MATCH($S749,Config!$B$15:$B$18,0)))*1440,0)),""))</f>
        <v/>
      </c>
      <c r="V749" s="5"/>
    </row>
    <row r="750" spans="1:22" x14ac:dyDescent="0.25">
      <c r="A750" s="11"/>
      <c r="B750" s="5"/>
      <c r="C750" s="6" t="str">
        <f>IFERROR(INDEX(Ejecutivos!$B$2:$B$100,MATCH(B750,Ejecutivos!$A$2:$A$100,0)),"")</f>
        <v/>
      </c>
      <c r="D750" s="12"/>
      <c r="E750" s="12"/>
      <c r="F750" s="12"/>
      <c r="G750" s="12"/>
      <c r="H750" s="5"/>
      <c r="I750" s="5"/>
      <c r="J750" s="5"/>
      <c r="K750" s="5"/>
      <c r="L750" s="18">
        <v>0</v>
      </c>
      <c r="M750" t="str">
        <f t="shared" si="47"/>
        <v/>
      </c>
      <c r="N750" t="str">
        <f>IF(OR($D750="",$S750=""),"",IFERROR(MAX(0,ROUND(($D750-INDEX(Config!$C$15:$C$18,MATCH($S750,Config!$B$15:$B$18,0)))*24*60,0)),""))</f>
        <v/>
      </c>
      <c r="O750" t="str">
        <f t="shared" si="48"/>
        <v/>
      </c>
      <c r="P750" t="str">
        <f t="shared" si="49"/>
        <v/>
      </c>
      <c r="Q750" t="str">
        <f>IF(OR($P750="",$S750=""),"",IFERROR($P750-INDEX(Config!$E$15:$E$18,MATCH($S750,Config!$B$15:$B$18,0)),""))</f>
        <v/>
      </c>
      <c r="R750" t="str">
        <f t="shared" si="50"/>
        <v/>
      </c>
      <c r="S750" s="6" t="str">
        <f>IF(OR($A750="",$C750=""),"",IFERROR(INDEX(Turno!$C$3:$V$32,MATCH($C750,Turno!$B$3:$B$32,0),MATCH(DAY($A750),Turno!$C$1:$V$1,0)),""))</f>
        <v/>
      </c>
      <c r="T750" t="str">
        <f>IF(OR($E750="",$S750=""),"",IFERROR(MAX(0,ROUND((INDEX(Config!$D$15:$D$18,MATCH($S750,Config!$B$15:$B$18,0))-$E750)*1440,0)),""))</f>
        <v/>
      </c>
      <c r="U750" s="13" t="str">
        <f>IF(OR($N750="",$T750=""),"",IFERROR(MAX(0,1-($N750+$T750+MAX(0,N($Q750)))/ROUND((INDEX(Config!$D$15:$D$18,MATCH($S750,Config!$B$15:$B$18,0))-INDEX(Config!$C$15:$C$18,MATCH($S750,Config!$B$15:$B$18,0)))*1440,0)),""))</f>
        <v/>
      </c>
      <c r="V750" s="5"/>
    </row>
    <row r="751" spans="1:22" x14ac:dyDescent="0.25">
      <c r="A751" s="11"/>
      <c r="B751" s="5"/>
      <c r="C751" s="6" t="str">
        <f>IFERROR(INDEX(Ejecutivos!$B$2:$B$100,MATCH(B751,Ejecutivos!$A$2:$A$100,0)),"")</f>
        <v/>
      </c>
      <c r="D751" s="12"/>
      <c r="E751" s="12"/>
      <c r="F751" s="12"/>
      <c r="G751" s="12"/>
      <c r="H751" s="5"/>
      <c r="I751" s="5"/>
      <c r="J751" s="5"/>
      <c r="K751" s="5"/>
      <c r="L751" s="18">
        <v>0</v>
      </c>
      <c r="M751" t="str">
        <f t="shared" si="47"/>
        <v/>
      </c>
      <c r="N751" t="str">
        <f>IF(OR($D751="",$S751=""),"",IFERROR(MAX(0,ROUND(($D751-INDEX(Config!$C$15:$C$18,MATCH($S751,Config!$B$15:$B$18,0)))*24*60,0)),""))</f>
        <v/>
      </c>
      <c r="O751" t="str">
        <f t="shared" si="48"/>
        <v/>
      </c>
      <c r="P751" t="str">
        <f t="shared" si="49"/>
        <v/>
      </c>
      <c r="Q751" t="str">
        <f>IF(OR($P751="",$S751=""),"",IFERROR($P751-INDEX(Config!$E$15:$E$18,MATCH($S751,Config!$B$15:$B$18,0)),""))</f>
        <v/>
      </c>
      <c r="R751" t="str">
        <f t="shared" si="50"/>
        <v/>
      </c>
      <c r="S751" s="6" t="str">
        <f>IF(OR($A751="",$C751=""),"",IFERROR(INDEX(Turno!$C$3:$V$32,MATCH($C751,Turno!$B$3:$B$32,0),MATCH(DAY($A751),Turno!$C$1:$V$1,0)),""))</f>
        <v/>
      </c>
      <c r="T751" t="str">
        <f>IF(OR($E751="",$S751=""),"",IFERROR(MAX(0,ROUND((INDEX(Config!$D$15:$D$18,MATCH($S751,Config!$B$15:$B$18,0))-$E751)*1440,0)),""))</f>
        <v/>
      </c>
      <c r="U751" s="13" t="str">
        <f>IF(OR($N751="",$T751=""),"",IFERROR(MAX(0,1-($N751+$T751+MAX(0,N($Q751)))/ROUND((INDEX(Config!$D$15:$D$18,MATCH($S751,Config!$B$15:$B$18,0))-INDEX(Config!$C$15:$C$18,MATCH($S751,Config!$B$15:$B$18,0)))*1440,0)),""))</f>
        <v/>
      </c>
      <c r="V751" s="5"/>
    </row>
    <row r="752" spans="1:22" x14ac:dyDescent="0.25">
      <c r="A752" s="11"/>
      <c r="B752" s="5"/>
      <c r="C752" s="6" t="str">
        <f>IFERROR(INDEX(Ejecutivos!$B$2:$B$100,MATCH(B752,Ejecutivos!$A$2:$A$100,0)),"")</f>
        <v/>
      </c>
      <c r="D752" s="12"/>
      <c r="E752" s="12"/>
      <c r="F752" s="12"/>
      <c r="G752" s="12"/>
      <c r="H752" s="5"/>
      <c r="I752" s="5"/>
      <c r="J752" s="5"/>
      <c r="K752" s="5"/>
      <c r="L752" s="18">
        <v>0</v>
      </c>
      <c r="M752" t="str">
        <f t="shared" si="47"/>
        <v/>
      </c>
      <c r="N752" t="str">
        <f>IF(OR($D752="",$S752=""),"",IFERROR(MAX(0,ROUND(($D752-INDEX(Config!$C$15:$C$18,MATCH($S752,Config!$B$15:$B$18,0)))*24*60,0)),""))</f>
        <v/>
      </c>
      <c r="O752" t="str">
        <f t="shared" si="48"/>
        <v/>
      </c>
      <c r="P752" t="str">
        <f t="shared" si="49"/>
        <v/>
      </c>
      <c r="Q752" t="str">
        <f>IF(OR($P752="",$S752=""),"",IFERROR($P752-INDEX(Config!$E$15:$E$18,MATCH($S752,Config!$B$15:$B$18,0)),""))</f>
        <v/>
      </c>
      <c r="R752" t="str">
        <f t="shared" si="50"/>
        <v/>
      </c>
      <c r="S752" s="6" t="str">
        <f>IF(OR($A752="",$C752=""),"",IFERROR(INDEX(Turno!$C$3:$V$32,MATCH($C752,Turno!$B$3:$B$32,0),MATCH(DAY($A752),Turno!$C$1:$V$1,0)),""))</f>
        <v/>
      </c>
      <c r="T752" t="str">
        <f>IF(OR($E752="",$S752=""),"",IFERROR(MAX(0,ROUND((INDEX(Config!$D$15:$D$18,MATCH($S752,Config!$B$15:$B$18,0))-$E752)*1440,0)),""))</f>
        <v/>
      </c>
      <c r="U752" s="13" t="str">
        <f>IF(OR($N752="",$T752=""),"",IFERROR(MAX(0,1-($N752+$T752+MAX(0,N($Q752)))/ROUND((INDEX(Config!$D$15:$D$18,MATCH($S752,Config!$B$15:$B$18,0))-INDEX(Config!$C$15:$C$18,MATCH($S752,Config!$B$15:$B$18,0)))*1440,0)),""))</f>
        <v/>
      </c>
      <c r="V752" s="5"/>
    </row>
    <row r="753" spans="1:22" x14ac:dyDescent="0.25">
      <c r="A753" s="11"/>
      <c r="B753" s="5"/>
      <c r="C753" s="6" t="str">
        <f>IFERROR(INDEX(Ejecutivos!$B$2:$B$100,MATCH(B753,Ejecutivos!$A$2:$A$100,0)),"")</f>
        <v/>
      </c>
      <c r="D753" s="12"/>
      <c r="E753" s="12"/>
      <c r="F753" s="12"/>
      <c r="G753" s="12"/>
      <c r="H753" s="5"/>
      <c r="I753" s="5"/>
      <c r="J753" s="5"/>
      <c r="K753" s="5"/>
      <c r="L753" s="18">
        <v>0</v>
      </c>
      <c r="M753" t="str">
        <f t="shared" si="47"/>
        <v/>
      </c>
      <c r="N753" t="str">
        <f>IF(OR($D753="",$S753=""),"",IFERROR(MAX(0,ROUND(($D753-INDEX(Config!$C$15:$C$18,MATCH($S753,Config!$B$15:$B$18,0)))*24*60,0)),""))</f>
        <v/>
      </c>
      <c r="O753" t="str">
        <f t="shared" si="48"/>
        <v/>
      </c>
      <c r="P753" t="str">
        <f t="shared" si="49"/>
        <v/>
      </c>
      <c r="Q753" t="str">
        <f>IF(OR($P753="",$S753=""),"",IFERROR($P753-INDEX(Config!$E$15:$E$18,MATCH($S753,Config!$B$15:$B$18,0)),""))</f>
        <v/>
      </c>
      <c r="R753" t="str">
        <f t="shared" si="50"/>
        <v/>
      </c>
      <c r="S753" s="6" t="str">
        <f>IF(OR($A753="",$C753=""),"",IFERROR(INDEX(Turno!$C$3:$V$32,MATCH($C753,Turno!$B$3:$B$32,0),MATCH(DAY($A753),Turno!$C$1:$V$1,0)),""))</f>
        <v/>
      </c>
      <c r="T753" t="str">
        <f>IF(OR($E753="",$S753=""),"",IFERROR(MAX(0,ROUND((INDEX(Config!$D$15:$D$18,MATCH($S753,Config!$B$15:$B$18,0))-$E753)*1440,0)),""))</f>
        <v/>
      </c>
      <c r="U753" s="13" t="str">
        <f>IF(OR($N753="",$T753=""),"",IFERROR(MAX(0,1-($N753+$T753+MAX(0,N($Q753)))/ROUND((INDEX(Config!$D$15:$D$18,MATCH($S753,Config!$B$15:$B$18,0))-INDEX(Config!$C$15:$C$18,MATCH($S753,Config!$B$15:$B$18,0)))*1440,0)),""))</f>
        <v/>
      </c>
      <c r="V753" s="5"/>
    </row>
    <row r="754" spans="1:22" x14ac:dyDescent="0.25">
      <c r="A754" s="11"/>
      <c r="B754" s="5"/>
      <c r="C754" s="6" t="str">
        <f>IFERROR(INDEX(Ejecutivos!$B$2:$B$100,MATCH(B754,Ejecutivos!$A$2:$A$100,0)),"")</f>
        <v/>
      </c>
      <c r="D754" s="12"/>
      <c r="E754" s="12"/>
      <c r="F754" s="12"/>
      <c r="G754" s="12"/>
      <c r="H754" s="5"/>
      <c r="I754" s="5"/>
      <c r="J754" s="5"/>
      <c r="K754" s="5"/>
      <c r="L754" s="18">
        <v>0</v>
      </c>
      <c r="M754" t="str">
        <f t="shared" si="47"/>
        <v/>
      </c>
      <c r="N754" t="str">
        <f>IF(OR($D754="",$S754=""),"",IFERROR(MAX(0,ROUND(($D754-INDEX(Config!$C$15:$C$18,MATCH($S754,Config!$B$15:$B$18,0)))*24*60,0)),""))</f>
        <v/>
      </c>
      <c r="O754" t="str">
        <f t="shared" si="48"/>
        <v/>
      </c>
      <c r="P754" t="str">
        <f t="shared" si="49"/>
        <v/>
      </c>
      <c r="Q754" t="str">
        <f>IF(OR($P754="",$S754=""),"",IFERROR($P754-INDEX(Config!$E$15:$E$18,MATCH($S754,Config!$B$15:$B$18,0)),""))</f>
        <v/>
      </c>
      <c r="R754" t="str">
        <f t="shared" si="50"/>
        <v/>
      </c>
      <c r="S754" s="6" t="str">
        <f>IF(OR($A754="",$C754=""),"",IFERROR(INDEX(Turno!$C$3:$V$32,MATCH($C754,Turno!$B$3:$B$32,0),MATCH(DAY($A754),Turno!$C$1:$V$1,0)),""))</f>
        <v/>
      </c>
      <c r="T754" t="str">
        <f>IF(OR($E754="",$S754=""),"",IFERROR(MAX(0,ROUND((INDEX(Config!$D$15:$D$18,MATCH($S754,Config!$B$15:$B$18,0))-$E754)*1440,0)),""))</f>
        <v/>
      </c>
      <c r="U754" s="13" t="str">
        <f>IF(OR($N754="",$T754=""),"",IFERROR(MAX(0,1-($N754+$T754+MAX(0,N($Q754)))/ROUND((INDEX(Config!$D$15:$D$18,MATCH($S754,Config!$B$15:$B$18,0))-INDEX(Config!$C$15:$C$18,MATCH($S754,Config!$B$15:$B$18,0)))*1440,0)),""))</f>
        <v/>
      </c>
      <c r="V754" s="5"/>
    </row>
    <row r="755" spans="1:22" x14ac:dyDescent="0.25">
      <c r="A755" s="11"/>
      <c r="B755" s="5"/>
      <c r="C755" s="6" t="str">
        <f>IFERROR(INDEX(Ejecutivos!$B$2:$B$100,MATCH(B755,Ejecutivos!$A$2:$A$100,0)),"")</f>
        <v/>
      </c>
      <c r="D755" s="12"/>
      <c r="E755" s="12"/>
      <c r="F755" s="12"/>
      <c r="G755" s="12"/>
      <c r="H755" s="5"/>
      <c r="I755" s="5"/>
      <c r="J755" s="5"/>
      <c r="K755" s="5"/>
      <c r="L755" s="18">
        <v>0</v>
      </c>
      <c r="M755" t="str">
        <f t="shared" si="47"/>
        <v/>
      </c>
      <c r="N755" t="str">
        <f>IF(OR($D755="",$S755=""),"",IFERROR(MAX(0,ROUND(($D755-INDEX(Config!$C$15:$C$18,MATCH($S755,Config!$B$15:$B$18,0)))*24*60,0)),""))</f>
        <v/>
      </c>
      <c r="O755" t="str">
        <f t="shared" si="48"/>
        <v/>
      </c>
      <c r="P755" t="str">
        <f t="shared" si="49"/>
        <v/>
      </c>
      <c r="Q755" t="str">
        <f>IF(OR($P755="",$S755=""),"",IFERROR($P755-INDEX(Config!$E$15:$E$18,MATCH($S755,Config!$B$15:$B$18,0)),""))</f>
        <v/>
      </c>
      <c r="R755" t="str">
        <f t="shared" si="50"/>
        <v/>
      </c>
      <c r="S755" s="6" t="str">
        <f>IF(OR($A755="",$C755=""),"",IFERROR(INDEX(Turno!$C$3:$V$32,MATCH($C755,Turno!$B$3:$B$32,0),MATCH(DAY($A755),Turno!$C$1:$V$1,0)),""))</f>
        <v/>
      </c>
      <c r="T755" t="str">
        <f>IF(OR($E755="",$S755=""),"",IFERROR(MAX(0,ROUND((INDEX(Config!$D$15:$D$18,MATCH($S755,Config!$B$15:$B$18,0))-$E755)*1440,0)),""))</f>
        <v/>
      </c>
      <c r="U755" s="13" t="str">
        <f>IF(OR($N755="",$T755=""),"",IFERROR(MAX(0,1-($N755+$T755+MAX(0,N($Q755)))/ROUND((INDEX(Config!$D$15:$D$18,MATCH($S755,Config!$B$15:$B$18,0))-INDEX(Config!$C$15:$C$18,MATCH($S755,Config!$B$15:$B$18,0)))*1440,0)),""))</f>
        <v/>
      </c>
      <c r="V755" s="5"/>
    </row>
    <row r="756" spans="1:22" x14ac:dyDescent="0.25">
      <c r="A756" s="11"/>
      <c r="B756" s="5"/>
      <c r="C756" s="6" t="str">
        <f>IFERROR(INDEX(Ejecutivos!$B$2:$B$100,MATCH(B756,Ejecutivos!$A$2:$A$100,0)),"")</f>
        <v/>
      </c>
      <c r="D756" s="12"/>
      <c r="E756" s="12"/>
      <c r="F756" s="12"/>
      <c r="G756" s="12"/>
      <c r="H756" s="5"/>
      <c r="I756" s="5"/>
      <c r="J756" s="5"/>
      <c r="K756" s="5"/>
      <c r="L756" s="18">
        <v>0</v>
      </c>
      <c r="M756" t="str">
        <f t="shared" si="47"/>
        <v/>
      </c>
      <c r="N756" t="str">
        <f>IF(OR($D756="",$S756=""),"",IFERROR(MAX(0,ROUND(($D756-INDEX(Config!$C$15:$C$18,MATCH($S756,Config!$B$15:$B$18,0)))*24*60,0)),""))</f>
        <v/>
      </c>
      <c r="O756" t="str">
        <f t="shared" si="48"/>
        <v/>
      </c>
      <c r="P756" t="str">
        <f t="shared" si="49"/>
        <v/>
      </c>
      <c r="Q756" t="str">
        <f>IF(OR($P756="",$S756=""),"",IFERROR($P756-INDEX(Config!$E$15:$E$18,MATCH($S756,Config!$B$15:$B$18,0)),""))</f>
        <v/>
      </c>
      <c r="R756" t="str">
        <f t="shared" si="50"/>
        <v/>
      </c>
      <c r="S756" s="6" t="str">
        <f>IF(OR($A756="",$C756=""),"",IFERROR(INDEX(Turno!$C$3:$V$32,MATCH($C756,Turno!$B$3:$B$32,0),MATCH(DAY($A756),Turno!$C$1:$V$1,0)),""))</f>
        <v/>
      </c>
      <c r="T756" t="str">
        <f>IF(OR($E756="",$S756=""),"",IFERROR(MAX(0,ROUND((INDEX(Config!$D$15:$D$18,MATCH($S756,Config!$B$15:$B$18,0))-$E756)*1440,0)),""))</f>
        <v/>
      </c>
      <c r="U756" s="13" t="str">
        <f>IF(OR($N756="",$T756=""),"",IFERROR(MAX(0,1-($N756+$T756+MAX(0,N($Q756)))/ROUND((INDEX(Config!$D$15:$D$18,MATCH($S756,Config!$B$15:$B$18,0))-INDEX(Config!$C$15:$C$18,MATCH($S756,Config!$B$15:$B$18,0)))*1440,0)),""))</f>
        <v/>
      </c>
      <c r="V756" s="5"/>
    </row>
    <row r="757" spans="1:22" x14ac:dyDescent="0.25">
      <c r="A757" s="11"/>
      <c r="B757" s="5"/>
      <c r="C757" s="6" t="str">
        <f>IFERROR(INDEX(Ejecutivos!$B$2:$B$100,MATCH(B757,Ejecutivos!$A$2:$A$100,0)),"")</f>
        <v/>
      </c>
      <c r="D757" s="12"/>
      <c r="E757" s="12"/>
      <c r="F757" s="12"/>
      <c r="G757" s="12"/>
      <c r="H757" s="5"/>
      <c r="I757" s="5"/>
      <c r="J757" s="5"/>
      <c r="K757" s="5"/>
      <c r="L757" s="18">
        <v>0</v>
      </c>
      <c r="M757" t="str">
        <f t="shared" ref="M757:M820" si="51">IF(OR(D757="",E757=""),"",ROUND(((E757-D757)*24)-((G757-F757)*24)-((H757+I757)/60),2))</f>
        <v/>
      </c>
      <c r="N757" t="str">
        <f>IF(OR($D757="",$S757=""),"",IFERROR(MAX(0,ROUND(($D757-INDEX(Config!$C$15:$C$18,MATCH($S757,Config!$B$15:$B$18,0)))*24*60,0)),""))</f>
        <v/>
      </c>
      <c r="O757" t="str">
        <f t="shared" ref="O757:O820" si="52">IF(OR(F757="",G757=""),"",ROUND((G757-F757)*24*60,0))</f>
        <v/>
      </c>
      <c r="P757" t="str">
        <f t="shared" ref="P757:P820" si="53">IF(O757="","",O757+H757+I757)</f>
        <v/>
      </c>
      <c r="Q757" t="str">
        <f>IF(OR($P757="",$S757=""),"",IFERROR($P757-INDEX(Config!$E$15:$E$18,MATCH($S757,Config!$B$15:$B$18,0)),""))</f>
        <v/>
      </c>
      <c r="R757" t="str">
        <f t="shared" ref="R757:R820" si="54">IF($A757="","",IF($D757="","Ausente",IF($N757="","",IF($N757&gt;0,"Atrasado","Puntual"))))</f>
        <v/>
      </c>
      <c r="S757" s="6" t="str">
        <f>IF(OR($A757="",$C757=""),"",IFERROR(INDEX(Turno!$C$3:$V$32,MATCH($C757,Turno!$B$3:$B$32,0),MATCH(DAY($A757),Turno!$C$1:$V$1,0)),""))</f>
        <v/>
      </c>
      <c r="T757" t="str">
        <f>IF(OR($E757="",$S757=""),"",IFERROR(MAX(0,ROUND((INDEX(Config!$D$15:$D$18,MATCH($S757,Config!$B$15:$B$18,0))-$E757)*1440,0)),""))</f>
        <v/>
      </c>
      <c r="U757" s="13" t="str">
        <f>IF(OR($N757="",$T757=""),"",IFERROR(MAX(0,1-($N757+$T757+MAX(0,N($Q757)))/ROUND((INDEX(Config!$D$15:$D$18,MATCH($S757,Config!$B$15:$B$18,0))-INDEX(Config!$C$15:$C$18,MATCH($S757,Config!$B$15:$B$18,0)))*1440,0)),""))</f>
        <v/>
      </c>
      <c r="V757" s="5"/>
    </row>
    <row r="758" spans="1:22" x14ac:dyDescent="0.25">
      <c r="A758" s="11"/>
      <c r="B758" s="5"/>
      <c r="C758" s="6" t="str">
        <f>IFERROR(INDEX(Ejecutivos!$B$2:$B$100,MATCH(B758,Ejecutivos!$A$2:$A$100,0)),"")</f>
        <v/>
      </c>
      <c r="D758" s="12"/>
      <c r="E758" s="12"/>
      <c r="F758" s="12"/>
      <c r="G758" s="12"/>
      <c r="H758" s="5"/>
      <c r="I758" s="5"/>
      <c r="J758" s="5"/>
      <c r="K758" s="5"/>
      <c r="L758" s="18">
        <v>0</v>
      </c>
      <c r="M758" t="str">
        <f t="shared" si="51"/>
        <v/>
      </c>
      <c r="N758" t="str">
        <f>IF(OR($D758="",$S758=""),"",IFERROR(MAX(0,ROUND(($D758-INDEX(Config!$C$15:$C$18,MATCH($S758,Config!$B$15:$B$18,0)))*24*60,0)),""))</f>
        <v/>
      </c>
      <c r="O758" t="str">
        <f t="shared" si="52"/>
        <v/>
      </c>
      <c r="P758" t="str">
        <f t="shared" si="53"/>
        <v/>
      </c>
      <c r="Q758" t="str">
        <f>IF(OR($P758="",$S758=""),"",IFERROR($P758-INDEX(Config!$E$15:$E$18,MATCH($S758,Config!$B$15:$B$18,0)),""))</f>
        <v/>
      </c>
      <c r="R758" t="str">
        <f t="shared" si="54"/>
        <v/>
      </c>
      <c r="S758" s="6" t="str">
        <f>IF(OR($A758="",$C758=""),"",IFERROR(INDEX(Turno!$C$3:$V$32,MATCH($C758,Turno!$B$3:$B$32,0),MATCH(DAY($A758),Turno!$C$1:$V$1,0)),""))</f>
        <v/>
      </c>
      <c r="T758" t="str">
        <f>IF(OR($E758="",$S758=""),"",IFERROR(MAX(0,ROUND((INDEX(Config!$D$15:$D$18,MATCH($S758,Config!$B$15:$B$18,0))-$E758)*1440,0)),""))</f>
        <v/>
      </c>
      <c r="U758" s="13" t="str">
        <f>IF(OR($N758="",$T758=""),"",IFERROR(MAX(0,1-($N758+$T758+MAX(0,N($Q758)))/ROUND((INDEX(Config!$D$15:$D$18,MATCH($S758,Config!$B$15:$B$18,0))-INDEX(Config!$C$15:$C$18,MATCH($S758,Config!$B$15:$B$18,0)))*1440,0)),""))</f>
        <v/>
      </c>
      <c r="V758" s="5"/>
    </row>
    <row r="759" spans="1:22" x14ac:dyDescent="0.25">
      <c r="A759" s="11"/>
      <c r="B759" s="5"/>
      <c r="C759" s="6" t="str">
        <f>IFERROR(INDEX(Ejecutivos!$B$2:$B$100,MATCH(B759,Ejecutivos!$A$2:$A$100,0)),"")</f>
        <v/>
      </c>
      <c r="D759" s="12"/>
      <c r="E759" s="12"/>
      <c r="F759" s="12"/>
      <c r="G759" s="12"/>
      <c r="H759" s="5"/>
      <c r="I759" s="5"/>
      <c r="J759" s="5"/>
      <c r="K759" s="5"/>
      <c r="L759" s="18">
        <v>0</v>
      </c>
      <c r="M759" t="str">
        <f t="shared" si="51"/>
        <v/>
      </c>
      <c r="N759" t="str">
        <f>IF(OR($D759="",$S759=""),"",IFERROR(MAX(0,ROUND(($D759-INDEX(Config!$C$15:$C$18,MATCH($S759,Config!$B$15:$B$18,0)))*24*60,0)),""))</f>
        <v/>
      </c>
      <c r="O759" t="str">
        <f t="shared" si="52"/>
        <v/>
      </c>
      <c r="P759" t="str">
        <f t="shared" si="53"/>
        <v/>
      </c>
      <c r="Q759" t="str">
        <f>IF(OR($P759="",$S759=""),"",IFERROR($P759-INDEX(Config!$E$15:$E$18,MATCH($S759,Config!$B$15:$B$18,0)),""))</f>
        <v/>
      </c>
      <c r="R759" t="str">
        <f t="shared" si="54"/>
        <v/>
      </c>
      <c r="S759" s="6" t="str">
        <f>IF(OR($A759="",$C759=""),"",IFERROR(INDEX(Turno!$C$3:$V$32,MATCH($C759,Turno!$B$3:$B$32,0),MATCH(DAY($A759),Turno!$C$1:$V$1,0)),""))</f>
        <v/>
      </c>
      <c r="T759" t="str">
        <f>IF(OR($E759="",$S759=""),"",IFERROR(MAX(0,ROUND((INDEX(Config!$D$15:$D$18,MATCH($S759,Config!$B$15:$B$18,0))-$E759)*1440,0)),""))</f>
        <v/>
      </c>
      <c r="U759" s="13" t="str">
        <f>IF(OR($N759="",$T759=""),"",IFERROR(MAX(0,1-($N759+$T759+MAX(0,N($Q759)))/ROUND((INDEX(Config!$D$15:$D$18,MATCH($S759,Config!$B$15:$B$18,0))-INDEX(Config!$C$15:$C$18,MATCH($S759,Config!$B$15:$B$18,0)))*1440,0)),""))</f>
        <v/>
      </c>
      <c r="V759" s="5"/>
    </row>
    <row r="760" spans="1:22" x14ac:dyDescent="0.25">
      <c r="A760" s="11"/>
      <c r="B760" s="5"/>
      <c r="C760" s="6" t="str">
        <f>IFERROR(INDEX(Ejecutivos!$B$2:$B$100,MATCH(B760,Ejecutivos!$A$2:$A$100,0)),"")</f>
        <v/>
      </c>
      <c r="D760" s="12"/>
      <c r="E760" s="12"/>
      <c r="F760" s="12"/>
      <c r="G760" s="12"/>
      <c r="H760" s="5"/>
      <c r="I760" s="5"/>
      <c r="J760" s="5"/>
      <c r="K760" s="5"/>
      <c r="L760" s="18">
        <v>0</v>
      </c>
      <c r="M760" t="str">
        <f t="shared" si="51"/>
        <v/>
      </c>
      <c r="N760" t="str">
        <f>IF(OR($D760="",$S760=""),"",IFERROR(MAX(0,ROUND(($D760-INDEX(Config!$C$15:$C$18,MATCH($S760,Config!$B$15:$B$18,0)))*24*60,0)),""))</f>
        <v/>
      </c>
      <c r="O760" t="str">
        <f t="shared" si="52"/>
        <v/>
      </c>
      <c r="P760" t="str">
        <f t="shared" si="53"/>
        <v/>
      </c>
      <c r="Q760" t="str">
        <f>IF(OR($P760="",$S760=""),"",IFERROR($P760-INDEX(Config!$E$15:$E$18,MATCH($S760,Config!$B$15:$B$18,0)),""))</f>
        <v/>
      </c>
      <c r="R760" t="str">
        <f t="shared" si="54"/>
        <v/>
      </c>
      <c r="S760" s="6" t="str">
        <f>IF(OR($A760="",$C760=""),"",IFERROR(INDEX(Turno!$C$3:$V$32,MATCH($C760,Turno!$B$3:$B$32,0),MATCH(DAY($A760),Turno!$C$1:$V$1,0)),""))</f>
        <v/>
      </c>
      <c r="T760" t="str">
        <f>IF(OR($E760="",$S760=""),"",IFERROR(MAX(0,ROUND((INDEX(Config!$D$15:$D$18,MATCH($S760,Config!$B$15:$B$18,0))-$E760)*1440,0)),""))</f>
        <v/>
      </c>
      <c r="U760" s="13" t="str">
        <f>IF(OR($N760="",$T760=""),"",IFERROR(MAX(0,1-($N760+$T760+MAX(0,N($Q760)))/ROUND((INDEX(Config!$D$15:$D$18,MATCH($S760,Config!$B$15:$B$18,0))-INDEX(Config!$C$15:$C$18,MATCH($S760,Config!$B$15:$B$18,0)))*1440,0)),""))</f>
        <v/>
      </c>
      <c r="V760" s="5"/>
    </row>
    <row r="761" spans="1:22" x14ac:dyDescent="0.25">
      <c r="A761" s="11"/>
      <c r="B761" s="5"/>
      <c r="C761" s="6" t="str">
        <f>IFERROR(INDEX(Ejecutivos!$B$2:$B$100,MATCH(B761,Ejecutivos!$A$2:$A$100,0)),"")</f>
        <v/>
      </c>
      <c r="D761" s="12"/>
      <c r="E761" s="12"/>
      <c r="F761" s="12"/>
      <c r="G761" s="12"/>
      <c r="H761" s="5"/>
      <c r="I761" s="5"/>
      <c r="J761" s="5"/>
      <c r="K761" s="5"/>
      <c r="L761" s="18">
        <v>0</v>
      </c>
      <c r="M761" t="str">
        <f t="shared" si="51"/>
        <v/>
      </c>
      <c r="N761" t="str">
        <f>IF(OR($D761="",$S761=""),"",IFERROR(MAX(0,ROUND(($D761-INDEX(Config!$C$15:$C$18,MATCH($S761,Config!$B$15:$B$18,0)))*24*60,0)),""))</f>
        <v/>
      </c>
      <c r="O761" t="str">
        <f t="shared" si="52"/>
        <v/>
      </c>
      <c r="P761" t="str">
        <f t="shared" si="53"/>
        <v/>
      </c>
      <c r="Q761" t="str">
        <f>IF(OR($P761="",$S761=""),"",IFERROR($P761-INDEX(Config!$E$15:$E$18,MATCH($S761,Config!$B$15:$B$18,0)),""))</f>
        <v/>
      </c>
      <c r="R761" t="str">
        <f t="shared" si="54"/>
        <v/>
      </c>
      <c r="S761" s="6" t="str">
        <f>IF(OR($A761="",$C761=""),"",IFERROR(INDEX(Turno!$C$3:$V$32,MATCH($C761,Turno!$B$3:$B$32,0),MATCH(DAY($A761),Turno!$C$1:$V$1,0)),""))</f>
        <v/>
      </c>
      <c r="T761" t="str">
        <f>IF(OR($E761="",$S761=""),"",IFERROR(MAX(0,ROUND((INDEX(Config!$D$15:$D$18,MATCH($S761,Config!$B$15:$B$18,0))-$E761)*1440,0)),""))</f>
        <v/>
      </c>
      <c r="U761" s="13" t="str">
        <f>IF(OR($N761="",$T761=""),"",IFERROR(MAX(0,1-($N761+$T761+MAX(0,N($Q761)))/ROUND((INDEX(Config!$D$15:$D$18,MATCH($S761,Config!$B$15:$B$18,0))-INDEX(Config!$C$15:$C$18,MATCH($S761,Config!$B$15:$B$18,0)))*1440,0)),""))</f>
        <v/>
      </c>
      <c r="V761" s="5"/>
    </row>
    <row r="762" spans="1:22" x14ac:dyDescent="0.25">
      <c r="A762" s="11"/>
      <c r="B762" s="5"/>
      <c r="C762" s="6" t="str">
        <f>IFERROR(INDEX(Ejecutivos!$B$2:$B$100,MATCH(B762,Ejecutivos!$A$2:$A$100,0)),"")</f>
        <v/>
      </c>
      <c r="D762" s="12"/>
      <c r="E762" s="12"/>
      <c r="F762" s="12"/>
      <c r="G762" s="12"/>
      <c r="H762" s="5"/>
      <c r="I762" s="5"/>
      <c r="J762" s="5"/>
      <c r="K762" s="5"/>
      <c r="L762" s="18">
        <v>0</v>
      </c>
      <c r="M762" t="str">
        <f t="shared" si="51"/>
        <v/>
      </c>
      <c r="N762" t="str">
        <f>IF(OR($D762="",$S762=""),"",IFERROR(MAX(0,ROUND(($D762-INDEX(Config!$C$15:$C$18,MATCH($S762,Config!$B$15:$B$18,0)))*24*60,0)),""))</f>
        <v/>
      </c>
      <c r="O762" t="str">
        <f t="shared" si="52"/>
        <v/>
      </c>
      <c r="P762" t="str">
        <f t="shared" si="53"/>
        <v/>
      </c>
      <c r="Q762" t="str">
        <f>IF(OR($P762="",$S762=""),"",IFERROR($P762-INDEX(Config!$E$15:$E$18,MATCH($S762,Config!$B$15:$B$18,0)),""))</f>
        <v/>
      </c>
      <c r="R762" t="str">
        <f t="shared" si="54"/>
        <v/>
      </c>
      <c r="S762" s="6" t="str">
        <f>IF(OR($A762="",$C762=""),"",IFERROR(INDEX(Turno!$C$3:$V$32,MATCH($C762,Turno!$B$3:$B$32,0),MATCH(DAY($A762),Turno!$C$1:$V$1,0)),""))</f>
        <v/>
      </c>
      <c r="T762" t="str">
        <f>IF(OR($E762="",$S762=""),"",IFERROR(MAX(0,ROUND((INDEX(Config!$D$15:$D$18,MATCH($S762,Config!$B$15:$B$18,0))-$E762)*1440,0)),""))</f>
        <v/>
      </c>
      <c r="U762" s="13" t="str">
        <f>IF(OR($N762="",$T762=""),"",IFERROR(MAX(0,1-($N762+$T762+MAX(0,N($Q762)))/ROUND((INDEX(Config!$D$15:$D$18,MATCH($S762,Config!$B$15:$B$18,0))-INDEX(Config!$C$15:$C$18,MATCH($S762,Config!$B$15:$B$18,0)))*1440,0)),""))</f>
        <v/>
      </c>
      <c r="V762" s="5"/>
    </row>
    <row r="763" spans="1:22" x14ac:dyDescent="0.25">
      <c r="A763" s="11"/>
      <c r="B763" s="5"/>
      <c r="C763" s="6" t="str">
        <f>IFERROR(INDEX(Ejecutivos!$B$2:$B$100,MATCH(B763,Ejecutivos!$A$2:$A$100,0)),"")</f>
        <v/>
      </c>
      <c r="D763" s="12"/>
      <c r="E763" s="12"/>
      <c r="F763" s="12"/>
      <c r="G763" s="12"/>
      <c r="H763" s="5"/>
      <c r="I763" s="5"/>
      <c r="J763" s="5"/>
      <c r="K763" s="5"/>
      <c r="L763" s="18">
        <v>0</v>
      </c>
      <c r="M763" t="str">
        <f t="shared" si="51"/>
        <v/>
      </c>
      <c r="N763" t="str">
        <f>IF(OR($D763="",$S763=""),"",IFERROR(MAX(0,ROUND(($D763-INDEX(Config!$C$15:$C$18,MATCH($S763,Config!$B$15:$B$18,0)))*24*60,0)),""))</f>
        <v/>
      </c>
      <c r="O763" t="str">
        <f t="shared" si="52"/>
        <v/>
      </c>
      <c r="P763" t="str">
        <f t="shared" si="53"/>
        <v/>
      </c>
      <c r="Q763" t="str">
        <f>IF(OR($P763="",$S763=""),"",IFERROR($P763-INDEX(Config!$E$15:$E$18,MATCH($S763,Config!$B$15:$B$18,0)),""))</f>
        <v/>
      </c>
      <c r="R763" t="str">
        <f t="shared" si="54"/>
        <v/>
      </c>
      <c r="S763" s="6" t="str">
        <f>IF(OR($A763="",$C763=""),"",IFERROR(INDEX(Turno!$C$3:$V$32,MATCH($C763,Turno!$B$3:$B$32,0),MATCH(DAY($A763),Turno!$C$1:$V$1,0)),""))</f>
        <v/>
      </c>
      <c r="T763" t="str">
        <f>IF(OR($E763="",$S763=""),"",IFERROR(MAX(0,ROUND((INDEX(Config!$D$15:$D$18,MATCH($S763,Config!$B$15:$B$18,0))-$E763)*1440,0)),""))</f>
        <v/>
      </c>
      <c r="U763" s="13" t="str">
        <f>IF(OR($N763="",$T763=""),"",IFERROR(MAX(0,1-($N763+$T763+MAX(0,N($Q763)))/ROUND((INDEX(Config!$D$15:$D$18,MATCH($S763,Config!$B$15:$B$18,0))-INDEX(Config!$C$15:$C$18,MATCH($S763,Config!$B$15:$B$18,0)))*1440,0)),""))</f>
        <v/>
      </c>
      <c r="V763" s="5"/>
    </row>
    <row r="764" spans="1:22" x14ac:dyDescent="0.25">
      <c r="A764" s="11"/>
      <c r="B764" s="5"/>
      <c r="C764" s="6" t="str">
        <f>IFERROR(INDEX(Ejecutivos!$B$2:$B$100,MATCH(B764,Ejecutivos!$A$2:$A$100,0)),"")</f>
        <v/>
      </c>
      <c r="D764" s="12"/>
      <c r="E764" s="12"/>
      <c r="F764" s="12"/>
      <c r="G764" s="12"/>
      <c r="H764" s="5"/>
      <c r="I764" s="5"/>
      <c r="J764" s="5"/>
      <c r="K764" s="5"/>
      <c r="L764" s="18">
        <v>0</v>
      </c>
      <c r="M764" t="str">
        <f t="shared" si="51"/>
        <v/>
      </c>
      <c r="N764" t="str">
        <f>IF(OR($D764="",$S764=""),"",IFERROR(MAX(0,ROUND(($D764-INDEX(Config!$C$15:$C$18,MATCH($S764,Config!$B$15:$B$18,0)))*24*60,0)),""))</f>
        <v/>
      </c>
      <c r="O764" t="str">
        <f t="shared" si="52"/>
        <v/>
      </c>
      <c r="P764" t="str">
        <f t="shared" si="53"/>
        <v/>
      </c>
      <c r="Q764" t="str">
        <f>IF(OR($P764="",$S764=""),"",IFERROR($P764-INDEX(Config!$E$15:$E$18,MATCH($S764,Config!$B$15:$B$18,0)),""))</f>
        <v/>
      </c>
      <c r="R764" t="str">
        <f t="shared" si="54"/>
        <v/>
      </c>
      <c r="S764" s="6" t="str">
        <f>IF(OR($A764="",$C764=""),"",IFERROR(INDEX(Turno!$C$3:$V$32,MATCH($C764,Turno!$B$3:$B$32,0),MATCH(DAY($A764),Turno!$C$1:$V$1,0)),""))</f>
        <v/>
      </c>
      <c r="T764" t="str">
        <f>IF(OR($E764="",$S764=""),"",IFERROR(MAX(0,ROUND((INDEX(Config!$D$15:$D$18,MATCH($S764,Config!$B$15:$B$18,0))-$E764)*1440,0)),""))</f>
        <v/>
      </c>
      <c r="U764" s="13" t="str">
        <f>IF(OR($N764="",$T764=""),"",IFERROR(MAX(0,1-($N764+$T764+MAX(0,N($Q764)))/ROUND((INDEX(Config!$D$15:$D$18,MATCH($S764,Config!$B$15:$B$18,0))-INDEX(Config!$C$15:$C$18,MATCH($S764,Config!$B$15:$B$18,0)))*1440,0)),""))</f>
        <v/>
      </c>
      <c r="V764" s="5"/>
    </row>
    <row r="765" spans="1:22" x14ac:dyDescent="0.25">
      <c r="A765" s="11"/>
      <c r="B765" s="5"/>
      <c r="C765" s="6" t="str">
        <f>IFERROR(INDEX(Ejecutivos!$B$2:$B$100,MATCH(B765,Ejecutivos!$A$2:$A$100,0)),"")</f>
        <v/>
      </c>
      <c r="D765" s="12"/>
      <c r="E765" s="12"/>
      <c r="F765" s="12"/>
      <c r="G765" s="12"/>
      <c r="H765" s="5"/>
      <c r="I765" s="5"/>
      <c r="J765" s="5"/>
      <c r="K765" s="5"/>
      <c r="L765" s="18">
        <v>0</v>
      </c>
      <c r="M765" t="str">
        <f t="shared" si="51"/>
        <v/>
      </c>
      <c r="N765" t="str">
        <f>IF(OR($D765="",$S765=""),"",IFERROR(MAX(0,ROUND(($D765-INDEX(Config!$C$15:$C$18,MATCH($S765,Config!$B$15:$B$18,0)))*24*60,0)),""))</f>
        <v/>
      </c>
      <c r="O765" t="str">
        <f t="shared" si="52"/>
        <v/>
      </c>
      <c r="P765" t="str">
        <f t="shared" si="53"/>
        <v/>
      </c>
      <c r="Q765" t="str">
        <f>IF(OR($P765="",$S765=""),"",IFERROR($P765-INDEX(Config!$E$15:$E$18,MATCH($S765,Config!$B$15:$B$18,0)),""))</f>
        <v/>
      </c>
      <c r="R765" t="str">
        <f t="shared" si="54"/>
        <v/>
      </c>
      <c r="S765" s="6" t="str">
        <f>IF(OR($A765="",$C765=""),"",IFERROR(INDEX(Turno!$C$3:$V$32,MATCH($C765,Turno!$B$3:$B$32,0),MATCH(DAY($A765),Turno!$C$1:$V$1,0)),""))</f>
        <v/>
      </c>
      <c r="T765" t="str">
        <f>IF(OR($E765="",$S765=""),"",IFERROR(MAX(0,ROUND((INDEX(Config!$D$15:$D$18,MATCH($S765,Config!$B$15:$B$18,0))-$E765)*1440,0)),""))</f>
        <v/>
      </c>
      <c r="U765" s="13" t="str">
        <f>IF(OR($N765="",$T765=""),"",IFERROR(MAX(0,1-($N765+$T765+MAX(0,N($Q765)))/ROUND((INDEX(Config!$D$15:$D$18,MATCH($S765,Config!$B$15:$B$18,0))-INDEX(Config!$C$15:$C$18,MATCH($S765,Config!$B$15:$B$18,0)))*1440,0)),""))</f>
        <v/>
      </c>
      <c r="V765" s="5"/>
    </row>
    <row r="766" spans="1:22" x14ac:dyDescent="0.25">
      <c r="A766" s="11"/>
      <c r="B766" s="5"/>
      <c r="C766" s="6" t="str">
        <f>IFERROR(INDEX(Ejecutivos!$B$2:$B$100,MATCH(B766,Ejecutivos!$A$2:$A$100,0)),"")</f>
        <v/>
      </c>
      <c r="D766" s="12"/>
      <c r="E766" s="12"/>
      <c r="F766" s="12"/>
      <c r="G766" s="12"/>
      <c r="H766" s="5"/>
      <c r="I766" s="5"/>
      <c r="J766" s="5"/>
      <c r="K766" s="5"/>
      <c r="L766" s="18">
        <v>0</v>
      </c>
      <c r="M766" t="str">
        <f t="shared" si="51"/>
        <v/>
      </c>
      <c r="N766" t="str">
        <f>IF(OR($D766="",$S766=""),"",IFERROR(MAX(0,ROUND(($D766-INDEX(Config!$C$15:$C$18,MATCH($S766,Config!$B$15:$B$18,0)))*24*60,0)),""))</f>
        <v/>
      </c>
      <c r="O766" t="str">
        <f t="shared" si="52"/>
        <v/>
      </c>
      <c r="P766" t="str">
        <f t="shared" si="53"/>
        <v/>
      </c>
      <c r="Q766" t="str">
        <f>IF(OR($P766="",$S766=""),"",IFERROR($P766-INDEX(Config!$E$15:$E$18,MATCH($S766,Config!$B$15:$B$18,0)),""))</f>
        <v/>
      </c>
      <c r="R766" t="str">
        <f t="shared" si="54"/>
        <v/>
      </c>
      <c r="S766" s="6" t="str">
        <f>IF(OR($A766="",$C766=""),"",IFERROR(INDEX(Turno!$C$3:$V$32,MATCH($C766,Turno!$B$3:$B$32,0),MATCH(DAY($A766),Turno!$C$1:$V$1,0)),""))</f>
        <v/>
      </c>
      <c r="T766" t="str">
        <f>IF(OR($E766="",$S766=""),"",IFERROR(MAX(0,ROUND((INDEX(Config!$D$15:$D$18,MATCH($S766,Config!$B$15:$B$18,0))-$E766)*1440,0)),""))</f>
        <v/>
      </c>
      <c r="U766" s="13" t="str">
        <f>IF(OR($N766="",$T766=""),"",IFERROR(MAX(0,1-($N766+$T766+MAX(0,N($Q766)))/ROUND((INDEX(Config!$D$15:$D$18,MATCH($S766,Config!$B$15:$B$18,0))-INDEX(Config!$C$15:$C$18,MATCH($S766,Config!$B$15:$B$18,0)))*1440,0)),""))</f>
        <v/>
      </c>
      <c r="V766" s="5"/>
    </row>
    <row r="767" spans="1:22" x14ac:dyDescent="0.25">
      <c r="A767" s="11"/>
      <c r="B767" s="5"/>
      <c r="C767" s="6" t="str">
        <f>IFERROR(INDEX(Ejecutivos!$B$2:$B$100,MATCH(B767,Ejecutivos!$A$2:$A$100,0)),"")</f>
        <v/>
      </c>
      <c r="D767" s="12"/>
      <c r="E767" s="12"/>
      <c r="F767" s="12"/>
      <c r="G767" s="12"/>
      <c r="H767" s="5"/>
      <c r="I767" s="5"/>
      <c r="J767" s="5"/>
      <c r="K767" s="5"/>
      <c r="L767" s="18">
        <v>0</v>
      </c>
      <c r="M767" t="str">
        <f t="shared" si="51"/>
        <v/>
      </c>
      <c r="N767" t="str">
        <f>IF(OR($D767="",$S767=""),"",IFERROR(MAX(0,ROUND(($D767-INDEX(Config!$C$15:$C$18,MATCH($S767,Config!$B$15:$B$18,0)))*24*60,0)),""))</f>
        <v/>
      </c>
      <c r="O767" t="str">
        <f t="shared" si="52"/>
        <v/>
      </c>
      <c r="P767" t="str">
        <f t="shared" si="53"/>
        <v/>
      </c>
      <c r="Q767" t="str">
        <f>IF(OR($P767="",$S767=""),"",IFERROR($P767-INDEX(Config!$E$15:$E$18,MATCH($S767,Config!$B$15:$B$18,0)),""))</f>
        <v/>
      </c>
      <c r="R767" t="str">
        <f t="shared" si="54"/>
        <v/>
      </c>
      <c r="S767" s="6" t="str">
        <f>IF(OR($A767="",$C767=""),"",IFERROR(INDEX(Turno!$C$3:$V$32,MATCH($C767,Turno!$B$3:$B$32,0),MATCH(DAY($A767),Turno!$C$1:$V$1,0)),""))</f>
        <v/>
      </c>
      <c r="T767" t="str">
        <f>IF(OR($E767="",$S767=""),"",IFERROR(MAX(0,ROUND((INDEX(Config!$D$15:$D$18,MATCH($S767,Config!$B$15:$B$18,0))-$E767)*1440,0)),""))</f>
        <v/>
      </c>
      <c r="U767" s="13" t="str">
        <f>IF(OR($N767="",$T767=""),"",IFERROR(MAX(0,1-($N767+$T767+MAX(0,N($Q767)))/ROUND((INDEX(Config!$D$15:$D$18,MATCH($S767,Config!$B$15:$B$18,0))-INDEX(Config!$C$15:$C$18,MATCH($S767,Config!$B$15:$B$18,0)))*1440,0)),""))</f>
        <v/>
      </c>
      <c r="V767" s="5"/>
    </row>
    <row r="768" spans="1:22" x14ac:dyDescent="0.25">
      <c r="A768" s="11"/>
      <c r="B768" s="5"/>
      <c r="C768" s="6" t="str">
        <f>IFERROR(INDEX(Ejecutivos!$B$2:$B$100,MATCH(B768,Ejecutivos!$A$2:$A$100,0)),"")</f>
        <v/>
      </c>
      <c r="D768" s="12"/>
      <c r="E768" s="12"/>
      <c r="F768" s="12"/>
      <c r="G768" s="12"/>
      <c r="H768" s="5"/>
      <c r="I768" s="5"/>
      <c r="J768" s="5"/>
      <c r="K768" s="5"/>
      <c r="L768" s="18">
        <v>0</v>
      </c>
      <c r="M768" t="str">
        <f t="shared" si="51"/>
        <v/>
      </c>
      <c r="N768" t="str">
        <f>IF(OR($D768="",$S768=""),"",IFERROR(MAX(0,ROUND(($D768-INDEX(Config!$C$15:$C$18,MATCH($S768,Config!$B$15:$B$18,0)))*24*60,0)),""))</f>
        <v/>
      </c>
      <c r="O768" t="str">
        <f t="shared" si="52"/>
        <v/>
      </c>
      <c r="P768" t="str">
        <f t="shared" si="53"/>
        <v/>
      </c>
      <c r="Q768" t="str">
        <f>IF(OR($P768="",$S768=""),"",IFERROR($P768-INDEX(Config!$E$15:$E$18,MATCH($S768,Config!$B$15:$B$18,0)),""))</f>
        <v/>
      </c>
      <c r="R768" t="str">
        <f t="shared" si="54"/>
        <v/>
      </c>
      <c r="S768" s="6" t="str">
        <f>IF(OR($A768="",$C768=""),"",IFERROR(INDEX(Turno!$C$3:$V$32,MATCH($C768,Turno!$B$3:$B$32,0),MATCH(DAY($A768),Turno!$C$1:$V$1,0)),""))</f>
        <v/>
      </c>
      <c r="T768" t="str">
        <f>IF(OR($E768="",$S768=""),"",IFERROR(MAX(0,ROUND((INDEX(Config!$D$15:$D$18,MATCH($S768,Config!$B$15:$B$18,0))-$E768)*1440,0)),""))</f>
        <v/>
      </c>
      <c r="U768" s="13" t="str">
        <f>IF(OR($N768="",$T768=""),"",IFERROR(MAX(0,1-($N768+$T768+MAX(0,N($Q768)))/ROUND((INDEX(Config!$D$15:$D$18,MATCH($S768,Config!$B$15:$B$18,0))-INDEX(Config!$C$15:$C$18,MATCH($S768,Config!$B$15:$B$18,0)))*1440,0)),""))</f>
        <v/>
      </c>
      <c r="V768" s="5"/>
    </row>
    <row r="769" spans="1:22" x14ac:dyDescent="0.25">
      <c r="A769" s="11"/>
      <c r="B769" s="5"/>
      <c r="C769" s="6" t="str">
        <f>IFERROR(INDEX(Ejecutivos!$B$2:$B$100,MATCH(B769,Ejecutivos!$A$2:$A$100,0)),"")</f>
        <v/>
      </c>
      <c r="D769" s="12"/>
      <c r="E769" s="12"/>
      <c r="F769" s="12"/>
      <c r="G769" s="12"/>
      <c r="H769" s="5"/>
      <c r="I769" s="5"/>
      <c r="J769" s="5"/>
      <c r="K769" s="5"/>
      <c r="L769" s="18">
        <v>0</v>
      </c>
      <c r="M769" t="str">
        <f t="shared" si="51"/>
        <v/>
      </c>
      <c r="N769" t="str">
        <f>IF(OR($D769="",$S769=""),"",IFERROR(MAX(0,ROUND(($D769-INDEX(Config!$C$15:$C$18,MATCH($S769,Config!$B$15:$B$18,0)))*24*60,0)),""))</f>
        <v/>
      </c>
      <c r="O769" t="str">
        <f t="shared" si="52"/>
        <v/>
      </c>
      <c r="P769" t="str">
        <f t="shared" si="53"/>
        <v/>
      </c>
      <c r="Q769" t="str">
        <f>IF(OR($P769="",$S769=""),"",IFERROR($P769-INDEX(Config!$E$15:$E$18,MATCH($S769,Config!$B$15:$B$18,0)),""))</f>
        <v/>
      </c>
      <c r="R769" t="str">
        <f t="shared" si="54"/>
        <v/>
      </c>
      <c r="S769" s="6" t="str">
        <f>IF(OR($A769="",$C769=""),"",IFERROR(INDEX(Turno!$C$3:$V$32,MATCH($C769,Turno!$B$3:$B$32,0),MATCH(DAY($A769),Turno!$C$1:$V$1,0)),""))</f>
        <v/>
      </c>
      <c r="T769" t="str">
        <f>IF(OR($E769="",$S769=""),"",IFERROR(MAX(0,ROUND((INDEX(Config!$D$15:$D$18,MATCH($S769,Config!$B$15:$B$18,0))-$E769)*1440,0)),""))</f>
        <v/>
      </c>
      <c r="U769" s="13" t="str">
        <f>IF(OR($N769="",$T769=""),"",IFERROR(MAX(0,1-($N769+$T769+MAX(0,N($Q769)))/ROUND((INDEX(Config!$D$15:$D$18,MATCH($S769,Config!$B$15:$B$18,0))-INDEX(Config!$C$15:$C$18,MATCH($S769,Config!$B$15:$B$18,0)))*1440,0)),""))</f>
        <v/>
      </c>
      <c r="V769" s="5"/>
    </row>
    <row r="770" spans="1:22" x14ac:dyDescent="0.25">
      <c r="A770" s="11"/>
      <c r="B770" s="5"/>
      <c r="C770" s="6" t="str">
        <f>IFERROR(INDEX(Ejecutivos!$B$2:$B$100,MATCH(B770,Ejecutivos!$A$2:$A$100,0)),"")</f>
        <v/>
      </c>
      <c r="D770" s="12"/>
      <c r="E770" s="12"/>
      <c r="F770" s="12"/>
      <c r="G770" s="12"/>
      <c r="H770" s="5"/>
      <c r="I770" s="5"/>
      <c r="J770" s="5"/>
      <c r="K770" s="5"/>
      <c r="L770" s="18">
        <v>0</v>
      </c>
      <c r="M770" t="str">
        <f t="shared" si="51"/>
        <v/>
      </c>
      <c r="N770" t="str">
        <f>IF(OR($D770="",$S770=""),"",IFERROR(MAX(0,ROUND(($D770-INDEX(Config!$C$15:$C$18,MATCH($S770,Config!$B$15:$B$18,0)))*24*60,0)),""))</f>
        <v/>
      </c>
      <c r="O770" t="str">
        <f t="shared" si="52"/>
        <v/>
      </c>
      <c r="P770" t="str">
        <f t="shared" si="53"/>
        <v/>
      </c>
      <c r="Q770" t="str">
        <f>IF(OR($P770="",$S770=""),"",IFERROR($P770-INDEX(Config!$E$15:$E$18,MATCH($S770,Config!$B$15:$B$18,0)),""))</f>
        <v/>
      </c>
      <c r="R770" t="str">
        <f t="shared" si="54"/>
        <v/>
      </c>
      <c r="S770" s="6" t="str">
        <f>IF(OR($A770="",$C770=""),"",IFERROR(INDEX(Turno!$C$3:$V$32,MATCH($C770,Turno!$B$3:$B$32,0),MATCH(DAY($A770),Turno!$C$1:$V$1,0)),""))</f>
        <v/>
      </c>
      <c r="T770" t="str">
        <f>IF(OR($E770="",$S770=""),"",IFERROR(MAX(0,ROUND((INDEX(Config!$D$15:$D$18,MATCH($S770,Config!$B$15:$B$18,0))-$E770)*1440,0)),""))</f>
        <v/>
      </c>
      <c r="U770" s="13" t="str">
        <f>IF(OR($N770="",$T770=""),"",IFERROR(MAX(0,1-($N770+$T770+MAX(0,N($Q770)))/ROUND((INDEX(Config!$D$15:$D$18,MATCH($S770,Config!$B$15:$B$18,0))-INDEX(Config!$C$15:$C$18,MATCH($S770,Config!$B$15:$B$18,0)))*1440,0)),""))</f>
        <v/>
      </c>
      <c r="V770" s="5"/>
    </row>
    <row r="771" spans="1:22" x14ac:dyDescent="0.25">
      <c r="A771" s="11"/>
      <c r="B771" s="5"/>
      <c r="C771" s="6" t="str">
        <f>IFERROR(INDEX(Ejecutivos!$B$2:$B$100,MATCH(B771,Ejecutivos!$A$2:$A$100,0)),"")</f>
        <v/>
      </c>
      <c r="D771" s="12"/>
      <c r="E771" s="12"/>
      <c r="F771" s="12"/>
      <c r="G771" s="12"/>
      <c r="H771" s="5"/>
      <c r="I771" s="5"/>
      <c r="J771" s="5"/>
      <c r="K771" s="5"/>
      <c r="L771" s="18">
        <v>0</v>
      </c>
      <c r="M771" t="str">
        <f t="shared" si="51"/>
        <v/>
      </c>
      <c r="N771" t="str">
        <f>IF(OR($D771="",$S771=""),"",IFERROR(MAX(0,ROUND(($D771-INDEX(Config!$C$15:$C$18,MATCH($S771,Config!$B$15:$B$18,0)))*24*60,0)),""))</f>
        <v/>
      </c>
      <c r="O771" t="str">
        <f t="shared" si="52"/>
        <v/>
      </c>
      <c r="P771" t="str">
        <f t="shared" si="53"/>
        <v/>
      </c>
      <c r="Q771" t="str">
        <f>IF(OR($P771="",$S771=""),"",IFERROR($P771-INDEX(Config!$E$15:$E$18,MATCH($S771,Config!$B$15:$B$18,0)),""))</f>
        <v/>
      </c>
      <c r="R771" t="str">
        <f t="shared" si="54"/>
        <v/>
      </c>
      <c r="S771" s="6" t="str">
        <f>IF(OR($A771="",$C771=""),"",IFERROR(INDEX(Turno!$C$3:$V$32,MATCH($C771,Turno!$B$3:$B$32,0),MATCH(DAY($A771),Turno!$C$1:$V$1,0)),""))</f>
        <v/>
      </c>
      <c r="T771" t="str">
        <f>IF(OR($E771="",$S771=""),"",IFERROR(MAX(0,ROUND((INDEX(Config!$D$15:$D$18,MATCH($S771,Config!$B$15:$B$18,0))-$E771)*1440,0)),""))</f>
        <v/>
      </c>
      <c r="U771" s="13" t="str">
        <f>IF(OR($N771="",$T771=""),"",IFERROR(MAX(0,1-($N771+$T771+MAX(0,N($Q771)))/ROUND((INDEX(Config!$D$15:$D$18,MATCH($S771,Config!$B$15:$B$18,0))-INDEX(Config!$C$15:$C$18,MATCH($S771,Config!$B$15:$B$18,0)))*1440,0)),""))</f>
        <v/>
      </c>
      <c r="V771" s="5"/>
    </row>
    <row r="772" spans="1:22" x14ac:dyDescent="0.25">
      <c r="A772" s="11"/>
      <c r="B772" s="5"/>
      <c r="C772" s="6" t="str">
        <f>IFERROR(INDEX(Ejecutivos!$B$2:$B$100,MATCH(B772,Ejecutivos!$A$2:$A$100,0)),"")</f>
        <v/>
      </c>
      <c r="D772" s="12"/>
      <c r="E772" s="12"/>
      <c r="F772" s="12"/>
      <c r="G772" s="12"/>
      <c r="H772" s="5"/>
      <c r="I772" s="5"/>
      <c r="J772" s="5"/>
      <c r="K772" s="5"/>
      <c r="L772" s="18">
        <v>0</v>
      </c>
      <c r="M772" t="str">
        <f t="shared" si="51"/>
        <v/>
      </c>
      <c r="N772" t="str">
        <f>IF(OR($D772="",$S772=""),"",IFERROR(MAX(0,ROUND(($D772-INDEX(Config!$C$15:$C$18,MATCH($S772,Config!$B$15:$B$18,0)))*24*60,0)),""))</f>
        <v/>
      </c>
      <c r="O772" t="str">
        <f t="shared" si="52"/>
        <v/>
      </c>
      <c r="P772" t="str">
        <f t="shared" si="53"/>
        <v/>
      </c>
      <c r="Q772" t="str">
        <f>IF(OR($P772="",$S772=""),"",IFERROR($P772-INDEX(Config!$E$15:$E$18,MATCH($S772,Config!$B$15:$B$18,0)),""))</f>
        <v/>
      </c>
      <c r="R772" t="str">
        <f t="shared" si="54"/>
        <v/>
      </c>
      <c r="S772" s="6" t="str">
        <f>IF(OR($A772="",$C772=""),"",IFERROR(INDEX(Turno!$C$3:$V$32,MATCH($C772,Turno!$B$3:$B$32,0),MATCH(DAY($A772),Turno!$C$1:$V$1,0)),""))</f>
        <v/>
      </c>
      <c r="T772" t="str">
        <f>IF(OR($E772="",$S772=""),"",IFERROR(MAX(0,ROUND((INDEX(Config!$D$15:$D$18,MATCH($S772,Config!$B$15:$B$18,0))-$E772)*1440,0)),""))</f>
        <v/>
      </c>
      <c r="U772" s="13" t="str">
        <f>IF(OR($N772="",$T772=""),"",IFERROR(MAX(0,1-($N772+$T772+MAX(0,N($Q772)))/ROUND((INDEX(Config!$D$15:$D$18,MATCH($S772,Config!$B$15:$B$18,0))-INDEX(Config!$C$15:$C$18,MATCH($S772,Config!$B$15:$B$18,0)))*1440,0)),""))</f>
        <v/>
      </c>
      <c r="V772" s="5"/>
    </row>
    <row r="773" spans="1:22" x14ac:dyDescent="0.25">
      <c r="A773" s="11"/>
      <c r="B773" s="5"/>
      <c r="C773" s="6" t="str">
        <f>IFERROR(INDEX(Ejecutivos!$B$2:$B$100,MATCH(B773,Ejecutivos!$A$2:$A$100,0)),"")</f>
        <v/>
      </c>
      <c r="D773" s="12"/>
      <c r="E773" s="12"/>
      <c r="F773" s="12"/>
      <c r="G773" s="12"/>
      <c r="H773" s="5"/>
      <c r="I773" s="5"/>
      <c r="J773" s="5"/>
      <c r="K773" s="5"/>
      <c r="L773" s="18">
        <v>0</v>
      </c>
      <c r="M773" t="str">
        <f t="shared" si="51"/>
        <v/>
      </c>
      <c r="N773" t="str">
        <f>IF(OR($D773="",$S773=""),"",IFERROR(MAX(0,ROUND(($D773-INDEX(Config!$C$15:$C$18,MATCH($S773,Config!$B$15:$B$18,0)))*24*60,0)),""))</f>
        <v/>
      </c>
      <c r="O773" t="str">
        <f t="shared" si="52"/>
        <v/>
      </c>
      <c r="P773" t="str">
        <f t="shared" si="53"/>
        <v/>
      </c>
      <c r="Q773" t="str">
        <f>IF(OR($P773="",$S773=""),"",IFERROR($P773-INDEX(Config!$E$15:$E$18,MATCH($S773,Config!$B$15:$B$18,0)),""))</f>
        <v/>
      </c>
      <c r="R773" t="str">
        <f t="shared" si="54"/>
        <v/>
      </c>
      <c r="S773" s="6" t="str">
        <f>IF(OR($A773="",$C773=""),"",IFERROR(INDEX(Turno!$C$3:$V$32,MATCH($C773,Turno!$B$3:$B$32,0),MATCH(DAY($A773),Turno!$C$1:$V$1,0)),""))</f>
        <v/>
      </c>
      <c r="T773" t="str">
        <f>IF(OR($E773="",$S773=""),"",IFERROR(MAX(0,ROUND((INDEX(Config!$D$15:$D$18,MATCH($S773,Config!$B$15:$B$18,0))-$E773)*1440,0)),""))</f>
        <v/>
      </c>
      <c r="U773" s="13" t="str">
        <f>IF(OR($N773="",$T773=""),"",IFERROR(MAX(0,1-($N773+$T773+MAX(0,N($Q773)))/ROUND((INDEX(Config!$D$15:$D$18,MATCH($S773,Config!$B$15:$B$18,0))-INDEX(Config!$C$15:$C$18,MATCH($S773,Config!$B$15:$B$18,0)))*1440,0)),""))</f>
        <v/>
      </c>
      <c r="V773" s="5"/>
    </row>
    <row r="774" spans="1:22" x14ac:dyDescent="0.25">
      <c r="A774" s="11"/>
      <c r="B774" s="5"/>
      <c r="C774" s="6" t="str">
        <f>IFERROR(INDEX(Ejecutivos!$B$2:$B$100,MATCH(B774,Ejecutivos!$A$2:$A$100,0)),"")</f>
        <v/>
      </c>
      <c r="D774" s="12"/>
      <c r="E774" s="12"/>
      <c r="F774" s="12"/>
      <c r="G774" s="12"/>
      <c r="H774" s="5"/>
      <c r="I774" s="5"/>
      <c r="J774" s="5"/>
      <c r="K774" s="5"/>
      <c r="L774" s="18">
        <v>0</v>
      </c>
      <c r="M774" t="str">
        <f t="shared" si="51"/>
        <v/>
      </c>
      <c r="N774" t="str">
        <f>IF(OR($D774="",$S774=""),"",IFERROR(MAX(0,ROUND(($D774-INDEX(Config!$C$15:$C$18,MATCH($S774,Config!$B$15:$B$18,0)))*24*60,0)),""))</f>
        <v/>
      </c>
      <c r="O774" t="str">
        <f t="shared" si="52"/>
        <v/>
      </c>
      <c r="P774" t="str">
        <f t="shared" si="53"/>
        <v/>
      </c>
      <c r="Q774" t="str">
        <f>IF(OR($P774="",$S774=""),"",IFERROR($P774-INDEX(Config!$E$15:$E$18,MATCH($S774,Config!$B$15:$B$18,0)),""))</f>
        <v/>
      </c>
      <c r="R774" t="str">
        <f t="shared" si="54"/>
        <v/>
      </c>
      <c r="S774" s="6" t="str">
        <f>IF(OR($A774="",$C774=""),"",IFERROR(INDEX(Turno!$C$3:$V$32,MATCH($C774,Turno!$B$3:$B$32,0),MATCH(DAY($A774),Turno!$C$1:$V$1,0)),""))</f>
        <v/>
      </c>
      <c r="T774" t="str">
        <f>IF(OR($E774="",$S774=""),"",IFERROR(MAX(0,ROUND((INDEX(Config!$D$15:$D$18,MATCH($S774,Config!$B$15:$B$18,0))-$E774)*1440,0)),""))</f>
        <v/>
      </c>
      <c r="U774" s="13" t="str">
        <f>IF(OR($N774="",$T774=""),"",IFERROR(MAX(0,1-($N774+$T774+MAX(0,N($Q774)))/ROUND((INDEX(Config!$D$15:$D$18,MATCH($S774,Config!$B$15:$B$18,0))-INDEX(Config!$C$15:$C$18,MATCH($S774,Config!$B$15:$B$18,0)))*1440,0)),""))</f>
        <v/>
      </c>
      <c r="V774" s="5"/>
    </row>
    <row r="775" spans="1:22" x14ac:dyDescent="0.25">
      <c r="A775" s="11"/>
      <c r="B775" s="5"/>
      <c r="C775" s="6" t="str">
        <f>IFERROR(INDEX(Ejecutivos!$B$2:$B$100,MATCH(B775,Ejecutivos!$A$2:$A$100,0)),"")</f>
        <v/>
      </c>
      <c r="D775" s="12"/>
      <c r="E775" s="12"/>
      <c r="F775" s="12"/>
      <c r="G775" s="12"/>
      <c r="H775" s="5"/>
      <c r="I775" s="5"/>
      <c r="J775" s="5"/>
      <c r="K775" s="5"/>
      <c r="L775" s="18">
        <v>0</v>
      </c>
      <c r="M775" t="str">
        <f t="shared" si="51"/>
        <v/>
      </c>
      <c r="N775" t="str">
        <f>IF(OR($D775="",$S775=""),"",IFERROR(MAX(0,ROUND(($D775-INDEX(Config!$C$15:$C$18,MATCH($S775,Config!$B$15:$B$18,0)))*24*60,0)),""))</f>
        <v/>
      </c>
      <c r="O775" t="str">
        <f t="shared" si="52"/>
        <v/>
      </c>
      <c r="P775" t="str">
        <f t="shared" si="53"/>
        <v/>
      </c>
      <c r="Q775" t="str">
        <f>IF(OR($P775="",$S775=""),"",IFERROR($P775-INDEX(Config!$E$15:$E$18,MATCH($S775,Config!$B$15:$B$18,0)),""))</f>
        <v/>
      </c>
      <c r="R775" t="str">
        <f t="shared" si="54"/>
        <v/>
      </c>
      <c r="S775" s="6" t="str">
        <f>IF(OR($A775="",$C775=""),"",IFERROR(INDEX(Turno!$C$3:$V$32,MATCH($C775,Turno!$B$3:$B$32,0),MATCH(DAY($A775),Turno!$C$1:$V$1,0)),""))</f>
        <v/>
      </c>
      <c r="T775" t="str">
        <f>IF(OR($E775="",$S775=""),"",IFERROR(MAX(0,ROUND((INDEX(Config!$D$15:$D$18,MATCH($S775,Config!$B$15:$B$18,0))-$E775)*1440,0)),""))</f>
        <v/>
      </c>
      <c r="U775" s="13" t="str">
        <f>IF(OR($N775="",$T775=""),"",IFERROR(MAX(0,1-($N775+$T775+MAX(0,N($Q775)))/ROUND((INDEX(Config!$D$15:$D$18,MATCH($S775,Config!$B$15:$B$18,0))-INDEX(Config!$C$15:$C$18,MATCH($S775,Config!$B$15:$B$18,0)))*1440,0)),""))</f>
        <v/>
      </c>
      <c r="V775" s="5"/>
    </row>
    <row r="776" spans="1:22" x14ac:dyDescent="0.25">
      <c r="A776" s="11"/>
      <c r="B776" s="5"/>
      <c r="C776" s="6" t="str">
        <f>IFERROR(INDEX(Ejecutivos!$B$2:$B$100,MATCH(B776,Ejecutivos!$A$2:$A$100,0)),"")</f>
        <v/>
      </c>
      <c r="D776" s="12"/>
      <c r="E776" s="12"/>
      <c r="F776" s="12"/>
      <c r="G776" s="12"/>
      <c r="H776" s="5"/>
      <c r="I776" s="5"/>
      <c r="J776" s="5"/>
      <c r="K776" s="5"/>
      <c r="L776" s="18">
        <v>0</v>
      </c>
      <c r="M776" t="str">
        <f t="shared" si="51"/>
        <v/>
      </c>
      <c r="N776" t="str">
        <f>IF(OR($D776="",$S776=""),"",IFERROR(MAX(0,ROUND(($D776-INDEX(Config!$C$15:$C$18,MATCH($S776,Config!$B$15:$B$18,0)))*24*60,0)),""))</f>
        <v/>
      </c>
      <c r="O776" t="str">
        <f t="shared" si="52"/>
        <v/>
      </c>
      <c r="P776" t="str">
        <f t="shared" si="53"/>
        <v/>
      </c>
      <c r="Q776" t="str">
        <f>IF(OR($P776="",$S776=""),"",IFERROR($P776-INDEX(Config!$E$15:$E$18,MATCH($S776,Config!$B$15:$B$18,0)),""))</f>
        <v/>
      </c>
      <c r="R776" t="str">
        <f t="shared" si="54"/>
        <v/>
      </c>
      <c r="S776" s="6" t="str">
        <f>IF(OR($A776="",$C776=""),"",IFERROR(INDEX(Turno!$C$3:$V$32,MATCH($C776,Turno!$B$3:$B$32,0),MATCH(DAY($A776),Turno!$C$1:$V$1,0)),""))</f>
        <v/>
      </c>
      <c r="T776" t="str">
        <f>IF(OR($E776="",$S776=""),"",IFERROR(MAX(0,ROUND((INDEX(Config!$D$15:$D$18,MATCH($S776,Config!$B$15:$B$18,0))-$E776)*1440,0)),""))</f>
        <v/>
      </c>
      <c r="U776" s="13" t="str">
        <f>IF(OR($N776="",$T776=""),"",IFERROR(MAX(0,1-($N776+$T776+MAX(0,N($Q776)))/ROUND((INDEX(Config!$D$15:$D$18,MATCH($S776,Config!$B$15:$B$18,0))-INDEX(Config!$C$15:$C$18,MATCH($S776,Config!$B$15:$B$18,0)))*1440,0)),""))</f>
        <v/>
      </c>
      <c r="V776" s="5"/>
    </row>
    <row r="777" spans="1:22" x14ac:dyDescent="0.25">
      <c r="A777" s="11"/>
      <c r="B777" s="5"/>
      <c r="C777" s="6" t="str">
        <f>IFERROR(INDEX(Ejecutivos!$B$2:$B$100,MATCH(B777,Ejecutivos!$A$2:$A$100,0)),"")</f>
        <v/>
      </c>
      <c r="D777" s="12"/>
      <c r="E777" s="12"/>
      <c r="F777" s="12"/>
      <c r="G777" s="12"/>
      <c r="H777" s="5"/>
      <c r="I777" s="5"/>
      <c r="J777" s="5"/>
      <c r="K777" s="5"/>
      <c r="L777" s="18">
        <v>0</v>
      </c>
      <c r="M777" t="str">
        <f t="shared" si="51"/>
        <v/>
      </c>
      <c r="N777" t="str">
        <f>IF(OR($D777="",$S777=""),"",IFERROR(MAX(0,ROUND(($D777-INDEX(Config!$C$15:$C$18,MATCH($S777,Config!$B$15:$B$18,0)))*24*60,0)),""))</f>
        <v/>
      </c>
      <c r="O777" t="str">
        <f t="shared" si="52"/>
        <v/>
      </c>
      <c r="P777" t="str">
        <f t="shared" si="53"/>
        <v/>
      </c>
      <c r="Q777" t="str">
        <f>IF(OR($P777="",$S777=""),"",IFERROR($P777-INDEX(Config!$E$15:$E$18,MATCH($S777,Config!$B$15:$B$18,0)),""))</f>
        <v/>
      </c>
      <c r="R777" t="str">
        <f t="shared" si="54"/>
        <v/>
      </c>
      <c r="S777" s="6" t="str">
        <f>IF(OR($A777="",$C777=""),"",IFERROR(INDEX(Turno!$C$3:$V$32,MATCH($C777,Turno!$B$3:$B$32,0),MATCH(DAY($A777),Turno!$C$1:$V$1,0)),""))</f>
        <v/>
      </c>
      <c r="T777" t="str">
        <f>IF(OR($E777="",$S777=""),"",IFERROR(MAX(0,ROUND((INDEX(Config!$D$15:$D$18,MATCH($S777,Config!$B$15:$B$18,0))-$E777)*1440,0)),""))</f>
        <v/>
      </c>
      <c r="U777" s="13" t="str">
        <f>IF(OR($N777="",$T777=""),"",IFERROR(MAX(0,1-($N777+$T777+MAX(0,N($Q777)))/ROUND((INDEX(Config!$D$15:$D$18,MATCH($S777,Config!$B$15:$B$18,0))-INDEX(Config!$C$15:$C$18,MATCH($S777,Config!$B$15:$B$18,0)))*1440,0)),""))</f>
        <v/>
      </c>
      <c r="V777" s="5"/>
    </row>
    <row r="778" spans="1:22" x14ac:dyDescent="0.25">
      <c r="A778" s="11"/>
      <c r="B778" s="5"/>
      <c r="C778" s="6" t="str">
        <f>IFERROR(INDEX(Ejecutivos!$B$2:$B$100,MATCH(B778,Ejecutivos!$A$2:$A$100,0)),"")</f>
        <v/>
      </c>
      <c r="D778" s="12"/>
      <c r="E778" s="12"/>
      <c r="F778" s="12"/>
      <c r="G778" s="12"/>
      <c r="H778" s="5"/>
      <c r="I778" s="5"/>
      <c r="J778" s="5"/>
      <c r="K778" s="5"/>
      <c r="L778" s="18">
        <v>0</v>
      </c>
      <c r="M778" t="str">
        <f t="shared" si="51"/>
        <v/>
      </c>
      <c r="N778" t="str">
        <f>IF(OR($D778="",$S778=""),"",IFERROR(MAX(0,ROUND(($D778-INDEX(Config!$C$15:$C$18,MATCH($S778,Config!$B$15:$B$18,0)))*24*60,0)),""))</f>
        <v/>
      </c>
      <c r="O778" t="str">
        <f t="shared" si="52"/>
        <v/>
      </c>
      <c r="P778" t="str">
        <f t="shared" si="53"/>
        <v/>
      </c>
      <c r="Q778" t="str">
        <f>IF(OR($P778="",$S778=""),"",IFERROR($P778-INDEX(Config!$E$15:$E$18,MATCH($S778,Config!$B$15:$B$18,0)),""))</f>
        <v/>
      </c>
      <c r="R778" t="str">
        <f t="shared" si="54"/>
        <v/>
      </c>
      <c r="S778" s="6" t="str">
        <f>IF(OR($A778="",$C778=""),"",IFERROR(INDEX(Turno!$C$3:$V$32,MATCH($C778,Turno!$B$3:$B$32,0),MATCH(DAY($A778),Turno!$C$1:$V$1,0)),""))</f>
        <v/>
      </c>
      <c r="T778" t="str">
        <f>IF(OR($E778="",$S778=""),"",IFERROR(MAX(0,ROUND((INDEX(Config!$D$15:$D$18,MATCH($S778,Config!$B$15:$B$18,0))-$E778)*1440,0)),""))</f>
        <v/>
      </c>
      <c r="U778" s="13" t="str">
        <f>IF(OR($N778="",$T778=""),"",IFERROR(MAX(0,1-($N778+$T778+MAX(0,N($Q778)))/ROUND((INDEX(Config!$D$15:$D$18,MATCH($S778,Config!$B$15:$B$18,0))-INDEX(Config!$C$15:$C$18,MATCH($S778,Config!$B$15:$B$18,0)))*1440,0)),""))</f>
        <v/>
      </c>
      <c r="V778" s="5"/>
    </row>
    <row r="779" spans="1:22" x14ac:dyDescent="0.25">
      <c r="A779" s="11"/>
      <c r="B779" s="5"/>
      <c r="C779" s="6" t="str">
        <f>IFERROR(INDEX(Ejecutivos!$B$2:$B$100,MATCH(B779,Ejecutivos!$A$2:$A$100,0)),"")</f>
        <v/>
      </c>
      <c r="D779" s="12"/>
      <c r="E779" s="12"/>
      <c r="F779" s="12"/>
      <c r="G779" s="12"/>
      <c r="H779" s="5"/>
      <c r="I779" s="5"/>
      <c r="J779" s="5"/>
      <c r="K779" s="5"/>
      <c r="L779" s="18">
        <v>0</v>
      </c>
      <c r="M779" t="str">
        <f t="shared" si="51"/>
        <v/>
      </c>
      <c r="N779" t="str">
        <f>IF(OR($D779="",$S779=""),"",IFERROR(MAX(0,ROUND(($D779-INDEX(Config!$C$15:$C$18,MATCH($S779,Config!$B$15:$B$18,0)))*24*60,0)),""))</f>
        <v/>
      </c>
      <c r="O779" t="str">
        <f t="shared" si="52"/>
        <v/>
      </c>
      <c r="P779" t="str">
        <f t="shared" si="53"/>
        <v/>
      </c>
      <c r="Q779" t="str">
        <f>IF(OR($P779="",$S779=""),"",IFERROR($P779-INDEX(Config!$E$15:$E$18,MATCH($S779,Config!$B$15:$B$18,0)),""))</f>
        <v/>
      </c>
      <c r="R779" t="str">
        <f t="shared" si="54"/>
        <v/>
      </c>
      <c r="S779" s="6" t="str">
        <f>IF(OR($A779="",$C779=""),"",IFERROR(INDEX(Turno!$C$3:$V$32,MATCH($C779,Turno!$B$3:$B$32,0),MATCH(DAY($A779),Turno!$C$1:$V$1,0)),""))</f>
        <v/>
      </c>
      <c r="T779" t="str">
        <f>IF(OR($E779="",$S779=""),"",IFERROR(MAX(0,ROUND((INDEX(Config!$D$15:$D$18,MATCH($S779,Config!$B$15:$B$18,0))-$E779)*1440,0)),""))</f>
        <v/>
      </c>
      <c r="U779" s="13" t="str">
        <f>IF(OR($N779="",$T779=""),"",IFERROR(MAX(0,1-($N779+$T779+MAX(0,N($Q779)))/ROUND((INDEX(Config!$D$15:$D$18,MATCH($S779,Config!$B$15:$B$18,0))-INDEX(Config!$C$15:$C$18,MATCH($S779,Config!$B$15:$B$18,0)))*1440,0)),""))</f>
        <v/>
      </c>
      <c r="V779" s="5"/>
    </row>
    <row r="780" spans="1:22" x14ac:dyDescent="0.25">
      <c r="A780" s="11"/>
      <c r="B780" s="5"/>
      <c r="C780" s="6" t="str">
        <f>IFERROR(INDEX(Ejecutivos!$B$2:$B$100,MATCH(B780,Ejecutivos!$A$2:$A$100,0)),"")</f>
        <v/>
      </c>
      <c r="D780" s="12"/>
      <c r="E780" s="12"/>
      <c r="F780" s="12"/>
      <c r="G780" s="12"/>
      <c r="H780" s="5"/>
      <c r="I780" s="5"/>
      <c r="J780" s="5"/>
      <c r="K780" s="5"/>
      <c r="L780" s="18">
        <v>0</v>
      </c>
      <c r="M780" t="str">
        <f t="shared" si="51"/>
        <v/>
      </c>
      <c r="N780" t="str">
        <f>IF(OR($D780="",$S780=""),"",IFERROR(MAX(0,ROUND(($D780-INDEX(Config!$C$15:$C$18,MATCH($S780,Config!$B$15:$B$18,0)))*24*60,0)),""))</f>
        <v/>
      </c>
      <c r="O780" t="str">
        <f t="shared" si="52"/>
        <v/>
      </c>
      <c r="P780" t="str">
        <f t="shared" si="53"/>
        <v/>
      </c>
      <c r="Q780" t="str">
        <f>IF(OR($P780="",$S780=""),"",IFERROR($P780-INDEX(Config!$E$15:$E$18,MATCH($S780,Config!$B$15:$B$18,0)),""))</f>
        <v/>
      </c>
      <c r="R780" t="str">
        <f t="shared" si="54"/>
        <v/>
      </c>
      <c r="S780" s="6" t="str">
        <f>IF(OR($A780="",$C780=""),"",IFERROR(INDEX(Turno!$C$3:$V$32,MATCH($C780,Turno!$B$3:$B$32,0),MATCH(DAY($A780),Turno!$C$1:$V$1,0)),""))</f>
        <v/>
      </c>
      <c r="T780" t="str">
        <f>IF(OR($E780="",$S780=""),"",IFERROR(MAX(0,ROUND((INDEX(Config!$D$15:$D$18,MATCH($S780,Config!$B$15:$B$18,0))-$E780)*1440,0)),""))</f>
        <v/>
      </c>
      <c r="U780" s="13" t="str">
        <f>IF(OR($N780="",$T780=""),"",IFERROR(MAX(0,1-($N780+$T780+MAX(0,N($Q780)))/ROUND((INDEX(Config!$D$15:$D$18,MATCH($S780,Config!$B$15:$B$18,0))-INDEX(Config!$C$15:$C$18,MATCH($S780,Config!$B$15:$B$18,0)))*1440,0)),""))</f>
        <v/>
      </c>
      <c r="V780" s="5"/>
    </row>
    <row r="781" spans="1:22" x14ac:dyDescent="0.25">
      <c r="A781" s="11"/>
      <c r="B781" s="5"/>
      <c r="C781" s="6" t="str">
        <f>IFERROR(INDEX(Ejecutivos!$B$2:$B$100,MATCH(B781,Ejecutivos!$A$2:$A$100,0)),"")</f>
        <v/>
      </c>
      <c r="D781" s="12"/>
      <c r="E781" s="12"/>
      <c r="F781" s="12"/>
      <c r="G781" s="12"/>
      <c r="H781" s="5"/>
      <c r="I781" s="5"/>
      <c r="J781" s="5"/>
      <c r="K781" s="5"/>
      <c r="L781" s="18">
        <v>0</v>
      </c>
      <c r="M781" t="str">
        <f t="shared" si="51"/>
        <v/>
      </c>
      <c r="N781" t="str">
        <f>IF(OR($D781="",$S781=""),"",IFERROR(MAX(0,ROUND(($D781-INDEX(Config!$C$15:$C$18,MATCH($S781,Config!$B$15:$B$18,0)))*24*60,0)),""))</f>
        <v/>
      </c>
      <c r="O781" t="str">
        <f t="shared" si="52"/>
        <v/>
      </c>
      <c r="P781" t="str">
        <f t="shared" si="53"/>
        <v/>
      </c>
      <c r="Q781" t="str">
        <f>IF(OR($P781="",$S781=""),"",IFERROR($P781-INDEX(Config!$E$15:$E$18,MATCH($S781,Config!$B$15:$B$18,0)),""))</f>
        <v/>
      </c>
      <c r="R781" t="str">
        <f t="shared" si="54"/>
        <v/>
      </c>
      <c r="S781" s="6" t="str">
        <f>IF(OR($A781="",$C781=""),"",IFERROR(INDEX(Turno!$C$3:$V$32,MATCH($C781,Turno!$B$3:$B$32,0),MATCH(DAY($A781),Turno!$C$1:$V$1,0)),""))</f>
        <v/>
      </c>
      <c r="T781" t="str">
        <f>IF(OR($E781="",$S781=""),"",IFERROR(MAX(0,ROUND((INDEX(Config!$D$15:$D$18,MATCH($S781,Config!$B$15:$B$18,0))-$E781)*1440,0)),""))</f>
        <v/>
      </c>
      <c r="U781" s="13" t="str">
        <f>IF(OR($N781="",$T781=""),"",IFERROR(MAX(0,1-($N781+$T781+MAX(0,N($Q781)))/ROUND((INDEX(Config!$D$15:$D$18,MATCH($S781,Config!$B$15:$B$18,0))-INDEX(Config!$C$15:$C$18,MATCH($S781,Config!$B$15:$B$18,0)))*1440,0)),""))</f>
        <v/>
      </c>
      <c r="V781" s="5"/>
    </row>
    <row r="782" spans="1:22" x14ac:dyDescent="0.25">
      <c r="A782" s="11"/>
      <c r="B782" s="5"/>
      <c r="C782" s="6" t="str">
        <f>IFERROR(INDEX(Ejecutivos!$B$2:$B$100,MATCH(B782,Ejecutivos!$A$2:$A$100,0)),"")</f>
        <v/>
      </c>
      <c r="D782" s="12"/>
      <c r="E782" s="12"/>
      <c r="F782" s="12"/>
      <c r="G782" s="12"/>
      <c r="H782" s="5"/>
      <c r="I782" s="5"/>
      <c r="J782" s="5"/>
      <c r="K782" s="5"/>
      <c r="L782" s="18">
        <v>0</v>
      </c>
      <c r="M782" t="str">
        <f t="shared" si="51"/>
        <v/>
      </c>
      <c r="N782" t="str">
        <f>IF(OR($D782="",$S782=""),"",IFERROR(MAX(0,ROUND(($D782-INDEX(Config!$C$15:$C$18,MATCH($S782,Config!$B$15:$B$18,0)))*24*60,0)),""))</f>
        <v/>
      </c>
      <c r="O782" t="str">
        <f t="shared" si="52"/>
        <v/>
      </c>
      <c r="P782" t="str">
        <f t="shared" si="53"/>
        <v/>
      </c>
      <c r="Q782" t="str">
        <f>IF(OR($P782="",$S782=""),"",IFERROR($P782-INDEX(Config!$E$15:$E$18,MATCH($S782,Config!$B$15:$B$18,0)),""))</f>
        <v/>
      </c>
      <c r="R782" t="str">
        <f t="shared" si="54"/>
        <v/>
      </c>
      <c r="S782" s="6" t="str">
        <f>IF(OR($A782="",$C782=""),"",IFERROR(INDEX(Turno!$C$3:$V$32,MATCH($C782,Turno!$B$3:$B$32,0),MATCH(DAY($A782),Turno!$C$1:$V$1,0)),""))</f>
        <v/>
      </c>
      <c r="T782" t="str">
        <f>IF(OR($E782="",$S782=""),"",IFERROR(MAX(0,ROUND((INDEX(Config!$D$15:$D$18,MATCH($S782,Config!$B$15:$B$18,0))-$E782)*1440,0)),""))</f>
        <v/>
      </c>
      <c r="U782" s="13" t="str">
        <f>IF(OR($N782="",$T782=""),"",IFERROR(MAX(0,1-($N782+$T782+MAX(0,N($Q782)))/ROUND((INDEX(Config!$D$15:$D$18,MATCH($S782,Config!$B$15:$B$18,0))-INDEX(Config!$C$15:$C$18,MATCH($S782,Config!$B$15:$B$18,0)))*1440,0)),""))</f>
        <v/>
      </c>
      <c r="V782" s="5"/>
    </row>
    <row r="783" spans="1:22" x14ac:dyDescent="0.25">
      <c r="A783" s="11"/>
      <c r="B783" s="5"/>
      <c r="C783" s="6" t="str">
        <f>IFERROR(INDEX(Ejecutivos!$B$2:$B$100,MATCH(B783,Ejecutivos!$A$2:$A$100,0)),"")</f>
        <v/>
      </c>
      <c r="D783" s="12"/>
      <c r="E783" s="12"/>
      <c r="F783" s="12"/>
      <c r="G783" s="12"/>
      <c r="H783" s="5"/>
      <c r="I783" s="5"/>
      <c r="J783" s="5"/>
      <c r="K783" s="5"/>
      <c r="L783" s="18">
        <v>0</v>
      </c>
      <c r="M783" t="str">
        <f t="shared" si="51"/>
        <v/>
      </c>
      <c r="N783" t="str">
        <f>IF(OR($D783="",$S783=""),"",IFERROR(MAX(0,ROUND(($D783-INDEX(Config!$C$15:$C$18,MATCH($S783,Config!$B$15:$B$18,0)))*24*60,0)),""))</f>
        <v/>
      </c>
      <c r="O783" t="str">
        <f t="shared" si="52"/>
        <v/>
      </c>
      <c r="P783" t="str">
        <f t="shared" si="53"/>
        <v/>
      </c>
      <c r="Q783" t="str">
        <f>IF(OR($P783="",$S783=""),"",IFERROR($P783-INDEX(Config!$E$15:$E$18,MATCH($S783,Config!$B$15:$B$18,0)),""))</f>
        <v/>
      </c>
      <c r="R783" t="str">
        <f t="shared" si="54"/>
        <v/>
      </c>
      <c r="S783" s="6" t="str">
        <f>IF(OR($A783="",$C783=""),"",IFERROR(INDEX(Turno!$C$3:$V$32,MATCH($C783,Turno!$B$3:$B$32,0),MATCH(DAY($A783),Turno!$C$1:$V$1,0)),""))</f>
        <v/>
      </c>
      <c r="T783" t="str">
        <f>IF(OR($E783="",$S783=""),"",IFERROR(MAX(0,ROUND((INDEX(Config!$D$15:$D$18,MATCH($S783,Config!$B$15:$B$18,0))-$E783)*1440,0)),""))</f>
        <v/>
      </c>
      <c r="U783" s="13" t="str">
        <f>IF(OR($N783="",$T783=""),"",IFERROR(MAX(0,1-($N783+$T783+MAX(0,N($Q783)))/ROUND((INDEX(Config!$D$15:$D$18,MATCH($S783,Config!$B$15:$B$18,0))-INDEX(Config!$C$15:$C$18,MATCH($S783,Config!$B$15:$B$18,0)))*1440,0)),""))</f>
        <v/>
      </c>
      <c r="V783" s="5"/>
    </row>
    <row r="784" spans="1:22" x14ac:dyDescent="0.25">
      <c r="A784" s="11"/>
      <c r="B784" s="5"/>
      <c r="C784" s="6" t="str">
        <f>IFERROR(INDEX(Ejecutivos!$B$2:$B$100,MATCH(B784,Ejecutivos!$A$2:$A$100,0)),"")</f>
        <v/>
      </c>
      <c r="D784" s="12"/>
      <c r="E784" s="12"/>
      <c r="F784" s="12"/>
      <c r="G784" s="12"/>
      <c r="H784" s="5"/>
      <c r="I784" s="5"/>
      <c r="J784" s="5"/>
      <c r="K784" s="5"/>
      <c r="L784" s="18">
        <v>0</v>
      </c>
      <c r="M784" t="str">
        <f t="shared" si="51"/>
        <v/>
      </c>
      <c r="N784" t="str">
        <f>IF(OR($D784="",$S784=""),"",IFERROR(MAX(0,ROUND(($D784-INDEX(Config!$C$15:$C$18,MATCH($S784,Config!$B$15:$B$18,0)))*24*60,0)),""))</f>
        <v/>
      </c>
      <c r="O784" t="str">
        <f t="shared" si="52"/>
        <v/>
      </c>
      <c r="P784" t="str">
        <f t="shared" si="53"/>
        <v/>
      </c>
      <c r="Q784" t="str">
        <f>IF(OR($P784="",$S784=""),"",IFERROR($P784-INDEX(Config!$E$15:$E$18,MATCH($S784,Config!$B$15:$B$18,0)),""))</f>
        <v/>
      </c>
      <c r="R784" t="str">
        <f t="shared" si="54"/>
        <v/>
      </c>
      <c r="S784" s="6" t="str">
        <f>IF(OR($A784="",$C784=""),"",IFERROR(INDEX(Turno!$C$3:$V$32,MATCH($C784,Turno!$B$3:$B$32,0),MATCH(DAY($A784),Turno!$C$1:$V$1,0)),""))</f>
        <v/>
      </c>
      <c r="T784" t="str">
        <f>IF(OR($E784="",$S784=""),"",IFERROR(MAX(0,ROUND((INDEX(Config!$D$15:$D$18,MATCH($S784,Config!$B$15:$B$18,0))-$E784)*1440,0)),""))</f>
        <v/>
      </c>
      <c r="U784" s="13" t="str">
        <f>IF(OR($N784="",$T784=""),"",IFERROR(MAX(0,1-($N784+$T784+MAX(0,N($Q784)))/ROUND((INDEX(Config!$D$15:$D$18,MATCH($S784,Config!$B$15:$B$18,0))-INDEX(Config!$C$15:$C$18,MATCH($S784,Config!$B$15:$B$18,0)))*1440,0)),""))</f>
        <v/>
      </c>
      <c r="V784" s="5"/>
    </row>
    <row r="785" spans="1:22" x14ac:dyDescent="0.25">
      <c r="A785" s="11"/>
      <c r="B785" s="5"/>
      <c r="C785" s="6" t="str">
        <f>IFERROR(INDEX(Ejecutivos!$B$2:$B$100,MATCH(B785,Ejecutivos!$A$2:$A$100,0)),"")</f>
        <v/>
      </c>
      <c r="D785" s="12"/>
      <c r="E785" s="12"/>
      <c r="F785" s="12"/>
      <c r="G785" s="12"/>
      <c r="H785" s="5"/>
      <c r="I785" s="5"/>
      <c r="J785" s="5"/>
      <c r="K785" s="5"/>
      <c r="L785" s="18">
        <v>0</v>
      </c>
      <c r="M785" t="str">
        <f t="shared" si="51"/>
        <v/>
      </c>
      <c r="N785" t="str">
        <f>IF(OR($D785="",$S785=""),"",IFERROR(MAX(0,ROUND(($D785-INDEX(Config!$C$15:$C$18,MATCH($S785,Config!$B$15:$B$18,0)))*24*60,0)),""))</f>
        <v/>
      </c>
      <c r="O785" t="str">
        <f t="shared" si="52"/>
        <v/>
      </c>
      <c r="P785" t="str">
        <f t="shared" si="53"/>
        <v/>
      </c>
      <c r="Q785" t="str">
        <f>IF(OR($P785="",$S785=""),"",IFERROR($P785-INDEX(Config!$E$15:$E$18,MATCH($S785,Config!$B$15:$B$18,0)),""))</f>
        <v/>
      </c>
      <c r="R785" t="str">
        <f t="shared" si="54"/>
        <v/>
      </c>
      <c r="S785" s="6" t="str">
        <f>IF(OR($A785="",$C785=""),"",IFERROR(INDEX(Turno!$C$3:$V$32,MATCH($C785,Turno!$B$3:$B$32,0),MATCH(DAY($A785),Turno!$C$1:$V$1,0)),""))</f>
        <v/>
      </c>
      <c r="T785" t="str">
        <f>IF(OR($E785="",$S785=""),"",IFERROR(MAX(0,ROUND((INDEX(Config!$D$15:$D$18,MATCH($S785,Config!$B$15:$B$18,0))-$E785)*1440,0)),""))</f>
        <v/>
      </c>
      <c r="U785" s="13" t="str">
        <f>IF(OR($N785="",$T785=""),"",IFERROR(MAX(0,1-($N785+$T785+MAX(0,N($Q785)))/ROUND((INDEX(Config!$D$15:$D$18,MATCH($S785,Config!$B$15:$B$18,0))-INDEX(Config!$C$15:$C$18,MATCH($S785,Config!$B$15:$B$18,0)))*1440,0)),""))</f>
        <v/>
      </c>
      <c r="V785" s="5"/>
    </row>
    <row r="786" spans="1:22" x14ac:dyDescent="0.25">
      <c r="A786" s="11"/>
      <c r="B786" s="5"/>
      <c r="C786" s="6" t="str">
        <f>IFERROR(INDEX(Ejecutivos!$B$2:$B$100,MATCH(B786,Ejecutivos!$A$2:$A$100,0)),"")</f>
        <v/>
      </c>
      <c r="D786" s="12"/>
      <c r="E786" s="12"/>
      <c r="F786" s="12"/>
      <c r="G786" s="12"/>
      <c r="H786" s="5"/>
      <c r="I786" s="5"/>
      <c r="J786" s="5"/>
      <c r="K786" s="5"/>
      <c r="L786" s="18">
        <v>0</v>
      </c>
      <c r="M786" t="str">
        <f t="shared" si="51"/>
        <v/>
      </c>
      <c r="N786" t="str">
        <f>IF(OR($D786="",$S786=""),"",IFERROR(MAX(0,ROUND(($D786-INDEX(Config!$C$15:$C$18,MATCH($S786,Config!$B$15:$B$18,0)))*24*60,0)),""))</f>
        <v/>
      </c>
      <c r="O786" t="str">
        <f t="shared" si="52"/>
        <v/>
      </c>
      <c r="P786" t="str">
        <f t="shared" si="53"/>
        <v/>
      </c>
      <c r="Q786" t="str">
        <f>IF(OR($P786="",$S786=""),"",IFERROR($P786-INDEX(Config!$E$15:$E$18,MATCH($S786,Config!$B$15:$B$18,0)),""))</f>
        <v/>
      </c>
      <c r="R786" t="str">
        <f t="shared" si="54"/>
        <v/>
      </c>
      <c r="S786" s="6" t="str">
        <f>IF(OR($A786="",$C786=""),"",IFERROR(INDEX(Turno!$C$3:$V$32,MATCH($C786,Turno!$B$3:$B$32,0),MATCH(DAY($A786),Turno!$C$1:$V$1,0)),""))</f>
        <v/>
      </c>
      <c r="T786" t="str">
        <f>IF(OR($E786="",$S786=""),"",IFERROR(MAX(0,ROUND((INDEX(Config!$D$15:$D$18,MATCH($S786,Config!$B$15:$B$18,0))-$E786)*1440,0)),""))</f>
        <v/>
      </c>
      <c r="U786" s="13" t="str">
        <f>IF(OR($N786="",$T786=""),"",IFERROR(MAX(0,1-($N786+$T786+MAX(0,N($Q786)))/ROUND((INDEX(Config!$D$15:$D$18,MATCH($S786,Config!$B$15:$B$18,0))-INDEX(Config!$C$15:$C$18,MATCH($S786,Config!$B$15:$B$18,0)))*1440,0)),""))</f>
        <v/>
      </c>
      <c r="V786" s="5"/>
    </row>
    <row r="787" spans="1:22" x14ac:dyDescent="0.25">
      <c r="A787" s="11"/>
      <c r="B787" s="5"/>
      <c r="C787" s="6" t="str">
        <f>IFERROR(INDEX(Ejecutivos!$B$2:$B$100,MATCH(B787,Ejecutivos!$A$2:$A$100,0)),"")</f>
        <v/>
      </c>
      <c r="D787" s="12"/>
      <c r="E787" s="12"/>
      <c r="F787" s="12"/>
      <c r="G787" s="12"/>
      <c r="H787" s="5"/>
      <c r="I787" s="5"/>
      <c r="J787" s="5"/>
      <c r="K787" s="5"/>
      <c r="L787" s="18">
        <v>0</v>
      </c>
      <c r="M787" t="str">
        <f t="shared" si="51"/>
        <v/>
      </c>
      <c r="N787" t="str">
        <f>IF(OR($D787="",$S787=""),"",IFERROR(MAX(0,ROUND(($D787-INDEX(Config!$C$15:$C$18,MATCH($S787,Config!$B$15:$B$18,0)))*24*60,0)),""))</f>
        <v/>
      </c>
      <c r="O787" t="str">
        <f t="shared" si="52"/>
        <v/>
      </c>
      <c r="P787" t="str">
        <f t="shared" si="53"/>
        <v/>
      </c>
      <c r="Q787" t="str">
        <f>IF(OR($P787="",$S787=""),"",IFERROR($P787-INDEX(Config!$E$15:$E$18,MATCH($S787,Config!$B$15:$B$18,0)),""))</f>
        <v/>
      </c>
      <c r="R787" t="str">
        <f t="shared" si="54"/>
        <v/>
      </c>
      <c r="S787" s="6" t="str">
        <f>IF(OR($A787="",$C787=""),"",IFERROR(INDEX(Turno!$C$3:$V$32,MATCH($C787,Turno!$B$3:$B$32,0),MATCH(DAY($A787),Turno!$C$1:$V$1,0)),""))</f>
        <v/>
      </c>
      <c r="T787" t="str">
        <f>IF(OR($E787="",$S787=""),"",IFERROR(MAX(0,ROUND((INDEX(Config!$D$15:$D$18,MATCH($S787,Config!$B$15:$B$18,0))-$E787)*1440,0)),""))</f>
        <v/>
      </c>
      <c r="U787" s="13" t="str">
        <f>IF(OR($N787="",$T787=""),"",IFERROR(MAX(0,1-($N787+$T787+MAX(0,N($Q787)))/ROUND((INDEX(Config!$D$15:$D$18,MATCH($S787,Config!$B$15:$B$18,0))-INDEX(Config!$C$15:$C$18,MATCH($S787,Config!$B$15:$B$18,0)))*1440,0)),""))</f>
        <v/>
      </c>
      <c r="V787" s="5"/>
    </row>
    <row r="788" spans="1:22" x14ac:dyDescent="0.25">
      <c r="A788" s="11"/>
      <c r="B788" s="5"/>
      <c r="C788" s="6" t="str">
        <f>IFERROR(INDEX(Ejecutivos!$B$2:$B$100,MATCH(B788,Ejecutivos!$A$2:$A$100,0)),"")</f>
        <v/>
      </c>
      <c r="D788" s="12"/>
      <c r="E788" s="12"/>
      <c r="F788" s="12"/>
      <c r="G788" s="12"/>
      <c r="H788" s="5"/>
      <c r="I788" s="5"/>
      <c r="J788" s="5"/>
      <c r="K788" s="5"/>
      <c r="L788" s="18">
        <v>0</v>
      </c>
      <c r="M788" t="str">
        <f t="shared" si="51"/>
        <v/>
      </c>
      <c r="N788" t="str">
        <f>IF(OR($D788="",$S788=""),"",IFERROR(MAX(0,ROUND(($D788-INDEX(Config!$C$15:$C$18,MATCH($S788,Config!$B$15:$B$18,0)))*24*60,0)),""))</f>
        <v/>
      </c>
      <c r="O788" t="str">
        <f t="shared" si="52"/>
        <v/>
      </c>
      <c r="P788" t="str">
        <f t="shared" si="53"/>
        <v/>
      </c>
      <c r="Q788" t="str">
        <f>IF(OR($P788="",$S788=""),"",IFERROR($P788-INDEX(Config!$E$15:$E$18,MATCH($S788,Config!$B$15:$B$18,0)),""))</f>
        <v/>
      </c>
      <c r="R788" t="str">
        <f t="shared" si="54"/>
        <v/>
      </c>
      <c r="S788" s="6" t="str">
        <f>IF(OR($A788="",$C788=""),"",IFERROR(INDEX(Turno!$C$3:$V$32,MATCH($C788,Turno!$B$3:$B$32,0),MATCH(DAY($A788),Turno!$C$1:$V$1,0)),""))</f>
        <v/>
      </c>
      <c r="T788" t="str">
        <f>IF(OR($E788="",$S788=""),"",IFERROR(MAX(0,ROUND((INDEX(Config!$D$15:$D$18,MATCH($S788,Config!$B$15:$B$18,0))-$E788)*1440,0)),""))</f>
        <v/>
      </c>
      <c r="U788" s="13" t="str">
        <f>IF(OR($N788="",$T788=""),"",IFERROR(MAX(0,1-($N788+$T788+MAX(0,N($Q788)))/ROUND((INDEX(Config!$D$15:$D$18,MATCH($S788,Config!$B$15:$B$18,0))-INDEX(Config!$C$15:$C$18,MATCH($S788,Config!$B$15:$B$18,0)))*1440,0)),""))</f>
        <v/>
      </c>
      <c r="V788" s="5"/>
    </row>
    <row r="789" spans="1:22" x14ac:dyDescent="0.25">
      <c r="A789" s="11"/>
      <c r="B789" s="5"/>
      <c r="C789" s="6" t="str">
        <f>IFERROR(INDEX(Ejecutivos!$B$2:$B$100,MATCH(B789,Ejecutivos!$A$2:$A$100,0)),"")</f>
        <v/>
      </c>
      <c r="D789" s="12"/>
      <c r="E789" s="12"/>
      <c r="F789" s="12"/>
      <c r="G789" s="12"/>
      <c r="H789" s="5"/>
      <c r="I789" s="5"/>
      <c r="J789" s="5"/>
      <c r="K789" s="5"/>
      <c r="L789" s="18">
        <v>0</v>
      </c>
      <c r="M789" t="str">
        <f t="shared" si="51"/>
        <v/>
      </c>
      <c r="N789" t="str">
        <f>IF(OR($D789="",$S789=""),"",IFERROR(MAX(0,ROUND(($D789-INDEX(Config!$C$15:$C$18,MATCH($S789,Config!$B$15:$B$18,0)))*24*60,0)),""))</f>
        <v/>
      </c>
      <c r="O789" t="str">
        <f t="shared" si="52"/>
        <v/>
      </c>
      <c r="P789" t="str">
        <f t="shared" si="53"/>
        <v/>
      </c>
      <c r="Q789" t="str">
        <f>IF(OR($P789="",$S789=""),"",IFERROR($P789-INDEX(Config!$E$15:$E$18,MATCH($S789,Config!$B$15:$B$18,0)),""))</f>
        <v/>
      </c>
      <c r="R789" t="str">
        <f t="shared" si="54"/>
        <v/>
      </c>
      <c r="S789" s="6" t="str">
        <f>IF(OR($A789="",$C789=""),"",IFERROR(INDEX(Turno!$C$3:$V$32,MATCH($C789,Turno!$B$3:$B$32,0),MATCH(DAY($A789),Turno!$C$1:$V$1,0)),""))</f>
        <v/>
      </c>
      <c r="T789" t="str">
        <f>IF(OR($E789="",$S789=""),"",IFERROR(MAX(0,ROUND((INDEX(Config!$D$15:$D$18,MATCH($S789,Config!$B$15:$B$18,0))-$E789)*1440,0)),""))</f>
        <v/>
      </c>
      <c r="U789" s="13" t="str">
        <f>IF(OR($N789="",$T789=""),"",IFERROR(MAX(0,1-($N789+$T789+MAX(0,N($Q789)))/ROUND((INDEX(Config!$D$15:$D$18,MATCH($S789,Config!$B$15:$B$18,0))-INDEX(Config!$C$15:$C$18,MATCH($S789,Config!$B$15:$B$18,0)))*1440,0)),""))</f>
        <v/>
      </c>
      <c r="V789" s="5"/>
    </row>
    <row r="790" spans="1:22" x14ac:dyDescent="0.25">
      <c r="A790" s="11"/>
      <c r="B790" s="5"/>
      <c r="C790" s="6" t="str">
        <f>IFERROR(INDEX(Ejecutivos!$B$2:$B$100,MATCH(B790,Ejecutivos!$A$2:$A$100,0)),"")</f>
        <v/>
      </c>
      <c r="D790" s="12"/>
      <c r="E790" s="12"/>
      <c r="F790" s="12"/>
      <c r="G790" s="12"/>
      <c r="H790" s="5"/>
      <c r="I790" s="5"/>
      <c r="J790" s="5"/>
      <c r="K790" s="5"/>
      <c r="L790" s="18">
        <v>0</v>
      </c>
      <c r="M790" t="str">
        <f t="shared" si="51"/>
        <v/>
      </c>
      <c r="N790" t="str">
        <f>IF(OR($D790="",$S790=""),"",IFERROR(MAX(0,ROUND(($D790-INDEX(Config!$C$15:$C$18,MATCH($S790,Config!$B$15:$B$18,0)))*24*60,0)),""))</f>
        <v/>
      </c>
      <c r="O790" t="str">
        <f t="shared" si="52"/>
        <v/>
      </c>
      <c r="P790" t="str">
        <f t="shared" si="53"/>
        <v/>
      </c>
      <c r="Q790" t="str">
        <f>IF(OR($P790="",$S790=""),"",IFERROR($P790-INDEX(Config!$E$15:$E$18,MATCH($S790,Config!$B$15:$B$18,0)),""))</f>
        <v/>
      </c>
      <c r="R790" t="str">
        <f t="shared" si="54"/>
        <v/>
      </c>
      <c r="S790" s="6" t="str">
        <f>IF(OR($A790="",$C790=""),"",IFERROR(INDEX(Turno!$C$3:$V$32,MATCH($C790,Turno!$B$3:$B$32,0),MATCH(DAY($A790),Turno!$C$1:$V$1,0)),""))</f>
        <v/>
      </c>
      <c r="T790" t="str">
        <f>IF(OR($E790="",$S790=""),"",IFERROR(MAX(0,ROUND((INDEX(Config!$D$15:$D$18,MATCH($S790,Config!$B$15:$B$18,0))-$E790)*1440,0)),""))</f>
        <v/>
      </c>
      <c r="U790" s="13" t="str">
        <f>IF(OR($N790="",$T790=""),"",IFERROR(MAX(0,1-($N790+$T790+MAX(0,N($Q790)))/ROUND((INDEX(Config!$D$15:$D$18,MATCH($S790,Config!$B$15:$B$18,0))-INDEX(Config!$C$15:$C$18,MATCH($S790,Config!$B$15:$B$18,0)))*1440,0)),""))</f>
        <v/>
      </c>
      <c r="V790" s="5"/>
    </row>
    <row r="791" spans="1:22" x14ac:dyDescent="0.25">
      <c r="A791" s="11"/>
      <c r="B791" s="5"/>
      <c r="C791" s="6" t="str">
        <f>IFERROR(INDEX(Ejecutivos!$B$2:$B$100,MATCH(B791,Ejecutivos!$A$2:$A$100,0)),"")</f>
        <v/>
      </c>
      <c r="D791" s="12"/>
      <c r="E791" s="12"/>
      <c r="F791" s="12"/>
      <c r="G791" s="12"/>
      <c r="H791" s="5"/>
      <c r="I791" s="5"/>
      <c r="J791" s="5"/>
      <c r="K791" s="5"/>
      <c r="L791" s="18">
        <v>0</v>
      </c>
      <c r="M791" t="str">
        <f t="shared" si="51"/>
        <v/>
      </c>
      <c r="N791" t="str">
        <f>IF(OR($D791="",$S791=""),"",IFERROR(MAX(0,ROUND(($D791-INDEX(Config!$C$15:$C$18,MATCH($S791,Config!$B$15:$B$18,0)))*24*60,0)),""))</f>
        <v/>
      </c>
      <c r="O791" t="str">
        <f t="shared" si="52"/>
        <v/>
      </c>
      <c r="P791" t="str">
        <f t="shared" si="53"/>
        <v/>
      </c>
      <c r="Q791" t="str">
        <f>IF(OR($P791="",$S791=""),"",IFERROR($P791-INDEX(Config!$E$15:$E$18,MATCH($S791,Config!$B$15:$B$18,0)),""))</f>
        <v/>
      </c>
      <c r="R791" t="str">
        <f t="shared" si="54"/>
        <v/>
      </c>
      <c r="S791" s="6" t="str">
        <f>IF(OR($A791="",$C791=""),"",IFERROR(INDEX(Turno!$C$3:$V$32,MATCH($C791,Turno!$B$3:$B$32,0),MATCH(DAY($A791),Turno!$C$1:$V$1,0)),""))</f>
        <v/>
      </c>
      <c r="T791" t="str">
        <f>IF(OR($E791="",$S791=""),"",IFERROR(MAX(0,ROUND((INDEX(Config!$D$15:$D$18,MATCH($S791,Config!$B$15:$B$18,0))-$E791)*1440,0)),""))</f>
        <v/>
      </c>
      <c r="U791" s="13" t="str">
        <f>IF(OR($N791="",$T791=""),"",IFERROR(MAX(0,1-($N791+$T791+MAX(0,N($Q791)))/ROUND((INDEX(Config!$D$15:$D$18,MATCH($S791,Config!$B$15:$B$18,0))-INDEX(Config!$C$15:$C$18,MATCH($S791,Config!$B$15:$B$18,0)))*1440,0)),""))</f>
        <v/>
      </c>
      <c r="V791" s="5"/>
    </row>
    <row r="792" spans="1:22" x14ac:dyDescent="0.25">
      <c r="A792" s="11"/>
      <c r="B792" s="5"/>
      <c r="C792" s="6" t="str">
        <f>IFERROR(INDEX(Ejecutivos!$B$2:$B$100,MATCH(B792,Ejecutivos!$A$2:$A$100,0)),"")</f>
        <v/>
      </c>
      <c r="D792" s="12"/>
      <c r="E792" s="12"/>
      <c r="F792" s="12"/>
      <c r="G792" s="12"/>
      <c r="H792" s="5"/>
      <c r="I792" s="5"/>
      <c r="J792" s="5"/>
      <c r="K792" s="5"/>
      <c r="L792" s="18">
        <v>0</v>
      </c>
      <c r="M792" t="str">
        <f t="shared" si="51"/>
        <v/>
      </c>
      <c r="N792" t="str">
        <f>IF(OR($D792="",$S792=""),"",IFERROR(MAX(0,ROUND(($D792-INDEX(Config!$C$15:$C$18,MATCH($S792,Config!$B$15:$B$18,0)))*24*60,0)),""))</f>
        <v/>
      </c>
      <c r="O792" t="str">
        <f t="shared" si="52"/>
        <v/>
      </c>
      <c r="P792" t="str">
        <f t="shared" si="53"/>
        <v/>
      </c>
      <c r="Q792" t="str">
        <f>IF(OR($P792="",$S792=""),"",IFERROR($P792-INDEX(Config!$E$15:$E$18,MATCH($S792,Config!$B$15:$B$18,0)),""))</f>
        <v/>
      </c>
      <c r="R792" t="str">
        <f t="shared" si="54"/>
        <v/>
      </c>
      <c r="S792" s="6" t="str">
        <f>IF(OR($A792="",$C792=""),"",IFERROR(INDEX(Turno!$C$3:$V$32,MATCH($C792,Turno!$B$3:$B$32,0),MATCH(DAY($A792),Turno!$C$1:$V$1,0)),""))</f>
        <v/>
      </c>
      <c r="T792" t="str">
        <f>IF(OR($E792="",$S792=""),"",IFERROR(MAX(0,ROUND((INDEX(Config!$D$15:$D$18,MATCH($S792,Config!$B$15:$B$18,0))-$E792)*1440,0)),""))</f>
        <v/>
      </c>
      <c r="U792" s="13" t="str">
        <f>IF(OR($N792="",$T792=""),"",IFERROR(MAX(0,1-($N792+$T792+MAX(0,N($Q792)))/ROUND((INDEX(Config!$D$15:$D$18,MATCH($S792,Config!$B$15:$B$18,0))-INDEX(Config!$C$15:$C$18,MATCH($S792,Config!$B$15:$B$18,0)))*1440,0)),""))</f>
        <v/>
      </c>
      <c r="V792" s="5"/>
    </row>
    <row r="793" spans="1:22" x14ac:dyDescent="0.25">
      <c r="A793" s="11"/>
      <c r="B793" s="5"/>
      <c r="C793" s="6" t="str">
        <f>IFERROR(INDEX(Ejecutivos!$B$2:$B$100,MATCH(B793,Ejecutivos!$A$2:$A$100,0)),"")</f>
        <v/>
      </c>
      <c r="D793" s="12"/>
      <c r="E793" s="12"/>
      <c r="F793" s="12"/>
      <c r="G793" s="12"/>
      <c r="H793" s="5"/>
      <c r="I793" s="5"/>
      <c r="J793" s="5"/>
      <c r="K793" s="5"/>
      <c r="L793" s="18">
        <v>0</v>
      </c>
      <c r="M793" t="str">
        <f t="shared" si="51"/>
        <v/>
      </c>
      <c r="N793" t="str">
        <f>IF(OR($D793="",$S793=""),"",IFERROR(MAX(0,ROUND(($D793-INDEX(Config!$C$15:$C$18,MATCH($S793,Config!$B$15:$B$18,0)))*24*60,0)),""))</f>
        <v/>
      </c>
      <c r="O793" t="str">
        <f t="shared" si="52"/>
        <v/>
      </c>
      <c r="P793" t="str">
        <f t="shared" si="53"/>
        <v/>
      </c>
      <c r="Q793" t="str">
        <f>IF(OR($P793="",$S793=""),"",IFERROR($P793-INDEX(Config!$E$15:$E$18,MATCH($S793,Config!$B$15:$B$18,0)),""))</f>
        <v/>
      </c>
      <c r="R793" t="str">
        <f t="shared" si="54"/>
        <v/>
      </c>
      <c r="S793" s="6" t="str">
        <f>IF(OR($A793="",$C793=""),"",IFERROR(INDEX(Turno!$C$3:$V$32,MATCH($C793,Turno!$B$3:$B$32,0),MATCH(DAY($A793),Turno!$C$1:$V$1,0)),""))</f>
        <v/>
      </c>
      <c r="T793" t="str">
        <f>IF(OR($E793="",$S793=""),"",IFERROR(MAX(0,ROUND((INDEX(Config!$D$15:$D$18,MATCH($S793,Config!$B$15:$B$18,0))-$E793)*1440,0)),""))</f>
        <v/>
      </c>
      <c r="U793" s="13" t="str">
        <f>IF(OR($N793="",$T793=""),"",IFERROR(MAX(0,1-($N793+$T793+MAX(0,N($Q793)))/ROUND((INDEX(Config!$D$15:$D$18,MATCH($S793,Config!$B$15:$B$18,0))-INDEX(Config!$C$15:$C$18,MATCH($S793,Config!$B$15:$B$18,0)))*1440,0)),""))</f>
        <v/>
      </c>
      <c r="V793" s="5"/>
    </row>
    <row r="794" spans="1:22" x14ac:dyDescent="0.25">
      <c r="A794" s="11"/>
      <c r="B794" s="5"/>
      <c r="C794" s="6" t="str">
        <f>IFERROR(INDEX(Ejecutivos!$B$2:$B$100,MATCH(B794,Ejecutivos!$A$2:$A$100,0)),"")</f>
        <v/>
      </c>
      <c r="D794" s="12"/>
      <c r="E794" s="12"/>
      <c r="F794" s="12"/>
      <c r="G794" s="12"/>
      <c r="H794" s="5"/>
      <c r="I794" s="5"/>
      <c r="J794" s="5"/>
      <c r="K794" s="5"/>
      <c r="L794" s="18">
        <v>0</v>
      </c>
      <c r="M794" t="str">
        <f t="shared" si="51"/>
        <v/>
      </c>
      <c r="N794" t="str">
        <f>IF(OR($D794="",$S794=""),"",IFERROR(MAX(0,ROUND(($D794-INDEX(Config!$C$15:$C$18,MATCH($S794,Config!$B$15:$B$18,0)))*24*60,0)),""))</f>
        <v/>
      </c>
      <c r="O794" t="str">
        <f t="shared" si="52"/>
        <v/>
      </c>
      <c r="P794" t="str">
        <f t="shared" si="53"/>
        <v/>
      </c>
      <c r="Q794" t="str">
        <f>IF(OR($P794="",$S794=""),"",IFERROR($P794-INDEX(Config!$E$15:$E$18,MATCH($S794,Config!$B$15:$B$18,0)),""))</f>
        <v/>
      </c>
      <c r="R794" t="str">
        <f t="shared" si="54"/>
        <v/>
      </c>
      <c r="S794" s="6" t="str">
        <f>IF(OR($A794="",$C794=""),"",IFERROR(INDEX(Turno!$C$3:$V$32,MATCH($C794,Turno!$B$3:$B$32,0),MATCH(DAY($A794),Turno!$C$1:$V$1,0)),""))</f>
        <v/>
      </c>
      <c r="T794" t="str">
        <f>IF(OR($E794="",$S794=""),"",IFERROR(MAX(0,ROUND((INDEX(Config!$D$15:$D$18,MATCH($S794,Config!$B$15:$B$18,0))-$E794)*1440,0)),""))</f>
        <v/>
      </c>
      <c r="U794" s="13" t="str">
        <f>IF(OR($N794="",$T794=""),"",IFERROR(MAX(0,1-($N794+$T794+MAX(0,N($Q794)))/ROUND((INDEX(Config!$D$15:$D$18,MATCH($S794,Config!$B$15:$B$18,0))-INDEX(Config!$C$15:$C$18,MATCH($S794,Config!$B$15:$B$18,0)))*1440,0)),""))</f>
        <v/>
      </c>
      <c r="V794" s="5"/>
    </row>
    <row r="795" spans="1:22" x14ac:dyDescent="0.25">
      <c r="A795" s="11"/>
      <c r="B795" s="5"/>
      <c r="C795" s="6" t="str">
        <f>IFERROR(INDEX(Ejecutivos!$B$2:$B$100,MATCH(B795,Ejecutivos!$A$2:$A$100,0)),"")</f>
        <v/>
      </c>
      <c r="D795" s="12"/>
      <c r="E795" s="12"/>
      <c r="F795" s="12"/>
      <c r="G795" s="12"/>
      <c r="H795" s="5"/>
      <c r="I795" s="5"/>
      <c r="J795" s="5"/>
      <c r="K795" s="5"/>
      <c r="L795" s="18">
        <v>0</v>
      </c>
      <c r="M795" t="str">
        <f t="shared" si="51"/>
        <v/>
      </c>
      <c r="N795" t="str">
        <f>IF(OR($D795="",$S795=""),"",IFERROR(MAX(0,ROUND(($D795-INDEX(Config!$C$15:$C$18,MATCH($S795,Config!$B$15:$B$18,0)))*24*60,0)),""))</f>
        <v/>
      </c>
      <c r="O795" t="str">
        <f t="shared" si="52"/>
        <v/>
      </c>
      <c r="P795" t="str">
        <f t="shared" si="53"/>
        <v/>
      </c>
      <c r="Q795" t="str">
        <f>IF(OR($P795="",$S795=""),"",IFERROR($P795-INDEX(Config!$E$15:$E$18,MATCH($S795,Config!$B$15:$B$18,0)),""))</f>
        <v/>
      </c>
      <c r="R795" t="str">
        <f t="shared" si="54"/>
        <v/>
      </c>
      <c r="S795" s="6" t="str">
        <f>IF(OR($A795="",$C795=""),"",IFERROR(INDEX(Turno!$C$3:$V$32,MATCH($C795,Turno!$B$3:$B$32,0),MATCH(DAY($A795),Turno!$C$1:$V$1,0)),""))</f>
        <v/>
      </c>
      <c r="T795" t="str">
        <f>IF(OR($E795="",$S795=""),"",IFERROR(MAX(0,ROUND((INDEX(Config!$D$15:$D$18,MATCH($S795,Config!$B$15:$B$18,0))-$E795)*1440,0)),""))</f>
        <v/>
      </c>
      <c r="U795" s="13" t="str">
        <f>IF(OR($N795="",$T795=""),"",IFERROR(MAX(0,1-($N795+$T795+MAX(0,N($Q795)))/ROUND((INDEX(Config!$D$15:$D$18,MATCH($S795,Config!$B$15:$B$18,0))-INDEX(Config!$C$15:$C$18,MATCH($S795,Config!$B$15:$B$18,0)))*1440,0)),""))</f>
        <v/>
      </c>
      <c r="V795" s="5"/>
    </row>
    <row r="796" spans="1:22" x14ac:dyDescent="0.25">
      <c r="A796" s="11"/>
      <c r="B796" s="5"/>
      <c r="C796" s="6" t="str">
        <f>IFERROR(INDEX(Ejecutivos!$B$2:$B$100,MATCH(B796,Ejecutivos!$A$2:$A$100,0)),"")</f>
        <v/>
      </c>
      <c r="D796" s="12"/>
      <c r="E796" s="12"/>
      <c r="F796" s="12"/>
      <c r="G796" s="12"/>
      <c r="H796" s="5"/>
      <c r="I796" s="5"/>
      <c r="J796" s="5"/>
      <c r="K796" s="5"/>
      <c r="L796" s="18">
        <v>0</v>
      </c>
      <c r="M796" t="str">
        <f t="shared" si="51"/>
        <v/>
      </c>
      <c r="N796" t="str">
        <f>IF(OR($D796="",$S796=""),"",IFERROR(MAX(0,ROUND(($D796-INDEX(Config!$C$15:$C$18,MATCH($S796,Config!$B$15:$B$18,0)))*24*60,0)),""))</f>
        <v/>
      </c>
      <c r="O796" t="str">
        <f t="shared" si="52"/>
        <v/>
      </c>
      <c r="P796" t="str">
        <f t="shared" si="53"/>
        <v/>
      </c>
      <c r="Q796" t="str">
        <f>IF(OR($P796="",$S796=""),"",IFERROR($P796-INDEX(Config!$E$15:$E$18,MATCH($S796,Config!$B$15:$B$18,0)),""))</f>
        <v/>
      </c>
      <c r="R796" t="str">
        <f t="shared" si="54"/>
        <v/>
      </c>
      <c r="S796" s="6" t="str">
        <f>IF(OR($A796="",$C796=""),"",IFERROR(INDEX(Turno!$C$3:$V$32,MATCH($C796,Turno!$B$3:$B$32,0),MATCH(DAY($A796),Turno!$C$1:$V$1,0)),""))</f>
        <v/>
      </c>
      <c r="T796" t="str">
        <f>IF(OR($E796="",$S796=""),"",IFERROR(MAX(0,ROUND((INDEX(Config!$D$15:$D$18,MATCH($S796,Config!$B$15:$B$18,0))-$E796)*1440,0)),""))</f>
        <v/>
      </c>
      <c r="U796" s="13" t="str">
        <f>IF(OR($N796="",$T796=""),"",IFERROR(MAX(0,1-($N796+$T796+MAX(0,N($Q796)))/ROUND((INDEX(Config!$D$15:$D$18,MATCH($S796,Config!$B$15:$B$18,0))-INDEX(Config!$C$15:$C$18,MATCH($S796,Config!$B$15:$B$18,0)))*1440,0)),""))</f>
        <v/>
      </c>
      <c r="V796" s="5"/>
    </row>
    <row r="797" spans="1:22" x14ac:dyDescent="0.25">
      <c r="A797" s="11"/>
      <c r="B797" s="5"/>
      <c r="C797" s="6" t="str">
        <f>IFERROR(INDEX(Ejecutivos!$B$2:$B$100,MATCH(B797,Ejecutivos!$A$2:$A$100,0)),"")</f>
        <v/>
      </c>
      <c r="D797" s="12"/>
      <c r="E797" s="12"/>
      <c r="F797" s="12"/>
      <c r="G797" s="12"/>
      <c r="H797" s="5"/>
      <c r="I797" s="5"/>
      <c r="J797" s="5"/>
      <c r="K797" s="5"/>
      <c r="L797" s="18">
        <v>0</v>
      </c>
      <c r="M797" t="str">
        <f t="shared" si="51"/>
        <v/>
      </c>
      <c r="N797" t="str">
        <f>IF(OR($D797="",$S797=""),"",IFERROR(MAX(0,ROUND(($D797-INDEX(Config!$C$15:$C$18,MATCH($S797,Config!$B$15:$B$18,0)))*24*60,0)),""))</f>
        <v/>
      </c>
      <c r="O797" t="str">
        <f t="shared" si="52"/>
        <v/>
      </c>
      <c r="P797" t="str">
        <f t="shared" si="53"/>
        <v/>
      </c>
      <c r="Q797" t="str">
        <f>IF(OR($P797="",$S797=""),"",IFERROR($P797-INDEX(Config!$E$15:$E$18,MATCH($S797,Config!$B$15:$B$18,0)),""))</f>
        <v/>
      </c>
      <c r="R797" t="str">
        <f t="shared" si="54"/>
        <v/>
      </c>
      <c r="S797" s="6" t="str">
        <f>IF(OR($A797="",$C797=""),"",IFERROR(INDEX(Turno!$C$3:$V$32,MATCH($C797,Turno!$B$3:$B$32,0),MATCH(DAY($A797),Turno!$C$1:$V$1,0)),""))</f>
        <v/>
      </c>
      <c r="T797" t="str">
        <f>IF(OR($E797="",$S797=""),"",IFERROR(MAX(0,ROUND((INDEX(Config!$D$15:$D$18,MATCH($S797,Config!$B$15:$B$18,0))-$E797)*1440,0)),""))</f>
        <v/>
      </c>
      <c r="U797" s="13" t="str">
        <f>IF(OR($N797="",$T797=""),"",IFERROR(MAX(0,1-($N797+$T797+MAX(0,N($Q797)))/ROUND((INDEX(Config!$D$15:$D$18,MATCH($S797,Config!$B$15:$B$18,0))-INDEX(Config!$C$15:$C$18,MATCH($S797,Config!$B$15:$B$18,0)))*1440,0)),""))</f>
        <v/>
      </c>
      <c r="V797" s="5"/>
    </row>
    <row r="798" spans="1:22" x14ac:dyDescent="0.25">
      <c r="A798" s="11"/>
      <c r="B798" s="5"/>
      <c r="C798" s="6" t="str">
        <f>IFERROR(INDEX(Ejecutivos!$B$2:$B$100,MATCH(B798,Ejecutivos!$A$2:$A$100,0)),"")</f>
        <v/>
      </c>
      <c r="D798" s="12"/>
      <c r="E798" s="12"/>
      <c r="F798" s="12"/>
      <c r="G798" s="12"/>
      <c r="H798" s="5"/>
      <c r="I798" s="5"/>
      <c r="J798" s="5"/>
      <c r="K798" s="5"/>
      <c r="L798" s="18">
        <v>0</v>
      </c>
      <c r="M798" t="str">
        <f t="shared" si="51"/>
        <v/>
      </c>
      <c r="N798" t="str">
        <f>IF(OR($D798="",$S798=""),"",IFERROR(MAX(0,ROUND(($D798-INDEX(Config!$C$15:$C$18,MATCH($S798,Config!$B$15:$B$18,0)))*24*60,0)),""))</f>
        <v/>
      </c>
      <c r="O798" t="str">
        <f t="shared" si="52"/>
        <v/>
      </c>
      <c r="P798" t="str">
        <f t="shared" si="53"/>
        <v/>
      </c>
      <c r="Q798" t="str">
        <f>IF(OR($P798="",$S798=""),"",IFERROR($P798-INDEX(Config!$E$15:$E$18,MATCH($S798,Config!$B$15:$B$18,0)),""))</f>
        <v/>
      </c>
      <c r="R798" t="str">
        <f t="shared" si="54"/>
        <v/>
      </c>
      <c r="S798" s="6" t="str">
        <f>IF(OR($A798="",$C798=""),"",IFERROR(INDEX(Turno!$C$3:$V$32,MATCH($C798,Turno!$B$3:$B$32,0),MATCH(DAY($A798),Turno!$C$1:$V$1,0)),""))</f>
        <v/>
      </c>
      <c r="T798" t="str">
        <f>IF(OR($E798="",$S798=""),"",IFERROR(MAX(0,ROUND((INDEX(Config!$D$15:$D$18,MATCH($S798,Config!$B$15:$B$18,0))-$E798)*1440,0)),""))</f>
        <v/>
      </c>
      <c r="U798" s="13" t="str">
        <f>IF(OR($N798="",$T798=""),"",IFERROR(MAX(0,1-($N798+$T798+MAX(0,N($Q798)))/ROUND((INDEX(Config!$D$15:$D$18,MATCH($S798,Config!$B$15:$B$18,0))-INDEX(Config!$C$15:$C$18,MATCH($S798,Config!$B$15:$B$18,0)))*1440,0)),""))</f>
        <v/>
      </c>
      <c r="V798" s="5"/>
    </row>
    <row r="799" spans="1:22" x14ac:dyDescent="0.25">
      <c r="A799" s="11"/>
      <c r="B799" s="5"/>
      <c r="C799" s="6" t="str">
        <f>IFERROR(INDEX(Ejecutivos!$B$2:$B$100,MATCH(B799,Ejecutivos!$A$2:$A$100,0)),"")</f>
        <v/>
      </c>
      <c r="D799" s="12"/>
      <c r="E799" s="12"/>
      <c r="F799" s="12"/>
      <c r="G799" s="12"/>
      <c r="H799" s="5"/>
      <c r="I799" s="5"/>
      <c r="J799" s="5"/>
      <c r="K799" s="5"/>
      <c r="L799" s="18">
        <v>0</v>
      </c>
      <c r="M799" t="str">
        <f t="shared" si="51"/>
        <v/>
      </c>
      <c r="N799" t="str">
        <f>IF(OR($D799="",$S799=""),"",IFERROR(MAX(0,ROUND(($D799-INDEX(Config!$C$15:$C$18,MATCH($S799,Config!$B$15:$B$18,0)))*24*60,0)),""))</f>
        <v/>
      </c>
      <c r="O799" t="str">
        <f t="shared" si="52"/>
        <v/>
      </c>
      <c r="P799" t="str">
        <f t="shared" si="53"/>
        <v/>
      </c>
      <c r="Q799" t="str">
        <f>IF(OR($P799="",$S799=""),"",IFERROR($P799-INDEX(Config!$E$15:$E$18,MATCH($S799,Config!$B$15:$B$18,0)),""))</f>
        <v/>
      </c>
      <c r="R799" t="str">
        <f t="shared" si="54"/>
        <v/>
      </c>
      <c r="S799" s="6" t="str">
        <f>IF(OR($A799="",$C799=""),"",IFERROR(INDEX(Turno!$C$3:$V$32,MATCH($C799,Turno!$B$3:$B$32,0),MATCH(DAY($A799),Turno!$C$1:$V$1,0)),""))</f>
        <v/>
      </c>
      <c r="T799" t="str">
        <f>IF(OR($E799="",$S799=""),"",IFERROR(MAX(0,ROUND((INDEX(Config!$D$15:$D$18,MATCH($S799,Config!$B$15:$B$18,0))-$E799)*1440,0)),""))</f>
        <v/>
      </c>
      <c r="U799" s="13" t="str">
        <f>IF(OR($N799="",$T799=""),"",IFERROR(MAX(0,1-($N799+$T799+MAX(0,N($Q799)))/ROUND((INDEX(Config!$D$15:$D$18,MATCH($S799,Config!$B$15:$B$18,0))-INDEX(Config!$C$15:$C$18,MATCH($S799,Config!$B$15:$B$18,0)))*1440,0)),""))</f>
        <v/>
      </c>
      <c r="V799" s="5"/>
    </row>
    <row r="800" spans="1:22" x14ac:dyDescent="0.25">
      <c r="A800" s="11"/>
      <c r="B800" s="5"/>
      <c r="C800" s="6" t="str">
        <f>IFERROR(INDEX(Ejecutivos!$B$2:$B$100,MATCH(B800,Ejecutivos!$A$2:$A$100,0)),"")</f>
        <v/>
      </c>
      <c r="D800" s="12"/>
      <c r="E800" s="12"/>
      <c r="F800" s="12"/>
      <c r="G800" s="12"/>
      <c r="H800" s="5"/>
      <c r="I800" s="5"/>
      <c r="J800" s="5"/>
      <c r="K800" s="5"/>
      <c r="L800" s="18">
        <v>0</v>
      </c>
      <c r="M800" t="str">
        <f t="shared" si="51"/>
        <v/>
      </c>
      <c r="N800" t="str">
        <f>IF(OR($D800="",$S800=""),"",IFERROR(MAX(0,ROUND(($D800-INDEX(Config!$C$15:$C$18,MATCH($S800,Config!$B$15:$B$18,0)))*24*60,0)),""))</f>
        <v/>
      </c>
      <c r="O800" t="str">
        <f t="shared" si="52"/>
        <v/>
      </c>
      <c r="P800" t="str">
        <f t="shared" si="53"/>
        <v/>
      </c>
      <c r="Q800" t="str">
        <f>IF(OR($P800="",$S800=""),"",IFERROR($P800-INDEX(Config!$E$15:$E$18,MATCH($S800,Config!$B$15:$B$18,0)),""))</f>
        <v/>
      </c>
      <c r="R800" t="str">
        <f t="shared" si="54"/>
        <v/>
      </c>
      <c r="S800" s="6" t="str">
        <f>IF(OR($A800="",$C800=""),"",IFERROR(INDEX(Turno!$C$3:$V$32,MATCH($C800,Turno!$B$3:$B$32,0),MATCH(DAY($A800),Turno!$C$1:$V$1,0)),""))</f>
        <v/>
      </c>
      <c r="T800" t="str">
        <f>IF(OR($E800="",$S800=""),"",IFERROR(MAX(0,ROUND((INDEX(Config!$D$15:$D$18,MATCH($S800,Config!$B$15:$B$18,0))-$E800)*1440,0)),""))</f>
        <v/>
      </c>
      <c r="U800" s="13" t="str">
        <f>IF(OR($N800="",$T800=""),"",IFERROR(MAX(0,1-($N800+$T800+MAX(0,N($Q800)))/ROUND((INDEX(Config!$D$15:$D$18,MATCH($S800,Config!$B$15:$B$18,0))-INDEX(Config!$C$15:$C$18,MATCH($S800,Config!$B$15:$B$18,0)))*1440,0)),""))</f>
        <v/>
      </c>
      <c r="V800" s="5"/>
    </row>
    <row r="801" spans="1:22" x14ac:dyDescent="0.25">
      <c r="A801" s="11"/>
      <c r="B801" s="5"/>
      <c r="C801" s="6" t="str">
        <f>IFERROR(INDEX(Ejecutivos!$B$2:$B$100,MATCH(B801,Ejecutivos!$A$2:$A$100,0)),"")</f>
        <v/>
      </c>
      <c r="D801" s="12"/>
      <c r="E801" s="12"/>
      <c r="F801" s="12"/>
      <c r="G801" s="12"/>
      <c r="H801" s="5"/>
      <c r="I801" s="5"/>
      <c r="J801" s="5"/>
      <c r="K801" s="5"/>
      <c r="L801" s="18">
        <v>0</v>
      </c>
      <c r="M801" t="str">
        <f t="shared" si="51"/>
        <v/>
      </c>
      <c r="N801" t="str">
        <f>IF(OR($D801="",$S801=""),"",IFERROR(MAX(0,ROUND(($D801-INDEX(Config!$C$15:$C$18,MATCH($S801,Config!$B$15:$B$18,0)))*24*60,0)),""))</f>
        <v/>
      </c>
      <c r="O801" t="str">
        <f t="shared" si="52"/>
        <v/>
      </c>
      <c r="P801" t="str">
        <f t="shared" si="53"/>
        <v/>
      </c>
      <c r="Q801" t="str">
        <f>IF(OR($P801="",$S801=""),"",IFERROR($P801-INDEX(Config!$E$15:$E$18,MATCH($S801,Config!$B$15:$B$18,0)),""))</f>
        <v/>
      </c>
      <c r="R801" t="str">
        <f t="shared" si="54"/>
        <v/>
      </c>
      <c r="S801" s="6" t="str">
        <f>IF(OR($A801="",$C801=""),"",IFERROR(INDEX(Turno!$C$3:$V$32,MATCH($C801,Turno!$B$3:$B$32,0),MATCH(DAY($A801),Turno!$C$1:$V$1,0)),""))</f>
        <v/>
      </c>
      <c r="T801" t="str">
        <f>IF(OR($E801="",$S801=""),"",IFERROR(MAX(0,ROUND((INDEX(Config!$D$15:$D$18,MATCH($S801,Config!$B$15:$B$18,0))-$E801)*1440,0)),""))</f>
        <v/>
      </c>
      <c r="U801" s="13" t="str">
        <f>IF(OR($N801="",$T801=""),"",IFERROR(MAX(0,1-($N801+$T801+MAX(0,N($Q801)))/ROUND((INDEX(Config!$D$15:$D$18,MATCH($S801,Config!$B$15:$B$18,0))-INDEX(Config!$C$15:$C$18,MATCH($S801,Config!$B$15:$B$18,0)))*1440,0)),""))</f>
        <v/>
      </c>
      <c r="V801" s="5"/>
    </row>
    <row r="802" spans="1:22" x14ac:dyDescent="0.25">
      <c r="A802" s="11"/>
      <c r="B802" s="5"/>
      <c r="C802" s="6" t="str">
        <f>IFERROR(INDEX(Ejecutivos!$B$2:$B$100,MATCH(B802,Ejecutivos!$A$2:$A$100,0)),"")</f>
        <v/>
      </c>
      <c r="D802" s="12"/>
      <c r="E802" s="12"/>
      <c r="F802" s="12"/>
      <c r="G802" s="12"/>
      <c r="H802" s="5"/>
      <c r="I802" s="5"/>
      <c r="J802" s="5"/>
      <c r="K802" s="5"/>
      <c r="L802" s="18">
        <v>0</v>
      </c>
      <c r="M802" t="str">
        <f t="shared" si="51"/>
        <v/>
      </c>
      <c r="N802" t="str">
        <f>IF(OR($D802="",$S802=""),"",IFERROR(MAX(0,ROUND(($D802-INDEX(Config!$C$15:$C$18,MATCH($S802,Config!$B$15:$B$18,0)))*24*60,0)),""))</f>
        <v/>
      </c>
      <c r="O802" t="str">
        <f t="shared" si="52"/>
        <v/>
      </c>
      <c r="P802" t="str">
        <f t="shared" si="53"/>
        <v/>
      </c>
      <c r="Q802" t="str">
        <f>IF(OR($P802="",$S802=""),"",IFERROR($P802-INDEX(Config!$E$15:$E$18,MATCH($S802,Config!$B$15:$B$18,0)),""))</f>
        <v/>
      </c>
      <c r="R802" t="str">
        <f t="shared" si="54"/>
        <v/>
      </c>
      <c r="S802" s="6" t="str">
        <f>IF(OR($A802="",$C802=""),"",IFERROR(INDEX(Turno!$C$3:$V$32,MATCH($C802,Turno!$B$3:$B$32,0),MATCH(DAY($A802),Turno!$C$1:$V$1,0)),""))</f>
        <v/>
      </c>
      <c r="T802" t="str">
        <f>IF(OR($E802="",$S802=""),"",IFERROR(MAX(0,ROUND((INDEX(Config!$D$15:$D$18,MATCH($S802,Config!$B$15:$B$18,0))-$E802)*1440,0)),""))</f>
        <v/>
      </c>
      <c r="U802" s="13" t="str">
        <f>IF(OR($N802="",$T802=""),"",IFERROR(MAX(0,1-($N802+$T802+MAX(0,N($Q802)))/ROUND((INDEX(Config!$D$15:$D$18,MATCH($S802,Config!$B$15:$B$18,0))-INDEX(Config!$C$15:$C$18,MATCH($S802,Config!$B$15:$B$18,0)))*1440,0)),""))</f>
        <v/>
      </c>
      <c r="V802" s="5"/>
    </row>
    <row r="803" spans="1:22" x14ac:dyDescent="0.25">
      <c r="A803" s="11"/>
      <c r="B803" s="5"/>
      <c r="C803" s="6" t="str">
        <f>IFERROR(INDEX(Ejecutivos!$B$2:$B$100,MATCH(B803,Ejecutivos!$A$2:$A$100,0)),"")</f>
        <v/>
      </c>
      <c r="D803" s="12"/>
      <c r="E803" s="12"/>
      <c r="F803" s="12"/>
      <c r="G803" s="12"/>
      <c r="H803" s="5"/>
      <c r="I803" s="5"/>
      <c r="J803" s="5"/>
      <c r="K803" s="5"/>
      <c r="L803" s="18">
        <v>0</v>
      </c>
      <c r="M803" t="str">
        <f t="shared" si="51"/>
        <v/>
      </c>
      <c r="N803" t="str">
        <f>IF(OR($D803="",$S803=""),"",IFERROR(MAX(0,ROUND(($D803-INDEX(Config!$C$15:$C$18,MATCH($S803,Config!$B$15:$B$18,0)))*24*60,0)),""))</f>
        <v/>
      </c>
      <c r="O803" t="str">
        <f t="shared" si="52"/>
        <v/>
      </c>
      <c r="P803" t="str">
        <f t="shared" si="53"/>
        <v/>
      </c>
      <c r="Q803" t="str">
        <f>IF(OR($P803="",$S803=""),"",IFERROR($P803-INDEX(Config!$E$15:$E$18,MATCH($S803,Config!$B$15:$B$18,0)),""))</f>
        <v/>
      </c>
      <c r="R803" t="str">
        <f t="shared" si="54"/>
        <v/>
      </c>
      <c r="S803" s="6" t="str">
        <f>IF(OR($A803="",$C803=""),"",IFERROR(INDEX(Turno!$C$3:$V$32,MATCH($C803,Turno!$B$3:$B$32,0),MATCH(DAY($A803),Turno!$C$1:$V$1,0)),""))</f>
        <v/>
      </c>
      <c r="T803" t="str">
        <f>IF(OR($E803="",$S803=""),"",IFERROR(MAX(0,ROUND((INDEX(Config!$D$15:$D$18,MATCH($S803,Config!$B$15:$B$18,0))-$E803)*1440,0)),""))</f>
        <v/>
      </c>
      <c r="U803" s="13" t="str">
        <f>IF(OR($N803="",$T803=""),"",IFERROR(MAX(0,1-($N803+$T803+MAX(0,N($Q803)))/ROUND((INDEX(Config!$D$15:$D$18,MATCH($S803,Config!$B$15:$B$18,0))-INDEX(Config!$C$15:$C$18,MATCH($S803,Config!$B$15:$B$18,0)))*1440,0)),""))</f>
        <v/>
      </c>
      <c r="V803" s="5"/>
    </row>
    <row r="804" spans="1:22" x14ac:dyDescent="0.25">
      <c r="A804" s="11"/>
      <c r="B804" s="5"/>
      <c r="C804" s="6" t="str">
        <f>IFERROR(INDEX(Ejecutivos!$B$2:$B$100,MATCH(B804,Ejecutivos!$A$2:$A$100,0)),"")</f>
        <v/>
      </c>
      <c r="D804" s="12"/>
      <c r="E804" s="12"/>
      <c r="F804" s="12"/>
      <c r="G804" s="12"/>
      <c r="H804" s="5"/>
      <c r="I804" s="5"/>
      <c r="J804" s="5"/>
      <c r="K804" s="5"/>
      <c r="L804" s="18">
        <v>0</v>
      </c>
      <c r="M804" t="str">
        <f t="shared" si="51"/>
        <v/>
      </c>
      <c r="N804" t="str">
        <f>IF(OR($D804="",$S804=""),"",IFERROR(MAX(0,ROUND(($D804-INDEX(Config!$C$15:$C$18,MATCH($S804,Config!$B$15:$B$18,0)))*24*60,0)),""))</f>
        <v/>
      </c>
      <c r="O804" t="str">
        <f t="shared" si="52"/>
        <v/>
      </c>
      <c r="P804" t="str">
        <f t="shared" si="53"/>
        <v/>
      </c>
      <c r="Q804" t="str">
        <f>IF(OR($P804="",$S804=""),"",IFERROR($P804-INDEX(Config!$E$15:$E$18,MATCH($S804,Config!$B$15:$B$18,0)),""))</f>
        <v/>
      </c>
      <c r="R804" t="str">
        <f t="shared" si="54"/>
        <v/>
      </c>
      <c r="S804" s="6" t="str">
        <f>IF(OR($A804="",$C804=""),"",IFERROR(INDEX(Turno!$C$3:$V$32,MATCH($C804,Turno!$B$3:$B$32,0),MATCH(DAY($A804),Turno!$C$1:$V$1,0)),""))</f>
        <v/>
      </c>
      <c r="T804" t="str">
        <f>IF(OR($E804="",$S804=""),"",IFERROR(MAX(0,ROUND((INDEX(Config!$D$15:$D$18,MATCH($S804,Config!$B$15:$B$18,0))-$E804)*1440,0)),""))</f>
        <v/>
      </c>
      <c r="U804" s="13" t="str">
        <f>IF(OR($N804="",$T804=""),"",IFERROR(MAX(0,1-($N804+$T804+MAX(0,N($Q804)))/ROUND((INDEX(Config!$D$15:$D$18,MATCH($S804,Config!$B$15:$B$18,0))-INDEX(Config!$C$15:$C$18,MATCH($S804,Config!$B$15:$B$18,0)))*1440,0)),""))</f>
        <v/>
      </c>
      <c r="V804" s="5"/>
    </row>
    <row r="805" spans="1:22" x14ac:dyDescent="0.25">
      <c r="A805" s="11"/>
      <c r="B805" s="5"/>
      <c r="C805" s="6" t="str">
        <f>IFERROR(INDEX(Ejecutivos!$B$2:$B$100,MATCH(B805,Ejecutivos!$A$2:$A$100,0)),"")</f>
        <v/>
      </c>
      <c r="D805" s="12"/>
      <c r="E805" s="12"/>
      <c r="F805" s="12"/>
      <c r="G805" s="12"/>
      <c r="H805" s="5"/>
      <c r="I805" s="5"/>
      <c r="J805" s="5"/>
      <c r="K805" s="5"/>
      <c r="L805" s="18">
        <v>0</v>
      </c>
      <c r="M805" t="str">
        <f t="shared" si="51"/>
        <v/>
      </c>
      <c r="N805" t="str">
        <f>IF(OR($D805="",$S805=""),"",IFERROR(MAX(0,ROUND(($D805-INDEX(Config!$C$15:$C$18,MATCH($S805,Config!$B$15:$B$18,0)))*24*60,0)),""))</f>
        <v/>
      </c>
      <c r="O805" t="str">
        <f t="shared" si="52"/>
        <v/>
      </c>
      <c r="P805" t="str">
        <f t="shared" si="53"/>
        <v/>
      </c>
      <c r="Q805" t="str">
        <f>IF(OR($P805="",$S805=""),"",IFERROR($P805-INDEX(Config!$E$15:$E$18,MATCH($S805,Config!$B$15:$B$18,0)),""))</f>
        <v/>
      </c>
      <c r="R805" t="str">
        <f t="shared" si="54"/>
        <v/>
      </c>
      <c r="S805" s="6" t="str">
        <f>IF(OR($A805="",$C805=""),"",IFERROR(INDEX(Turno!$C$3:$V$32,MATCH($C805,Turno!$B$3:$B$32,0),MATCH(DAY($A805),Turno!$C$1:$V$1,0)),""))</f>
        <v/>
      </c>
      <c r="T805" t="str">
        <f>IF(OR($E805="",$S805=""),"",IFERROR(MAX(0,ROUND((INDEX(Config!$D$15:$D$18,MATCH($S805,Config!$B$15:$B$18,0))-$E805)*1440,0)),""))</f>
        <v/>
      </c>
      <c r="U805" s="13" t="str">
        <f>IF(OR($N805="",$T805=""),"",IFERROR(MAX(0,1-($N805+$T805+MAX(0,N($Q805)))/ROUND((INDEX(Config!$D$15:$D$18,MATCH($S805,Config!$B$15:$B$18,0))-INDEX(Config!$C$15:$C$18,MATCH($S805,Config!$B$15:$B$18,0)))*1440,0)),""))</f>
        <v/>
      </c>
      <c r="V805" s="5"/>
    </row>
    <row r="806" spans="1:22" x14ac:dyDescent="0.25">
      <c r="A806" s="11"/>
      <c r="B806" s="5"/>
      <c r="C806" s="6" t="str">
        <f>IFERROR(INDEX(Ejecutivos!$B$2:$B$100,MATCH(B806,Ejecutivos!$A$2:$A$100,0)),"")</f>
        <v/>
      </c>
      <c r="D806" s="12"/>
      <c r="E806" s="12"/>
      <c r="F806" s="12"/>
      <c r="G806" s="12"/>
      <c r="H806" s="5"/>
      <c r="I806" s="5"/>
      <c r="J806" s="5"/>
      <c r="K806" s="5"/>
      <c r="L806" s="18">
        <v>0</v>
      </c>
      <c r="M806" t="str">
        <f t="shared" si="51"/>
        <v/>
      </c>
      <c r="N806" t="str">
        <f>IF(OR($D806="",$S806=""),"",IFERROR(MAX(0,ROUND(($D806-INDEX(Config!$C$15:$C$18,MATCH($S806,Config!$B$15:$B$18,0)))*24*60,0)),""))</f>
        <v/>
      </c>
      <c r="O806" t="str">
        <f t="shared" si="52"/>
        <v/>
      </c>
      <c r="P806" t="str">
        <f t="shared" si="53"/>
        <v/>
      </c>
      <c r="Q806" t="str">
        <f>IF(OR($P806="",$S806=""),"",IFERROR($P806-INDEX(Config!$E$15:$E$18,MATCH($S806,Config!$B$15:$B$18,0)),""))</f>
        <v/>
      </c>
      <c r="R806" t="str">
        <f t="shared" si="54"/>
        <v/>
      </c>
      <c r="S806" s="6" t="str">
        <f>IF(OR($A806="",$C806=""),"",IFERROR(INDEX(Turno!$C$3:$V$32,MATCH($C806,Turno!$B$3:$B$32,0),MATCH(DAY($A806),Turno!$C$1:$V$1,0)),""))</f>
        <v/>
      </c>
      <c r="T806" t="str">
        <f>IF(OR($E806="",$S806=""),"",IFERROR(MAX(0,ROUND((INDEX(Config!$D$15:$D$18,MATCH($S806,Config!$B$15:$B$18,0))-$E806)*1440,0)),""))</f>
        <v/>
      </c>
      <c r="U806" s="13" t="str">
        <f>IF(OR($N806="",$T806=""),"",IFERROR(MAX(0,1-($N806+$T806+MAX(0,N($Q806)))/ROUND((INDEX(Config!$D$15:$D$18,MATCH($S806,Config!$B$15:$B$18,0))-INDEX(Config!$C$15:$C$18,MATCH($S806,Config!$B$15:$B$18,0)))*1440,0)),""))</f>
        <v/>
      </c>
      <c r="V806" s="5"/>
    </row>
    <row r="807" spans="1:22" x14ac:dyDescent="0.25">
      <c r="A807" s="11"/>
      <c r="B807" s="5"/>
      <c r="C807" s="6" t="str">
        <f>IFERROR(INDEX(Ejecutivos!$B$2:$B$100,MATCH(B807,Ejecutivos!$A$2:$A$100,0)),"")</f>
        <v/>
      </c>
      <c r="D807" s="12"/>
      <c r="E807" s="12"/>
      <c r="F807" s="12"/>
      <c r="G807" s="12"/>
      <c r="H807" s="5"/>
      <c r="I807" s="5"/>
      <c r="J807" s="5"/>
      <c r="K807" s="5"/>
      <c r="L807" s="18">
        <v>0</v>
      </c>
      <c r="M807" t="str">
        <f t="shared" si="51"/>
        <v/>
      </c>
      <c r="N807" t="str">
        <f>IF(OR($D807="",$S807=""),"",IFERROR(MAX(0,ROUND(($D807-INDEX(Config!$C$15:$C$18,MATCH($S807,Config!$B$15:$B$18,0)))*24*60,0)),""))</f>
        <v/>
      </c>
      <c r="O807" t="str">
        <f t="shared" si="52"/>
        <v/>
      </c>
      <c r="P807" t="str">
        <f t="shared" si="53"/>
        <v/>
      </c>
      <c r="Q807" t="str">
        <f>IF(OR($P807="",$S807=""),"",IFERROR($P807-INDEX(Config!$E$15:$E$18,MATCH($S807,Config!$B$15:$B$18,0)),""))</f>
        <v/>
      </c>
      <c r="R807" t="str">
        <f t="shared" si="54"/>
        <v/>
      </c>
      <c r="S807" s="6" t="str">
        <f>IF(OR($A807="",$C807=""),"",IFERROR(INDEX(Turno!$C$3:$V$32,MATCH($C807,Turno!$B$3:$B$32,0),MATCH(DAY($A807),Turno!$C$1:$V$1,0)),""))</f>
        <v/>
      </c>
      <c r="T807" t="str">
        <f>IF(OR($E807="",$S807=""),"",IFERROR(MAX(0,ROUND((INDEX(Config!$D$15:$D$18,MATCH($S807,Config!$B$15:$B$18,0))-$E807)*1440,0)),""))</f>
        <v/>
      </c>
      <c r="U807" s="13" t="str">
        <f>IF(OR($N807="",$T807=""),"",IFERROR(MAX(0,1-($N807+$T807+MAX(0,N($Q807)))/ROUND((INDEX(Config!$D$15:$D$18,MATCH($S807,Config!$B$15:$B$18,0))-INDEX(Config!$C$15:$C$18,MATCH($S807,Config!$B$15:$B$18,0)))*1440,0)),""))</f>
        <v/>
      </c>
      <c r="V807" s="5"/>
    </row>
    <row r="808" spans="1:22" x14ac:dyDescent="0.25">
      <c r="A808" s="11"/>
      <c r="B808" s="5"/>
      <c r="C808" s="6" t="str">
        <f>IFERROR(INDEX(Ejecutivos!$B$2:$B$100,MATCH(B808,Ejecutivos!$A$2:$A$100,0)),"")</f>
        <v/>
      </c>
      <c r="D808" s="12"/>
      <c r="E808" s="12"/>
      <c r="F808" s="12"/>
      <c r="G808" s="12"/>
      <c r="H808" s="5"/>
      <c r="I808" s="5"/>
      <c r="J808" s="5"/>
      <c r="K808" s="5"/>
      <c r="L808" s="18">
        <v>0</v>
      </c>
      <c r="M808" t="str">
        <f t="shared" si="51"/>
        <v/>
      </c>
      <c r="N808" t="str">
        <f>IF(OR($D808="",$S808=""),"",IFERROR(MAX(0,ROUND(($D808-INDEX(Config!$C$15:$C$18,MATCH($S808,Config!$B$15:$B$18,0)))*24*60,0)),""))</f>
        <v/>
      </c>
      <c r="O808" t="str">
        <f t="shared" si="52"/>
        <v/>
      </c>
      <c r="P808" t="str">
        <f t="shared" si="53"/>
        <v/>
      </c>
      <c r="Q808" t="str">
        <f>IF(OR($P808="",$S808=""),"",IFERROR($P808-INDEX(Config!$E$15:$E$18,MATCH($S808,Config!$B$15:$B$18,0)),""))</f>
        <v/>
      </c>
      <c r="R808" t="str">
        <f t="shared" si="54"/>
        <v/>
      </c>
      <c r="S808" s="6" t="str">
        <f>IF(OR($A808="",$C808=""),"",IFERROR(INDEX(Turno!$C$3:$V$32,MATCH($C808,Turno!$B$3:$B$32,0),MATCH(DAY($A808),Turno!$C$1:$V$1,0)),""))</f>
        <v/>
      </c>
      <c r="T808" t="str">
        <f>IF(OR($E808="",$S808=""),"",IFERROR(MAX(0,ROUND((INDEX(Config!$D$15:$D$18,MATCH($S808,Config!$B$15:$B$18,0))-$E808)*1440,0)),""))</f>
        <v/>
      </c>
      <c r="U808" s="13" t="str">
        <f>IF(OR($N808="",$T808=""),"",IFERROR(MAX(0,1-($N808+$T808+MAX(0,N($Q808)))/ROUND((INDEX(Config!$D$15:$D$18,MATCH($S808,Config!$B$15:$B$18,0))-INDEX(Config!$C$15:$C$18,MATCH($S808,Config!$B$15:$B$18,0)))*1440,0)),""))</f>
        <v/>
      </c>
      <c r="V808" s="5"/>
    </row>
    <row r="809" spans="1:22" x14ac:dyDescent="0.25">
      <c r="A809" s="11"/>
      <c r="B809" s="5"/>
      <c r="C809" s="6" t="str">
        <f>IFERROR(INDEX(Ejecutivos!$B$2:$B$100,MATCH(B809,Ejecutivos!$A$2:$A$100,0)),"")</f>
        <v/>
      </c>
      <c r="D809" s="12"/>
      <c r="E809" s="12"/>
      <c r="F809" s="12"/>
      <c r="G809" s="12"/>
      <c r="H809" s="5"/>
      <c r="I809" s="5"/>
      <c r="J809" s="5"/>
      <c r="K809" s="5"/>
      <c r="L809" s="18">
        <v>0</v>
      </c>
      <c r="M809" t="str">
        <f t="shared" si="51"/>
        <v/>
      </c>
      <c r="N809" t="str">
        <f>IF(OR($D809="",$S809=""),"",IFERROR(MAX(0,ROUND(($D809-INDEX(Config!$C$15:$C$18,MATCH($S809,Config!$B$15:$B$18,0)))*24*60,0)),""))</f>
        <v/>
      </c>
      <c r="O809" t="str">
        <f t="shared" si="52"/>
        <v/>
      </c>
      <c r="P809" t="str">
        <f t="shared" si="53"/>
        <v/>
      </c>
      <c r="Q809" t="str">
        <f>IF(OR($P809="",$S809=""),"",IFERROR($P809-INDEX(Config!$E$15:$E$18,MATCH($S809,Config!$B$15:$B$18,0)),""))</f>
        <v/>
      </c>
      <c r="R809" t="str">
        <f t="shared" si="54"/>
        <v/>
      </c>
      <c r="S809" s="6" t="str">
        <f>IF(OR($A809="",$C809=""),"",IFERROR(INDEX(Turno!$C$3:$V$32,MATCH($C809,Turno!$B$3:$B$32,0),MATCH(DAY($A809),Turno!$C$1:$V$1,0)),""))</f>
        <v/>
      </c>
      <c r="T809" t="str">
        <f>IF(OR($E809="",$S809=""),"",IFERROR(MAX(0,ROUND((INDEX(Config!$D$15:$D$18,MATCH($S809,Config!$B$15:$B$18,0))-$E809)*1440,0)),""))</f>
        <v/>
      </c>
      <c r="U809" s="13" t="str">
        <f>IF(OR($N809="",$T809=""),"",IFERROR(MAX(0,1-($N809+$T809+MAX(0,N($Q809)))/ROUND((INDEX(Config!$D$15:$D$18,MATCH($S809,Config!$B$15:$B$18,0))-INDEX(Config!$C$15:$C$18,MATCH($S809,Config!$B$15:$B$18,0)))*1440,0)),""))</f>
        <v/>
      </c>
      <c r="V809" s="5"/>
    </row>
    <row r="810" spans="1:22" x14ac:dyDescent="0.25">
      <c r="A810" s="11"/>
      <c r="B810" s="5"/>
      <c r="C810" s="6" t="str">
        <f>IFERROR(INDEX(Ejecutivos!$B$2:$B$100,MATCH(B810,Ejecutivos!$A$2:$A$100,0)),"")</f>
        <v/>
      </c>
      <c r="D810" s="12"/>
      <c r="E810" s="12"/>
      <c r="F810" s="12"/>
      <c r="G810" s="12"/>
      <c r="H810" s="5"/>
      <c r="I810" s="5"/>
      <c r="J810" s="5"/>
      <c r="K810" s="5"/>
      <c r="L810" s="18">
        <v>0</v>
      </c>
      <c r="M810" t="str">
        <f t="shared" si="51"/>
        <v/>
      </c>
      <c r="N810" t="str">
        <f>IF(OR($D810="",$S810=""),"",IFERROR(MAX(0,ROUND(($D810-INDEX(Config!$C$15:$C$18,MATCH($S810,Config!$B$15:$B$18,0)))*24*60,0)),""))</f>
        <v/>
      </c>
      <c r="O810" t="str">
        <f t="shared" si="52"/>
        <v/>
      </c>
      <c r="P810" t="str">
        <f t="shared" si="53"/>
        <v/>
      </c>
      <c r="Q810" t="str">
        <f>IF(OR($P810="",$S810=""),"",IFERROR($P810-INDEX(Config!$E$15:$E$18,MATCH($S810,Config!$B$15:$B$18,0)),""))</f>
        <v/>
      </c>
      <c r="R810" t="str">
        <f t="shared" si="54"/>
        <v/>
      </c>
      <c r="S810" s="6" t="str">
        <f>IF(OR($A810="",$C810=""),"",IFERROR(INDEX(Turno!$C$3:$V$32,MATCH($C810,Turno!$B$3:$B$32,0),MATCH(DAY($A810),Turno!$C$1:$V$1,0)),""))</f>
        <v/>
      </c>
      <c r="T810" t="str">
        <f>IF(OR($E810="",$S810=""),"",IFERROR(MAX(0,ROUND((INDEX(Config!$D$15:$D$18,MATCH($S810,Config!$B$15:$B$18,0))-$E810)*1440,0)),""))</f>
        <v/>
      </c>
      <c r="U810" s="13" t="str">
        <f>IF(OR($N810="",$T810=""),"",IFERROR(MAX(0,1-($N810+$T810+MAX(0,N($Q810)))/ROUND((INDEX(Config!$D$15:$D$18,MATCH($S810,Config!$B$15:$B$18,0))-INDEX(Config!$C$15:$C$18,MATCH($S810,Config!$B$15:$B$18,0)))*1440,0)),""))</f>
        <v/>
      </c>
      <c r="V810" s="5"/>
    </row>
    <row r="811" spans="1:22" x14ac:dyDescent="0.25">
      <c r="A811" s="11"/>
      <c r="B811" s="5"/>
      <c r="C811" s="6" t="str">
        <f>IFERROR(INDEX(Ejecutivos!$B$2:$B$100,MATCH(B811,Ejecutivos!$A$2:$A$100,0)),"")</f>
        <v/>
      </c>
      <c r="D811" s="12"/>
      <c r="E811" s="12"/>
      <c r="F811" s="12"/>
      <c r="G811" s="12"/>
      <c r="H811" s="5"/>
      <c r="I811" s="5"/>
      <c r="J811" s="5"/>
      <c r="K811" s="5"/>
      <c r="L811" s="18">
        <v>0</v>
      </c>
      <c r="M811" t="str">
        <f t="shared" si="51"/>
        <v/>
      </c>
      <c r="N811" t="str">
        <f>IF(OR($D811="",$S811=""),"",IFERROR(MAX(0,ROUND(($D811-INDEX(Config!$C$15:$C$18,MATCH($S811,Config!$B$15:$B$18,0)))*24*60,0)),""))</f>
        <v/>
      </c>
      <c r="O811" t="str">
        <f t="shared" si="52"/>
        <v/>
      </c>
      <c r="P811" t="str">
        <f t="shared" si="53"/>
        <v/>
      </c>
      <c r="Q811" t="str">
        <f>IF(OR($P811="",$S811=""),"",IFERROR($P811-INDEX(Config!$E$15:$E$18,MATCH($S811,Config!$B$15:$B$18,0)),""))</f>
        <v/>
      </c>
      <c r="R811" t="str">
        <f t="shared" si="54"/>
        <v/>
      </c>
      <c r="S811" s="6" t="str">
        <f>IF(OR($A811="",$C811=""),"",IFERROR(INDEX(Turno!$C$3:$V$32,MATCH($C811,Turno!$B$3:$B$32,0),MATCH(DAY($A811),Turno!$C$1:$V$1,0)),""))</f>
        <v/>
      </c>
      <c r="T811" t="str">
        <f>IF(OR($E811="",$S811=""),"",IFERROR(MAX(0,ROUND((INDEX(Config!$D$15:$D$18,MATCH($S811,Config!$B$15:$B$18,0))-$E811)*1440,0)),""))</f>
        <v/>
      </c>
      <c r="U811" s="13" t="str">
        <f>IF(OR($N811="",$T811=""),"",IFERROR(MAX(0,1-($N811+$T811+MAX(0,N($Q811)))/ROUND((INDEX(Config!$D$15:$D$18,MATCH($S811,Config!$B$15:$B$18,0))-INDEX(Config!$C$15:$C$18,MATCH($S811,Config!$B$15:$B$18,0)))*1440,0)),""))</f>
        <v/>
      </c>
      <c r="V811" s="5"/>
    </row>
    <row r="812" spans="1:22" x14ac:dyDescent="0.25">
      <c r="A812" s="11"/>
      <c r="B812" s="5"/>
      <c r="C812" s="6" t="str">
        <f>IFERROR(INDEX(Ejecutivos!$B$2:$B$100,MATCH(B812,Ejecutivos!$A$2:$A$100,0)),"")</f>
        <v/>
      </c>
      <c r="D812" s="12"/>
      <c r="E812" s="12"/>
      <c r="F812" s="12"/>
      <c r="G812" s="12"/>
      <c r="H812" s="5"/>
      <c r="I812" s="5"/>
      <c r="J812" s="5"/>
      <c r="K812" s="5"/>
      <c r="L812" s="18">
        <v>0</v>
      </c>
      <c r="M812" t="str">
        <f t="shared" si="51"/>
        <v/>
      </c>
      <c r="N812" t="str">
        <f>IF(OR($D812="",$S812=""),"",IFERROR(MAX(0,ROUND(($D812-INDEX(Config!$C$15:$C$18,MATCH($S812,Config!$B$15:$B$18,0)))*24*60,0)),""))</f>
        <v/>
      </c>
      <c r="O812" t="str">
        <f t="shared" si="52"/>
        <v/>
      </c>
      <c r="P812" t="str">
        <f t="shared" si="53"/>
        <v/>
      </c>
      <c r="Q812" t="str">
        <f>IF(OR($P812="",$S812=""),"",IFERROR($P812-INDEX(Config!$E$15:$E$18,MATCH($S812,Config!$B$15:$B$18,0)),""))</f>
        <v/>
      </c>
      <c r="R812" t="str">
        <f t="shared" si="54"/>
        <v/>
      </c>
      <c r="S812" s="6" t="str">
        <f>IF(OR($A812="",$C812=""),"",IFERROR(INDEX(Turno!$C$3:$V$32,MATCH($C812,Turno!$B$3:$B$32,0),MATCH(DAY($A812),Turno!$C$1:$V$1,0)),""))</f>
        <v/>
      </c>
      <c r="T812" t="str">
        <f>IF(OR($E812="",$S812=""),"",IFERROR(MAX(0,ROUND((INDEX(Config!$D$15:$D$18,MATCH($S812,Config!$B$15:$B$18,0))-$E812)*1440,0)),""))</f>
        <v/>
      </c>
      <c r="U812" s="13" t="str">
        <f>IF(OR($N812="",$T812=""),"",IFERROR(MAX(0,1-($N812+$T812+MAX(0,N($Q812)))/ROUND((INDEX(Config!$D$15:$D$18,MATCH($S812,Config!$B$15:$B$18,0))-INDEX(Config!$C$15:$C$18,MATCH($S812,Config!$B$15:$B$18,0)))*1440,0)),""))</f>
        <v/>
      </c>
      <c r="V812" s="5"/>
    </row>
    <row r="813" spans="1:22" x14ac:dyDescent="0.25">
      <c r="A813" s="11"/>
      <c r="B813" s="5"/>
      <c r="C813" s="6" t="str">
        <f>IFERROR(INDEX(Ejecutivos!$B$2:$B$100,MATCH(B813,Ejecutivos!$A$2:$A$100,0)),"")</f>
        <v/>
      </c>
      <c r="D813" s="12"/>
      <c r="E813" s="12"/>
      <c r="F813" s="12"/>
      <c r="G813" s="12"/>
      <c r="H813" s="5"/>
      <c r="I813" s="5"/>
      <c r="J813" s="5"/>
      <c r="K813" s="5"/>
      <c r="L813" s="18">
        <v>0</v>
      </c>
      <c r="M813" t="str">
        <f t="shared" si="51"/>
        <v/>
      </c>
      <c r="N813" t="str">
        <f>IF(OR($D813="",$S813=""),"",IFERROR(MAX(0,ROUND(($D813-INDEX(Config!$C$15:$C$18,MATCH($S813,Config!$B$15:$B$18,0)))*24*60,0)),""))</f>
        <v/>
      </c>
      <c r="O813" t="str">
        <f t="shared" si="52"/>
        <v/>
      </c>
      <c r="P813" t="str">
        <f t="shared" si="53"/>
        <v/>
      </c>
      <c r="Q813" t="str">
        <f>IF(OR($P813="",$S813=""),"",IFERROR($P813-INDEX(Config!$E$15:$E$18,MATCH($S813,Config!$B$15:$B$18,0)),""))</f>
        <v/>
      </c>
      <c r="R813" t="str">
        <f t="shared" si="54"/>
        <v/>
      </c>
      <c r="S813" s="6" t="str">
        <f>IF(OR($A813="",$C813=""),"",IFERROR(INDEX(Turno!$C$3:$V$32,MATCH($C813,Turno!$B$3:$B$32,0),MATCH(DAY($A813),Turno!$C$1:$V$1,0)),""))</f>
        <v/>
      </c>
      <c r="T813" t="str">
        <f>IF(OR($E813="",$S813=""),"",IFERROR(MAX(0,ROUND((INDEX(Config!$D$15:$D$18,MATCH($S813,Config!$B$15:$B$18,0))-$E813)*1440,0)),""))</f>
        <v/>
      </c>
      <c r="U813" s="13" t="str">
        <f>IF(OR($N813="",$T813=""),"",IFERROR(MAX(0,1-($N813+$T813+MAX(0,N($Q813)))/ROUND((INDEX(Config!$D$15:$D$18,MATCH($S813,Config!$B$15:$B$18,0))-INDEX(Config!$C$15:$C$18,MATCH($S813,Config!$B$15:$B$18,0)))*1440,0)),""))</f>
        <v/>
      </c>
      <c r="V813" s="5"/>
    </row>
    <row r="814" spans="1:22" x14ac:dyDescent="0.25">
      <c r="A814" s="11"/>
      <c r="B814" s="5"/>
      <c r="C814" s="6" t="str">
        <f>IFERROR(INDEX(Ejecutivos!$B$2:$B$100,MATCH(B814,Ejecutivos!$A$2:$A$100,0)),"")</f>
        <v/>
      </c>
      <c r="D814" s="12"/>
      <c r="E814" s="12"/>
      <c r="F814" s="12"/>
      <c r="G814" s="12"/>
      <c r="H814" s="5"/>
      <c r="I814" s="5"/>
      <c r="J814" s="5"/>
      <c r="K814" s="5"/>
      <c r="L814" s="18">
        <v>0</v>
      </c>
      <c r="M814" t="str">
        <f t="shared" si="51"/>
        <v/>
      </c>
      <c r="N814" t="str">
        <f>IF(OR($D814="",$S814=""),"",IFERROR(MAX(0,ROUND(($D814-INDEX(Config!$C$15:$C$18,MATCH($S814,Config!$B$15:$B$18,0)))*24*60,0)),""))</f>
        <v/>
      </c>
      <c r="O814" t="str">
        <f t="shared" si="52"/>
        <v/>
      </c>
      <c r="P814" t="str">
        <f t="shared" si="53"/>
        <v/>
      </c>
      <c r="Q814" t="str">
        <f>IF(OR($P814="",$S814=""),"",IFERROR($P814-INDEX(Config!$E$15:$E$18,MATCH($S814,Config!$B$15:$B$18,0)),""))</f>
        <v/>
      </c>
      <c r="R814" t="str">
        <f t="shared" si="54"/>
        <v/>
      </c>
      <c r="S814" s="6" t="str">
        <f>IF(OR($A814="",$C814=""),"",IFERROR(INDEX(Turno!$C$3:$V$32,MATCH($C814,Turno!$B$3:$B$32,0),MATCH(DAY($A814),Turno!$C$1:$V$1,0)),""))</f>
        <v/>
      </c>
      <c r="T814" t="str">
        <f>IF(OR($E814="",$S814=""),"",IFERROR(MAX(0,ROUND((INDEX(Config!$D$15:$D$18,MATCH($S814,Config!$B$15:$B$18,0))-$E814)*1440,0)),""))</f>
        <v/>
      </c>
      <c r="U814" s="13" t="str">
        <f>IF(OR($N814="",$T814=""),"",IFERROR(MAX(0,1-($N814+$T814+MAX(0,N($Q814)))/ROUND((INDEX(Config!$D$15:$D$18,MATCH($S814,Config!$B$15:$B$18,0))-INDEX(Config!$C$15:$C$18,MATCH($S814,Config!$B$15:$B$18,0)))*1440,0)),""))</f>
        <v/>
      </c>
      <c r="V814" s="5"/>
    </row>
    <row r="815" spans="1:22" x14ac:dyDescent="0.25">
      <c r="A815" s="11"/>
      <c r="B815" s="5"/>
      <c r="C815" s="6" t="str">
        <f>IFERROR(INDEX(Ejecutivos!$B$2:$B$100,MATCH(B815,Ejecutivos!$A$2:$A$100,0)),"")</f>
        <v/>
      </c>
      <c r="D815" s="12"/>
      <c r="E815" s="12"/>
      <c r="F815" s="12"/>
      <c r="G815" s="12"/>
      <c r="H815" s="5"/>
      <c r="I815" s="5"/>
      <c r="J815" s="5"/>
      <c r="K815" s="5"/>
      <c r="L815" s="18">
        <v>0</v>
      </c>
      <c r="M815" t="str">
        <f t="shared" si="51"/>
        <v/>
      </c>
      <c r="N815" t="str">
        <f>IF(OR($D815="",$S815=""),"",IFERROR(MAX(0,ROUND(($D815-INDEX(Config!$C$15:$C$18,MATCH($S815,Config!$B$15:$B$18,0)))*24*60,0)),""))</f>
        <v/>
      </c>
      <c r="O815" t="str">
        <f t="shared" si="52"/>
        <v/>
      </c>
      <c r="P815" t="str">
        <f t="shared" si="53"/>
        <v/>
      </c>
      <c r="Q815" t="str">
        <f>IF(OR($P815="",$S815=""),"",IFERROR($P815-INDEX(Config!$E$15:$E$18,MATCH($S815,Config!$B$15:$B$18,0)),""))</f>
        <v/>
      </c>
      <c r="R815" t="str">
        <f t="shared" si="54"/>
        <v/>
      </c>
      <c r="S815" s="6" t="str">
        <f>IF(OR($A815="",$C815=""),"",IFERROR(INDEX(Turno!$C$3:$V$32,MATCH($C815,Turno!$B$3:$B$32,0),MATCH(DAY($A815),Turno!$C$1:$V$1,0)),""))</f>
        <v/>
      </c>
      <c r="T815" t="str">
        <f>IF(OR($E815="",$S815=""),"",IFERROR(MAX(0,ROUND((INDEX(Config!$D$15:$D$18,MATCH($S815,Config!$B$15:$B$18,0))-$E815)*1440,0)),""))</f>
        <v/>
      </c>
      <c r="U815" s="13" t="str">
        <f>IF(OR($N815="",$T815=""),"",IFERROR(MAX(0,1-($N815+$T815+MAX(0,N($Q815)))/ROUND((INDEX(Config!$D$15:$D$18,MATCH($S815,Config!$B$15:$B$18,0))-INDEX(Config!$C$15:$C$18,MATCH($S815,Config!$B$15:$B$18,0)))*1440,0)),""))</f>
        <v/>
      </c>
      <c r="V815" s="5"/>
    </row>
    <row r="816" spans="1:22" x14ac:dyDescent="0.25">
      <c r="A816" s="11"/>
      <c r="B816" s="5"/>
      <c r="C816" s="6" t="str">
        <f>IFERROR(INDEX(Ejecutivos!$B$2:$B$100,MATCH(B816,Ejecutivos!$A$2:$A$100,0)),"")</f>
        <v/>
      </c>
      <c r="D816" s="12"/>
      <c r="E816" s="12"/>
      <c r="F816" s="12"/>
      <c r="G816" s="12"/>
      <c r="H816" s="5"/>
      <c r="I816" s="5"/>
      <c r="J816" s="5"/>
      <c r="K816" s="5"/>
      <c r="L816" s="18">
        <v>0</v>
      </c>
      <c r="M816" t="str">
        <f t="shared" si="51"/>
        <v/>
      </c>
      <c r="N816" t="str">
        <f>IF(OR($D816="",$S816=""),"",IFERROR(MAX(0,ROUND(($D816-INDEX(Config!$C$15:$C$18,MATCH($S816,Config!$B$15:$B$18,0)))*24*60,0)),""))</f>
        <v/>
      </c>
      <c r="O816" t="str">
        <f t="shared" si="52"/>
        <v/>
      </c>
      <c r="P816" t="str">
        <f t="shared" si="53"/>
        <v/>
      </c>
      <c r="Q816" t="str">
        <f>IF(OR($P816="",$S816=""),"",IFERROR($P816-INDEX(Config!$E$15:$E$18,MATCH($S816,Config!$B$15:$B$18,0)),""))</f>
        <v/>
      </c>
      <c r="R816" t="str">
        <f t="shared" si="54"/>
        <v/>
      </c>
      <c r="S816" s="6" t="str">
        <f>IF(OR($A816="",$C816=""),"",IFERROR(INDEX(Turno!$C$3:$V$32,MATCH($C816,Turno!$B$3:$B$32,0),MATCH(DAY($A816),Turno!$C$1:$V$1,0)),""))</f>
        <v/>
      </c>
      <c r="T816" t="str">
        <f>IF(OR($E816="",$S816=""),"",IFERROR(MAX(0,ROUND((INDEX(Config!$D$15:$D$18,MATCH($S816,Config!$B$15:$B$18,0))-$E816)*1440,0)),""))</f>
        <v/>
      </c>
      <c r="U816" s="13" t="str">
        <f>IF(OR($N816="",$T816=""),"",IFERROR(MAX(0,1-($N816+$T816+MAX(0,N($Q816)))/ROUND((INDEX(Config!$D$15:$D$18,MATCH($S816,Config!$B$15:$B$18,0))-INDEX(Config!$C$15:$C$18,MATCH($S816,Config!$B$15:$B$18,0)))*1440,0)),""))</f>
        <v/>
      </c>
      <c r="V816" s="5"/>
    </row>
    <row r="817" spans="1:22" x14ac:dyDescent="0.25">
      <c r="A817" s="11"/>
      <c r="B817" s="5"/>
      <c r="C817" s="6" t="str">
        <f>IFERROR(INDEX(Ejecutivos!$B$2:$B$100,MATCH(B817,Ejecutivos!$A$2:$A$100,0)),"")</f>
        <v/>
      </c>
      <c r="D817" s="12"/>
      <c r="E817" s="12"/>
      <c r="F817" s="12"/>
      <c r="G817" s="12"/>
      <c r="H817" s="5"/>
      <c r="I817" s="5"/>
      <c r="J817" s="5"/>
      <c r="K817" s="5"/>
      <c r="L817" s="18">
        <v>0</v>
      </c>
      <c r="M817" t="str">
        <f t="shared" si="51"/>
        <v/>
      </c>
      <c r="N817" t="str">
        <f>IF(OR($D817="",$S817=""),"",IFERROR(MAX(0,ROUND(($D817-INDEX(Config!$C$15:$C$18,MATCH($S817,Config!$B$15:$B$18,0)))*24*60,0)),""))</f>
        <v/>
      </c>
      <c r="O817" t="str">
        <f t="shared" si="52"/>
        <v/>
      </c>
      <c r="P817" t="str">
        <f t="shared" si="53"/>
        <v/>
      </c>
      <c r="Q817" t="str">
        <f>IF(OR($P817="",$S817=""),"",IFERROR($P817-INDEX(Config!$E$15:$E$18,MATCH($S817,Config!$B$15:$B$18,0)),""))</f>
        <v/>
      </c>
      <c r="R817" t="str">
        <f t="shared" si="54"/>
        <v/>
      </c>
      <c r="S817" s="6" t="str">
        <f>IF(OR($A817="",$C817=""),"",IFERROR(INDEX(Turno!$C$3:$V$32,MATCH($C817,Turno!$B$3:$B$32,0),MATCH(DAY($A817),Turno!$C$1:$V$1,0)),""))</f>
        <v/>
      </c>
      <c r="T817" t="str">
        <f>IF(OR($E817="",$S817=""),"",IFERROR(MAX(0,ROUND((INDEX(Config!$D$15:$D$18,MATCH($S817,Config!$B$15:$B$18,0))-$E817)*1440,0)),""))</f>
        <v/>
      </c>
      <c r="U817" s="13" t="str">
        <f>IF(OR($N817="",$T817=""),"",IFERROR(MAX(0,1-($N817+$T817+MAX(0,N($Q817)))/ROUND((INDEX(Config!$D$15:$D$18,MATCH($S817,Config!$B$15:$B$18,0))-INDEX(Config!$C$15:$C$18,MATCH($S817,Config!$B$15:$B$18,0)))*1440,0)),""))</f>
        <v/>
      </c>
      <c r="V817" s="5"/>
    </row>
    <row r="818" spans="1:22" x14ac:dyDescent="0.25">
      <c r="A818" s="11"/>
      <c r="B818" s="5"/>
      <c r="C818" s="6" t="str">
        <f>IFERROR(INDEX(Ejecutivos!$B$2:$B$100,MATCH(B818,Ejecutivos!$A$2:$A$100,0)),"")</f>
        <v/>
      </c>
      <c r="D818" s="12"/>
      <c r="E818" s="12"/>
      <c r="F818" s="12"/>
      <c r="G818" s="12"/>
      <c r="H818" s="5"/>
      <c r="I818" s="5"/>
      <c r="J818" s="5"/>
      <c r="K818" s="5"/>
      <c r="L818" s="18">
        <v>0</v>
      </c>
      <c r="M818" t="str">
        <f t="shared" si="51"/>
        <v/>
      </c>
      <c r="N818" t="str">
        <f>IF(OR($D818="",$S818=""),"",IFERROR(MAX(0,ROUND(($D818-INDEX(Config!$C$15:$C$18,MATCH($S818,Config!$B$15:$B$18,0)))*24*60,0)),""))</f>
        <v/>
      </c>
      <c r="O818" t="str">
        <f t="shared" si="52"/>
        <v/>
      </c>
      <c r="P818" t="str">
        <f t="shared" si="53"/>
        <v/>
      </c>
      <c r="Q818" t="str">
        <f>IF(OR($P818="",$S818=""),"",IFERROR($P818-INDEX(Config!$E$15:$E$18,MATCH($S818,Config!$B$15:$B$18,0)),""))</f>
        <v/>
      </c>
      <c r="R818" t="str">
        <f t="shared" si="54"/>
        <v/>
      </c>
      <c r="S818" s="6" t="str">
        <f>IF(OR($A818="",$C818=""),"",IFERROR(INDEX(Turno!$C$3:$V$32,MATCH($C818,Turno!$B$3:$B$32,0),MATCH(DAY($A818),Turno!$C$1:$V$1,0)),""))</f>
        <v/>
      </c>
      <c r="T818" t="str">
        <f>IF(OR($E818="",$S818=""),"",IFERROR(MAX(0,ROUND((INDEX(Config!$D$15:$D$18,MATCH($S818,Config!$B$15:$B$18,0))-$E818)*1440,0)),""))</f>
        <v/>
      </c>
      <c r="U818" s="13" t="str">
        <f>IF(OR($N818="",$T818=""),"",IFERROR(MAX(0,1-($N818+$T818+MAX(0,N($Q818)))/ROUND((INDEX(Config!$D$15:$D$18,MATCH($S818,Config!$B$15:$B$18,0))-INDEX(Config!$C$15:$C$18,MATCH($S818,Config!$B$15:$B$18,0)))*1440,0)),""))</f>
        <v/>
      </c>
      <c r="V818" s="5"/>
    </row>
    <row r="819" spans="1:22" x14ac:dyDescent="0.25">
      <c r="A819" s="11"/>
      <c r="B819" s="5"/>
      <c r="C819" s="6" t="str">
        <f>IFERROR(INDEX(Ejecutivos!$B$2:$B$100,MATCH(B819,Ejecutivos!$A$2:$A$100,0)),"")</f>
        <v/>
      </c>
      <c r="D819" s="12"/>
      <c r="E819" s="12"/>
      <c r="F819" s="12"/>
      <c r="G819" s="12"/>
      <c r="H819" s="5"/>
      <c r="I819" s="5"/>
      <c r="J819" s="5"/>
      <c r="K819" s="5"/>
      <c r="L819" s="18">
        <v>0</v>
      </c>
      <c r="M819" t="str">
        <f t="shared" si="51"/>
        <v/>
      </c>
      <c r="N819" t="str">
        <f>IF(OR($D819="",$S819=""),"",IFERROR(MAX(0,ROUND(($D819-INDEX(Config!$C$15:$C$18,MATCH($S819,Config!$B$15:$B$18,0)))*24*60,0)),""))</f>
        <v/>
      </c>
      <c r="O819" t="str">
        <f t="shared" si="52"/>
        <v/>
      </c>
      <c r="P819" t="str">
        <f t="shared" si="53"/>
        <v/>
      </c>
      <c r="Q819" t="str">
        <f>IF(OR($P819="",$S819=""),"",IFERROR($P819-INDEX(Config!$E$15:$E$18,MATCH($S819,Config!$B$15:$B$18,0)),""))</f>
        <v/>
      </c>
      <c r="R819" t="str">
        <f t="shared" si="54"/>
        <v/>
      </c>
      <c r="S819" s="6" t="str">
        <f>IF(OR($A819="",$C819=""),"",IFERROR(INDEX(Turno!$C$3:$V$32,MATCH($C819,Turno!$B$3:$B$32,0),MATCH(DAY($A819),Turno!$C$1:$V$1,0)),""))</f>
        <v/>
      </c>
      <c r="T819" t="str">
        <f>IF(OR($E819="",$S819=""),"",IFERROR(MAX(0,ROUND((INDEX(Config!$D$15:$D$18,MATCH($S819,Config!$B$15:$B$18,0))-$E819)*1440,0)),""))</f>
        <v/>
      </c>
      <c r="U819" s="13" t="str">
        <f>IF(OR($N819="",$T819=""),"",IFERROR(MAX(0,1-($N819+$T819+MAX(0,N($Q819)))/ROUND((INDEX(Config!$D$15:$D$18,MATCH($S819,Config!$B$15:$B$18,0))-INDEX(Config!$C$15:$C$18,MATCH($S819,Config!$B$15:$B$18,0)))*1440,0)),""))</f>
        <v/>
      </c>
      <c r="V819" s="5"/>
    </row>
    <row r="820" spans="1:22" x14ac:dyDescent="0.25">
      <c r="A820" s="11"/>
      <c r="B820" s="5"/>
      <c r="C820" s="6" t="str">
        <f>IFERROR(INDEX(Ejecutivos!$B$2:$B$100,MATCH(B820,Ejecutivos!$A$2:$A$100,0)),"")</f>
        <v/>
      </c>
      <c r="D820" s="12"/>
      <c r="E820" s="12"/>
      <c r="F820" s="12"/>
      <c r="G820" s="12"/>
      <c r="H820" s="5"/>
      <c r="I820" s="5"/>
      <c r="J820" s="5"/>
      <c r="K820" s="5"/>
      <c r="L820" s="18">
        <v>0</v>
      </c>
      <c r="M820" t="str">
        <f t="shared" si="51"/>
        <v/>
      </c>
      <c r="N820" t="str">
        <f>IF(OR($D820="",$S820=""),"",IFERROR(MAX(0,ROUND(($D820-INDEX(Config!$C$15:$C$18,MATCH($S820,Config!$B$15:$B$18,0)))*24*60,0)),""))</f>
        <v/>
      </c>
      <c r="O820" t="str">
        <f t="shared" si="52"/>
        <v/>
      </c>
      <c r="P820" t="str">
        <f t="shared" si="53"/>
        <v/>
      </c>
      <c r="Q820" t="str">
        <f>IF(OR($P820="",$S820=""),"",IFERROR($P820-INDEX(Config!$E$15:$E$18,MATCH($S820,Config!$B$15:$B$18,0)),""))</f>
        <v/>
      </c>
      <c r="R820" t="str">
        <f t="shared" si="54"/>
        <v/>
      </c>
      <c r="S820" s="6" t="str">
        <f>IF(OR($A820="",$C820=""),"",IFERROR(INDEX(Turno!$C$3:$V$32,MATCH($C820,Turno!$B$3:$B$32,0),MATCH(DAY($A820),Turno!$C$1:$V$1,0)),""))</f>
        <v/>
      </c>
      <c r="T820" t="str">
        <f>IF(OR($E820="",$S820=""),"",IFERROR(MAX(0,ROUND((INDEX(Config!$D$15:$D$18,MATCH($S820,Config!$B$15:$B$18,0))-$E820)*1440,0)),""))</f>
        <v/>
      </c>
      <c r="U820" s="13" t="str">
        <f>IF(OR($N820="",$T820=""),"",IFERROR(MAX(0,1-($N820+$T820+MAX(0,N($Q820)))/ROUND((INDEX(Config!$D$15:$D$18,MATCH($S820,Config!$B$15:$B$18,0))-INDEX(Config!$C$15:$C$18,MATCH($S820,Config!$B$15:$B$18,0)))*1440,0)),""))</f>
        <v/>
      </c>
      <c r="V820" s="5"/>
    </row>
    <row r="821" spans="1:22" x14ac:dyDescent="0.25">
      <c r="A821" s="11"/>
      <c r="B821" s="5"/>
      <c r="C821" s="6" t="str">
        <f>IFERROR(INDEX(Ejecutivos!$B$2:$B$100,MATCH(B821,Ejecutivos!$A$2:$A$100,0)),"")</f>
        <v/>
      </c>
      <c r="D821" s="12"/>
      <c r="E821" s="12"/>
      <c r="F821" s="12"/>
      <c r="G821" s="12"/>
      <c r="H821" s="5"/>
      <c r="I821" s="5"/>
      <c r="J821" s="5"/>
      <c r="K821" s="5"/>
      <c r="L821" s="18">
        <v>0</v>
      </c>
      <c r="M821" t="str">
        <f t="shared" ref="M821:M884" si="55">IF(OR(D821="",E821=""),"",ROUND(((E821-D821)*24)-((G821-F821)*24)-((H821+I821)/60),2))</f>
        <v/>
      </c>
      <c r="N821" t="str">
        <f>IF(OR($D821="",$S821=""),"",IFERROR(MAX(0,ROUND(($D821-INDEX(Config!$C$15:$C$18,MATCH($S821,Config!$B$15:$B$18,0)))*24*60,0)),""))</f>
        <v/>
      </c>
      <c r="O821" t="str">
        <f t="shared" ref="O821:O884" si="56">IF(OR(F821="",G821=""),"",ROUND((G821-F821)*24*60,0))</f>
        <v/>
      </c>
      <c r="P821" t="str">
        <f t="shared" ref="P821:P884" si="57">IF(O821="","",O821+H821+I821)</f>
        <v/>
      </c>
      <c r="Q821" t="str">
        <f>IF(OR($P821="",$S821=""),"",IFERROR($P821-INDEX(Config!$E$15:$E$18,MATCH($S821,Config!$B$15:$B$18,0)),""))</f>
        <v/>
      </c>
      <c r="R821" t="str">
        <f t="shared" ref="R821:R884" si="58">IF($A821="","",IF($D821="","Ausente",IF($N821="","",IF($N821&gt;0,"Atrasado","Puntual"))))</f>
        <v/>
      </c>
      <c r="S821" s="6" t="str">
        <f>IF(OR($A821="",$C821=""),"",IFERROR(INDEX(Turno!$C$3:$V$32,MATCH($C821,Turno!$B$3:$B$32,0),MATCH(DAY($A821),Turno!$C$1:$V$1,0)),""))</f>
        <v/>
      </c>
      <c r="T821" t="str">
        <f>IF(OR($E821="",$S821=""),"",IFERROR(MAX(0,ROUND((INDEX(Config!$D$15:$D$18,MATCH($S821,Config!$B$15:$B$18,0))-$E821)*1440,0)),""))</f>
        <v/>
      </c>
      <c r="U821" s="13" t="str">
        <f>IF(OR($N821="",$T821=""),"",IFERROR(MAX(0,1-($N821+$T821+MAX(0,N($Q821)))/ROUND((INDEX(Config!$D$15:$D$18,MATCH($S821,Config!$B$15:$B$18,0))-INDEX(Config!$C$15:$C$18,MATCH($S821,Config!$B$15:$B$18,0)))*1440,0)),""))</f>
        <v/>
      </c>
      <c r="V821" s="5"/>
    </row>
    <row r="822" spans="1:22" x14ac:dyDescent="0.25">
      <c r="A822" s="11"/>
      <c r="B822" s="5"/>
      <c r="C822" s="6" t="str">
        <f>IFERROR(INDEX(Ejecutivos!$B$2:$B$100,MATCH(B822,Ejecutivos!$A$2:$A$100,0)),"")</f>
        <v/>
      </c>
      <c r="D822" s="12"/>
      <c r="E822" s="12"/>
      <c r="F822" s="12"/>
      <c r="G822" s="12"/>
      <c r="H822" s="5"/>
      <c r="I822" s="5"/>
      <c r="J822" s="5"/>
      <c r="K822" s="5"/>
      <c r="L822" s="18">
        <v>0</v>
      </c>
      <c r="M822" t="str">
        <f t="shared" si="55"/>
        <v/>
      </c>
      <c r="N822" t="str">
        <f>IF(OR($D822="",$S822=""),"",IFERROR(MAX(0,ROUND(($D822-INDEX(Config!$C$15:$C$18,MATCH($S822,Config!$B$15:$B$18,0)))*24*60,0)),""))</f>
        <v/>
      </c>
      <c r="O822" t="str">
        <f t="shared" si="56"/>
        <v/>
      </c>
      <c r="P822" t="str">
        <f t="shared" si="57"/>
        <v/>
      </c>
      <c r="Q822" t="str">
        <f>IF(OR($P822="",$S822=""),"",IFERROR($P822-INDEX(Config!$E$15:$E$18,MATCH($S822,Config!$B$15:$B$18,0)),""))</f>
        <v/>
      </c>
      <c r="R822" t="str">
        <f t="shared" si="58"/>
        <v/>
      </c>
      <c r="S822" s="6" t="str">
        <f>IF(OR($A822="",$C822=""),"",IFERROR(INDEX(Turno!$C$3:$V$32,MATCH($C822,Turno!$B$3:$B$32,0),MATCH(DAY($A822),Turno!$C$1:$V$1,0)),""))</f>
        <v/>
      </c>
      <c r="T822" t="str">
        <f>IF(OR($E822="",$S822=""),"",IFERROR(MAX(0,ROUND((INDEX(Config!$D$15:$D$18,MATCH($S822,Config!$B$15:$B$18,0))-$E822)*1440,0)),""))</f>
        <v/>
      </c>
      <c r="U822" s="13" t="str">
        <f>IF(OR($N822="",$T822=""),"",IFERROR(MAX(0,1-($N822+$T822+MAX(0,N($Q822)))/ROUND((INDEX(Config!$D$15:$D$18,MATCH($S822,Config!$B$15:$B$18,0))-INDEX(Config!$C$15:$C$18,MATCH($S822,Config!$B$15:$B$18,0)))*1440,0)),""))</f>
        <v/>
      </c>
      <c r="V822" s="5"/>
    </row>
    <row r="823" spans="1:22" x14ac:dyDescent="0.25">
      <c r="A823" s="11"/>
      <c r="B823" s="5"/>
      <c r="C823" s="6" t="str">
        <f>IFERROR(INDEX(Ejecutivos!$B$2:$B$100,MATCH(B823,Ejecutivos!$A$2:$A$100,0)),"")</f>
        <v/>
      </c>
      <c r="D823" s="12"/>
      <c r="E823" s="12"/>
      <c r="F823" s="12"/>
      <c r="G823" s="12"/>
      <c r="H823" s="5"/>
      <c r="I823" s="5"/>
      <c r="J823" s="5"/>
      <c r="K823" s="5"/>
      <c r="L823" s="18">
        <v>0</v>
      </c>
      <c r="M823" t="str">
        <f t="shared" si="55"/>
        <v/>
      </c>
      <c r="N823" t="str">
        <f>IF(OR($D823="",$S823=""),"",IFERROR(MAX(0,ROUND(($D823-INDEX(Config!$C$15:$C$18,MATCH($S823,Config!$B$15:$B$18,0)))*24*60,0)),""))</f>
        <v/>
      </c>
      <c r="O823" t="str">
        <f t="shared" si="56"/>
        <v/>
      </c>
      <c r="P823" t="str">
        <f t="shared" si="57"/>
        <v/>
      </c>
      <c r="Q823" t="str">
        <f>IF(OR($P823="",$S823=""),"",IFERROR($P823-INDEX(Config!$E$15:$E$18,MATCH($S823,Config!$B$15:$B$18,0)),""))</f>
        <v/>
      </c>
      <c r="R823" t="str">
        <f t="shared" si="58"/>
        <v/>
      </c>
      <c r="S823" s="6" t="str">
        <f>IF(OR($A823="",$C823=""),"",IFERROR(INDEX(Turno!$C$3:$V$32,MATCH($C823,Turno!$B$3:$B$32,0),MATCH(DAY($A823),Turno!$C$1:$V$1,0)),""))</f>
        <v/>
      </c>
      <c r="T823" t="str">
        <f>IF(OR($E823="",$S823=""),"",IFERROR(MAX(0,ROUND((INDEX(Config!$D$15:$D$18,MATCH($S823,Config!$B$15:$B$18,0))-$E823)*1440,0)),""))</f>
        <v/>
      </c>
      <c r="U823" s="13" t="str">
        <f>IF(OR($N823="",$T823=""),"",IFERROR(MAX(0,1-($N823+$T823+MAX(0,N($Q823)))/ROUND((INDEX(Config!$D$15:$D$18,MATCH($S823,Config!$B$15:$B$18,0))-INDEX(Config!$C$15:$C$18,MATCH($S823,Config!$B$15:$B$18,0)))*1440,0)),""))</f>
        <v/>
      </c>
      <c r="V823" s="5"/>
    </row>
    <row r="824" spans="1:22" x14ac:dyDescent="0.25">
      <c r="A824" s="11"/>
      <c r="B824" s="5"/>
      <c r="C824" s="6" t="str">
        <f>IFERROR(INDEX(Ejecutivos!$B$2:$B$100,MATCH(B824,Ejecutivos!$A$2:$A$100,0)),"")</f>
        <v/>
      </c>
      <c r="D824" s="12"/>
      <c r="E824" s="12"/>
      <c r="F824" s="12"/>
      <c r="G824" s="12"/>
      <c r="H824" s="5"/>
      <c r="I824" s="5"/>
      <c r="J824" s="5"/>
      <c r="K824" s="5"/>
      <c r="L824" s="18">
        <v>0</v>
      </c>
      <c r="M824" t="str">
        <f t="shared" si="55"/>
        <v/>
      </c>
      <c r="N824" t="str">
        <f>IF(OR($D824="",$S824=""),"",IFERROR(MAX(0,ROUND(($D824-INDEX(Config!$C$15:$C$18,MATCH($S824,Config!$B$15:$B$18,0)))*24*60,0)),""))</f>
        <v/>
      </c>
      <c r="O824" t="str">
        <f t="shared" si="56"/>
        <v/>
      </c>
      <c r="P824" t="str">
        <f t="shared" si="57"/>
        <v/>
      </c>
      <c r="Q824" t="str">
        <f>IF(OR($P824="",$S824=""),"",IFERROR($P824-INDEX(Config!$E$15:$E$18,MATCH($S824,Config!$B$15:$B$18,0)),""))</f>
        <v/>
      </c>
      <c r="R824" t="str">
        <f t="shared" si="58"/>
        <v/>
      </c>
      <c r="S824" s="6" t="str">
        <f>IF(OR($A824="",$C824=""),"",IFERROR(INDEX(Turno!$C$3:$V$32,MATCH($C824,Turno!$B$3:$B$32,0),MATCH(DAY($A824),Turno!$C$1:$V$1,0)),""))</f>
        <v/>
      </c>
      <c r="T824" t="str">
        <f>IF(OR($E824="",$S824=""),"",IFERROR(MAX(0,ROUND((INDEX(Config!$D$15:$D$18,MATCH($S824,Config!$B$15:$B$18,0))-$E824)*1440,0)),""))</f>
        <v/>
      </c>
      <c r="U824" s="13" t="str">
        <f>IF(OR($N824="",$T824=""),"",IFERROR(MAX(0,1-($N824+$T824+MAX(0,N($Q824)))/ROUND((INDEX(Config!$D$15:$D$18,MATCH($S824,Config!$B$15:$B$18,0))-INDEX(Config!$C$15:$C$18,MATCH($S824,Config!$B$15:$B$18,0)))*1440,0)),""))</f>
        <v/>
      </c>
      <c r="V824" s="5"/>
    </row>
    <row r="825" spans="1:22" x14ac:dyDescent="0.25">
      <c r="A825" s="11"/>
      <c r="B825" s="5"/>
      <c r="C825" s="6" t="str">
        <f>IFERROR(INDEX(Ejecutivos!$B$2:$B$100,MATCH(B825,Ejecutivos!$A$2:$A$100,0)),"")</f>
        <v/>
      </c>
      <c r="D825" s="12"/>
      <c r="E825" s="12"/>
      <c r="F825" s="12"/>
      <c r="G825" s="12"/>
      <c r="H825" s="5"/>
      <c r="I825" s="5"/>
      <c r="J825" s="5"/>
      <c r="K825" s="5"/>
      <c r="L825" s="18">
        <v>0</v>
      </c>
      <c r="M825" t="str">
        <f t="shared" si="55"/>
        <v/>
      </c>
      <c r="N825" t="str">
        <f>IF(OR($D825="",$S825=""),"",IFERROR(MAX(0,ROUND(($D825-INDEX(Config!$C$15:$C$18,MATCH($S825,Config!$B$15:$B$18,0)))*24*60,0)),""))</f>
        <v/>
      </c>
      <c r="O825" t="str">
        <f t="shared" si="56"/>
        <v/>
      </c>
      <c r="P825" t="str">
        <f t="shared" si="57"/>
        <v/>
      </c>
      <c r="Q825" t="str">
        <f>IF(OR($P825="",$S825=""),"",IFERROR($P825-INDEX(Config!$E$15:$E$18,MATCH($S825,Config!$B$15:$B$18,0)),""))</f>
        <v/>
      </c>
      <c r="R825" t="str">
        <f t="shared" si="58"/>
        <v/>
      </c>
      <c r="S825" s="6" t="str">
        <f>IF(OR($A825="",$C825=""),"",IFERROR(INDEX(Turno!$C$3:$V$32,MATCH($C825,Turno!$B$3:$B$32,0),MATCH(DAY($A825),Turno!$C$1:$V$1,0)),""))</f>
        <v/>
      </c>
      <c r="T825" t="str">
        <f>IF(OR($E825="",$S825=""),"",IFERROR(MAX(0,ROUND((INDEX(Config!$D$15:$D$18,MATCH($S825,Config!$B$15:$B$18,0))-$E825)*1440,0)),""))</f>
        <v/>
      </c>
      <c r="U825" s="13" t="str">
        <f>IF(OR($N825="",$T825=""),"",IFERROR(MAX(0,1-($N825+$T825+MAX(0,N($Q825)))/ROUND((INDEX(Config!$D$15:$D$18,MATCH($S825,Config!$B$15:$B$18,0))-INDEX(Config!$C$15:$C$18,MATCH($S825,Config!$B$15:$B$18,0)))*1440,0)),""))</f>
        <v/>
      </c>
      <c r="V825" s="5"/>
    </row>
    <row r="826" spans="1:22" x14ac:dyDescent="0.25">
      <c r="A826" s="11"/>
      <c r="B826" s="5"/>
      <c r="C826" s="6" t="str">
        <f>IFERROR(INDEX(Ejecutivos!$B$2:$B$100,MATCH(B826,Ejecutivos!$A$2:$A$100,0)),"")</f>
        <v/>
      </c>
      <c r="D826" s="12"/>
      <c r="E826" s="12"/>
      <c r="F826" s="12"/>
      <c r="G826" s="12"/>
      <c r="H826" s="5"/>
      <c r="I826" s="5"/>
      <c r="J826" s="5"/>
      <c r="K826" s="5"/>
      <c r="L826" s="18">
        <v>0</v>
      </c>
      <c r="M826" t="str">
        <f t="shared" si="55"/>
        <v/>
      </c>
      <c r="N826" t="str">
        <f>IF(OR($D826="",$S826=""),"",IFERROR(MAX(0,ROUND(($D826-INDEX(Config!$C$15:$C$18,MATCH($S826,Config!$B$15:$B$18,0)))*24*60,0)),""))</f>
        <v/>
      </c>
      <c r="O826" t="str">
        <f t="shared" si="56"/>
        <v/>
      </c>
      <c r="P826" t="str">
        <f t="shared" si="57"/>
        <v/>
      </c>
      <c r="Q826" t="str">
        <f>IF(OR($P826="",$S826=""),"",IFERROR($P826-INDEX(Config!$E$15:$E$18,MATCH($S826,Config!$B$15:$B$18,0)),""))</f>
        <v/>
      </c>
      <c r="R826" t="str">
        <f t="shared" si="58"/>
        <v/>
      </c>
      <c r="S826" s="6" t="str">
        <f>IF(OR($A826="",$C826=""),"",IFERROR(INDEX(Turno!$C$3:$V$32,MATCH($C826,Turno!$B$3:$B$32,0),MATCH(DAY($A826),Turno!$C$1:$V$1,0)),""))</f>
        <v/>
      </c>
      <c r="T826" t="str">
        <f>IF(OR($E826="",$S826=""),"",IFERROR(MAX(0,ROUND((INDEX(Config!$D$15:$D$18,MATCH($S826,Config!$B$15:$B$18,0))-$E826)*1440,0)),""))</f>
        <v/>
      </c>
      <c r="U826" s="13" t="str">
        <f>IF(OR($N826="",$T826=""),"",IFERROR(MAX(0,1-($N826+$T826+MAX(0,N($Q826)))/ROUND((INDEX(Config!$D$15:$D$18,MATCH($S826,Config!$B$15:$B$18,0))-INDEX(Config!$C$15:$C$18,MATCH($S826,Config!$B$15:$B$18,0)))*1440,0)),""))</f>
        <v/>
      </c>
      <c r="V826" s="5"/>
    </row>
    <row r="827" spans="1:22" x14ac:dyDescent="0.25">
      <c r="A827" s="11"/>
      <c r="B827" s="5"/>
      <c r="C827" s="6" t="str">
        <f>IFERROR(INDEX(Ejecutivos!$B$2:$B$100,MATCH(B827,Ejecutivos!$A$2:$A$100,0)),"")</f>
        <v/>
      </c>
      <c r="D827" s="12"/>
      <c r="E827" s="12"/>
      <c r="F827" s="12"/>
      <c r="G827" s="12"/>
      <c r="H827" s="5"/>
      <c r="I827" s="5"/>
      <c r="J827" s="5"/>
      <c r="K827" s="5"/>
      <c r="L827" s="18">
        <v>0</v>
      </c>
      <c r="M827" t="str">
        <f t="shared" si="55"/>
        <v/>
      </c>
      <c r="N827" t="str">
        <f>IF(OR($D827="",$S827=""),"",IFERROR(MAX(0,ROUND(($D827-INDEX(Config!$C$15:$C$18,MATCH($S827,Config!$B$15:$B$18,0)))*24*60,0)),""))</f>
        <v/>
      </c>
      <c r="O827" t="str">
        <f t="shared" si="56"/>
        <v/>
      </c>
      <c r="P827" t="str">
        <f t="shared" si="57"/>
        <v/>
      </c>
      <c r="Q827" t="str">
        <f>IF(OR($P827="",$S827=""),"",IFERROR($P827-INDEX(Config!$E$15:$E$18,MATCH($S827,Config!$B$15:$B$18,0)),""))</f>
        <v/>
      </c>
      <c r="R827" t="str">
        <f t="shared" si="58"/>
        <v/>
      </c>
      <c r="S827" s="6" t="str">
        <f>IF(OR($A827="",$C827=""),"",IFERROR(INDEX(Turno!$C$3:$V$32,MATCH($C827,Turno!$B$3:$B$32,0),MATCH(DAY($A827),Turno!$C$1:$V$1,0)),""))</f>
        <v/>
      </c>
      <c r="T827" t="str">
        <f>IF(OR($E827="",$S827=""),"",IFERROR(MAX(0,ROUND((INDEX(Config!$D$15:$D$18,MATCH($S827,Config!$B$15:$B$18,0))-$E827)*1440,0)),""))</f>
        <v/>
      </c>
      <c r="U827" s="13" t="str">
        <f>IF(OR($N827="",$T827=""),"",IFERROR(MAX(0,1-($N827+$T827+MAX(0,N($Q827)))/ROUND((INDEX(Config!$D$15:$D$18,MATCH($S827,Config!$B$15:$B$18,0))-INDEX(Config!$C$15:$C$18,MATCH($S827,Config!$B$15:$B$18,0)))*1440,0)),""))</f>
        <v/>
      </c>
      <c r="V827" s="5"/>
    </row>
    <row r="828" spans="1:22" x14ac:dyDescent="0.25">
      <c r="A828" s="11"/>
      <c r="B828" s="5"/>
      <c r="C828" s="6" t="str">
        <f>IFERROR(INDEX(Ejecutivos!$B$2:$B$100,MATCH(B828,Ejecutivos!$A$2:$A$100,0)),"")</f>
        <v/>
      </c>
      <c r="D828" s="12"/>
      <c r="E828" s="12"/>
      <c r="F828" s="12"/>
      <c r="G828" s="12"/>
      <c r="H828" s="5"/>
      <c r="I828" s="5"/>
      <c r="J828" s="5"/>
      <c r="K828" s="5"/>
      <c r="L828" s="18">
        <v>0</v>
      </c>
      <c r="M828" t="str">
        <f t="shared" si="55"/>
        <v/>
      </c>
      <c r="N828" t="str">
        <f>IF(OR($D828="",$S828=""),"",IFERROR(MAX(0,ROUND(($D828-INDEX(Config!$C$15:$C$18,MATCH($S828,Config!$B$15:$B$18,0)))*24*60,0)),""))</f>
        <v/>
      </c>
      <c r="O828" t="str">
        <f t="shared" si="56"/>
        <v/>
      </c>
      <c r="P828" t="str">
        <f t="shared" si="57"/>
        <v/>
      </c>
      <c r="Q828" t="str">
        <f>IF(OR($P828="",$S828=""),"",IFERROR($P828-INDEX(Config!$E$15:$E$18,MATCH($S828,Config!$B$15:$B$18,0)),""))</f>
        <v/>
      </c>
      <c r="R828" t="str">
        <f t="shared" si="58"/>
        <v/>
      </c>
      <c r="S828" s="6" t="str">
        <f>IF(OR($A828="",$C828=""),"",IFERROR(INDEX(Turno!$C$3:$V$32,MATCH($C828,Turno!$B$3:$B$32,0),MATCH(DAY($A828),Turno!$C$1:$V$1,0)),""))</f>
        <v/>
      </c>
      <c r="T828" t="str">
        <f>IF(OR($E828="",$S828=""),"",IFERROR(MAX(0,ROUND((INDEX(Config!$D$15:$D$18,MATCH($S828,Config!$B$15:$B$18,0))-$E828)*1440,0)),""))</f>
        <v/>
      </c>
      <c r="U828" s="13" t="str">
        <f>IF(OR($N828="",$T828=""),"",IFERROR(MAX(0,1-($N828+$T828+MAX(0,N($Q828)))/ROUND((INDEX(Config!$D$15:$D$18,MATCH($S828,Config!$B$15:$B$18,0))-INDEX(Config!$C$15:$C$18,MATCH($S828,Config!$B$15:$B$18,0)))*1440,0)),""))</f>
        <v/>
      </c>
      <c r="V828" s="5"/>
    </row>
    <row r="829" spans="1:22" x14ac:dyDescent="0.25">
      <c r="A829" s="11"/>
      <c r="B829" s="5"/>
      <c r="C829" s="6" t="str">
        <f>IFERROR(INDEX(Ejecutivos!$B$2:$B$100,MATCH(B829,Ejecutivos!$A$2:$A$100,0)),"")</f>
        <v/>
      </c>
      <c r="D829" s="12"/>
      <c r="E829" s="12"/>
      <c r="F829" s="12"/>
      <c r="G829" s="12"/>
      <c r="H829" s="5"/>
      <c r="I829" s="5"/>
      <c r="J829" s="5"/>
      <c r="K829" s="5"/>
      <c r="L829" s="18">
        <v>0</v>
      </c>
      <c r="M829" t="str">
        <f t="shared" si="55"/>
        <v/>
      </c>
      <c r="N829" t="str">
        <f>IF(OR($D829="",$S829=""),"",IFERROR(MAX(0,ROUND(($D829-INDEX(Config!$C$15:$C$18,MATCH($S829,Config!$B$15:$B$18,0)))*24*60,0)),""))</f>
        <v/>
      </c>
      <c r="O829" t="str">
        <f t="shared" si="56"/>
        <v/>
      </c>
      <c r="P829" t="str">
        <f t="shared" si="57"/>
        <v/>
      </c>
      <c r="Q829" t="str">
        <f>IF(OR($P829="",$S829=""),"",IFERROR($P829-INDEX(Config!$E$15:$E$18,MATCH($S829,Config!$B$15:$B$18,0)),""))</f>
        <v/>
      </c>
      <c r="R829" t="str">
        <f t="shared" si="58"/>
        <v/>
      </c>
      <c r="S829" s="6" t="str">
        <f>IF(OR($A829="",$C829=""),"",IFERROR(INDEX(Turno!$C$3:$V$32,MATCH($C829,Turno!$B$3:$B$32,0),MATCH(DAY($A829),Turno!$C$1:$V$1,0)),""))</f>
        <v/>
      </c>
      <c r="T829" t="str">
        <f>IF(OR($E829="",$S829=""),"",IFERROR(MAX(0,ROUND((INDEX(Config!$D$15:$D$18,MATCH($S829,Config!$B$15:$B$18,0))-$E829)*1440,0)),""))</f>
        <v/>
      </c>
      <c r="U829" s="13" t="str">
        <f>IF(OR($N829="",$T829=""),"",IFERROR(MAX(0,1-($N829+$T829+MAX(0,N($Q829)))/ROUND((INDEX(Config!$D$15:$D$18,MATCH($S829,Config!$B$15:$B$18,0))-INDEX(Config!$C$15:$C$18,MATCH($S829,Config!$B$15:$B$18,0)))*1440,0)),""))</f>
        <v/>
      </c>
      <c r="V829" s="5"/>
    </row>
    <row r="830" spans="1:22" x14ac:dyDescent="0.25">
      <c r="A830" s="11"/>
      <c r="B830" s="5"/>
      <c r="C830" s="6" t="str">
        <f>IFERROR(INDEX(Ejecutivos!$B$2:$B$100,MATCH(B830,Ejecutivos!$A$2:$A$100,0)),"")</f>
        <v/>
      </c>
      <c r="D830" s="12"/>
      <c r="E830" s="12"/>
      <c r="F830" s="12"/>
      <c r="G830" s="12"/>
      <c r="H830" s="5"/>
      <c r="I830" s="5"/>
      <c r="J830" s="5"/>
      <c r="K830" s="5"/>
      <c r="L830" s="18">
        <v>0</v>
      </c>
      <c r="M830" t="str">
        <f t="shared" si="55"/>
        <v/>
      </c>
      <c r="N830" t="str">
        <f>IF(OR($D830="",$S830=""),"",IFERROR(MAX(0,ROUND(($D830-INDEX(Config!$C$15:$C$18,MATCH($S830,Config!$B$15:$B$18,0)))*24*60,0)),""))</f>
        <v/>
      </c>
      <c r="O830" t="str">
        <f t="shared" si="56"/>
        <v/>
      </c>
      <c r="P830" t="str">
        <f t="shared" si="57"/>
        <v/>
      </c>
      <c r="Q830" t="str">
        <f>IF(OR($P830="",$S830=""),"",IFERROR($P830-INDEX(Config!$E$15:$E$18,MATCH($S830,Config!$B$15:$B$18,0)),""))</f>
        <v/>
      </c>
      <c r="R830" t="str">
        <f t="shared" si="58"/>
        <v/>
      </c>
      <c r="S830" s="6" t="str">
        <f>IF(OR($A830="",$C830=""),"",IFERROR(INDEX(Turno!$C$3:$V$32,MATCH($C830,Turno!$B$3:$B$32,0),MATCH(DAY($A830),Turno!$C$1:$V$1,0)),""))</f>
        <v/>
      </c>
      <c r="T830" t="str">
        <f>IF(OR($E830="",$S830=""),"",IFERROR(MAX(0,ROUND((INDEX(Config!$D$15:$D$18,MATCH($S830,Config!$B$15:$B$18,0))-$E830)*1440,0)),""))</f>
        <v/>
      </c>
      <c r="U830" s="13" t="str">
        <f>IF(OR($N830="",$T830=""),"",IFERROR(MAX(0,1-($N830+$T830+MAX(0,N($Q830)))/ROUND((INDEX(Config!$D$15:$D$18,MATCH($S830,Config!$B$15:$B$18,0))-INDEX(Config!$C$15:$C$18,MATCH($S830,Config!$B$15:$B$18,0)))*1440,0)),""))</f>
        <v/>
      </c>
      <c r="V830" s="5"/>
    </row>
    <row r="831" spans="1:22" x14ac:dyDescent="0.25">
      <c r="A831" s="11"/>
      <c r="B831" s="5"/>
      <c r="C831" s="6" t="str">
        <f>IFERROR(INDEX(Ejecutivos!$B$2:$B$100,MATCH(B831,Ejecutivos!$A$2:$A$100,0)),"")</f>
        <v/>
      </c>
      <c r="D831" s="12"/>
      <c r="E831" s="12"/>
      <c r="F831" s="12"/>
      <c r="G831" s="12"/>
      <c r="H831" s="5"/>
      <c r="I831" s="5"/>
      <c r="J831" s="5"/>
      <c r="K831" s="5"/>
      <c r="L831" s="18">
        <v>0</v>
      </c>
      <c r="M831" t="str">
        <f t="shared" si="55"/>
        <v/>
      </c>
      <c r="N831" t="str">
        <f>IF(OR($D831="",$S831=""),"",IFERROR(MAX(0,ROUND(($D831-INDEX(Config!$C$15:$C$18,MATCH($S831,Config!$B$15:$B$18,0)))*24*60,0)),""))</f>
        <v/>
      </c>
      <c r="O831" t="str">
        <f t="shared" si="56"/>
        <v/>
      </c>
      <c r="P831" t="str">
        <f t="shared" si="57"/>
        <v/>
      </c>
      <c r="Q831" t="str">
        <f>IF(OR($P831="",$S831=""),"",IFERROR($P831-INDEX(Config!$E$15:$E$18,MATCH($S831,Config!$B$15:$B$18,0)),""))</f>
        <v/>
      </c>
      <c r="R831" t="str">
        <f t="shared" si="58"/>
        <v/>
      </c>
      <c r="S831" s="6" t="str">
        <f>IF(OR($A831="",$C831=""),"",IFERROR(INDEX(Turno!$C$3:$V$32,MATCH($C831,Turno!$B$3:$B$32,0),MATCH(DAY($A831),Turno!$C$1:$V$1,0)),""))</f>
        <v/>
      </c>
      <c r="T831" t="str">
        <f>IF(OR($E831="",$S831=""),"",IFERROR(MAX(0,ROUND((INDEX(Config!$D$15:$D$18,MATCH($S831,Config!$B$15:$B$18,0))-$E831)*1440,0)),""))</f>
        <v/>
      </c>
      <c r="U831" s="13" t="str">
        <f>IF(OR($N831="",$T831=""),"",IFERROR(MAX(0,1-($N831+$T831+MAX(0,N($Q831)))/ROUND((INDEX(Config!$D$15:$D$18,MATCH($S831,Config!$B$15:$B$18,0))-INDEX(Config!$C$15:$C$18,MATCH($S831,Config!$B$15:$B$18,0)))*1440,0)),""))</f>
        <v/>
      </c>
      <c r="V831" s="5"/>
    </row>
    <row r="832" spans="1:22" x14ac:dyDescent="0.25">
      <c r="A832" s="11"/>
      <c r="B832" s="5"/>
      <c r="C832" s="6" t="str">
        <f>IFERROR(INDEX(Ejecutivos!$B$2:$B$100,MATCH(B832,Ejecutivos!$A$2:$A$100,0)),"")</f>
        <v/>
      </c>
      <c r="D832" s="12"/>
      <c r="E832" s="12"/>
      <c r="F832" s="12"/>
      <c r="G832" s="12"/>
      <c r="H832" s="5"/>
      <c r="I832" s="5"/>
      <c r="J832" s="5"/>
      <c r="K832" s="5"/>
      <c r="L832" s="18">
        <v>0</v>
      </c>
      <c r="M832" t="str">
        <f t="shared" si="55"/>
        <v/>
      </c>
      <c r="N832" t="str">
        <f>IF(OR($D832="",$S832=""),"",IFERROR(MAX(0,ROUND(($D832-INDEX(Config!$C$15:$C$18,MATCH($S832,Config!$B$15:$B$18,0)))*24*60,0)),""))</f>
        <v/>
      </c>
      <c r="O832" t="str">
        <f t="shared" si="56"/>
        <v/>
      </c>
      <c r="P832" t="str">
        <f t="shared" si="57"/>
        <v/>
      </c>
      <c r="Q832" t="str">
        <f>IF(OR($P832="",$S832=""),"",IFERROR($P832-INDEX(Config!$E$15:$E$18,MATCH($S832,Config!$B$15:$B$18,0)),""))</f>
        <v/>
      </c>
      <c r="R832" t="str">
        <f t="shared" si="58"/>
        <v/>
      </c>
      <c r="S832" s="6" t="str">
        <f>IF(OR($A832="",$C832=""),"",IFERROR(INDEX(Turno!$C$3:$V$32,MATCH($C832,Turno!$B$3:$B$32,0),MATCH(DAY($A832),Turno!$C$1:$V$1,0)),""))</f>
        <v/>
      </c>
      <c r="T832" t="str">
        <f>IF(OR($E832="",$S832=""),"",IFERROR(MAX(0,ROUND((INDEX(Config!$D$15:$D$18,MATCH($S832,Config!$B$15:$B$18,0))-$E832)*1440,0)),""))</f>
        <v/>
      </c>
      <c r="U832" s="13" t="str">
        <f>IF(OR($N832="",$T832=""),"",IFERROR(MAX(0,1-($N832+$T832+MAX(0,N($Q832)))/ROUND((INDEX(Config!$D$15:$D$18,MATCH($S832,Config!$B$15:$B$18,0))-INDEX(Config!$C$15:$C$18,MATCH($S832,Config!$B$15:$B$18,0)))*1440,0)),""))</f>
        <v/>
      </c>
      <c r="V832" s="5"/>
    </row>
    <row r="833" spans="1:22" x14ac:dyDescent="0.25">
      <c r="A833" s="11"/>
      <c r="B833" s="5"/>
      <c r="C833" s="6" t="str">
        <f>IFERROR(INDEX(Ejecutivos!$B$2:$B$100,MATCH(B833,Ejecutivos!$A$2:$A$100,0)),"")</f>
        <v/>
      </c>
      <c r="D833" s="12"/>
      <c r="E833" s="12"/>
      <c r="F833" s="12"/>
      <c r="G833" s="12"/>
      <c r="H833" s="5"/>
      <c r="I833" s="5"/>
      <c r="J833" s="5"/>
      <c r="K833" s="5"/>
      <c r="L833" s="18">
        <v>0</v>
      </c>
      <c r="M833" t="str">
        <f t="shared" si="55"/>
        <v/>
      </c>
      <c r="N833" t="str">
        <f>IF(OR($D833="",$S833=""),"",IFERROR(MAX(0,ROUND(($D833-INDEX(Config!$C$15:$C$18,MATCH($S833,Config!$B$15:$B$18,0)))*24*60,0)),""))</f>
        <v/>
      </c>
      <c r="O833" t="str">
        <f t="shared" si="56"/>
        <v/>
      </c>
      <c r="P833" t="str">
        <f t="shared" si="57"/>
        <v/>
      </c>
      <c r="Q833" t="str">
        <f>IF(OR($P833="",$S833=""),"",IFERROR($P833-INDEX(Config!$E$15:$E$18,MATCH($S833,Config!$B$15:$B$18,0)),""))</f>
        <v/>
      </c>
      <c r="R833" t="str">
        <f t="shared" si="58"/>
        <v/>
      </c>
      <c r="S833" s="6" t="str">
        <f>IF(OR($A833="",$C833=""),"",IFERROR(INDEX(Turno!$C$3:$V$32,MATCH($C833,Turno!$B$3:$B$32,0),MATCH(DAY($A833),Turno!$C$1:$V$1,0)),""))</f>
        <v/>
      </c>
      <c r="T833" t="str">
        <f>IF(OR($E833="",$S833=""),"",IFERROR(MAX(0,ROUND((INDEX(Config!$D$15:$D$18,MATCH($S833,Config!$B$15:$B$18,0))-$E833)*1440,0)),""))</f>
        <v/>
      </c>
      <c r="U833" s="13" t="str">
        <f>IF(OR($N833="",$T833=""),"",IFERROR(MAX(0,1-($N833+$T833+MAX(0,N($Q833)))/ROUND((INDEX(Config!$D$15:$D$18,MATCH($S833,Config!$B$15:$B$18,0))-INDEX(Config!$C$15:$C$18,MATCH($S833,Config!$B$15:$B$18,0)))*1440,0)),""))</f>
        <v/>
      </c>
      <c r="V833" s="5"/>
    </row>
    <row r="834" spans="1:22" x14ac:dyDescent="0.25">
      <c r="A834" s="11"/>
      <c r="B834" s="5"/>
      <c r="C834" s="6" t="str">
        <f>IFERROR(INDEX(Ejecutivos!$B$2:$B$100,MATCH(B834,Ejecutivos!$A$2:$A$100,0)),"")</f>
        <v/>
      </c>
      <c r="D834" s="12"/>
      <c r="E834" s="12"/>
      <c r="F834" s="12"/>
      <c r="G834" s="12"/>
      <c r="H834" s="5"/>
      <c r="I834" s="5"/>
      <c r="J834" s="5"/>
      <c r="K834" s="5"/>
      <c r="L834" s="18">
        <v>0</v>
      </c>
      <c r="M834" t="str">
        <f t="shared" si="55"/>
        <v/>
      </c>
      <c r="N834" t="str">
        <f>IF(OR($D834="",$S834=""),"",IFERROR(MAX(0,ROUND(($D834-INDEX(Config!$C$15:$C$18,MATCH($S834,Config!$B$15:$B$18,0)))*24*60,0)),""))</f>
        <v/>
      </c>
      <c r="O834" t="str">
        <f t="shared" si="56"/>
        <v/>
      </c>
      <c r="P834" t="str">
        <f t="shared" si="57"/>
        <v/>
      </c>
      <c r="Q834" t="str">
        <f>IF(OR($P834="",$S834=""),"",IFERROR($P834-INDEX(Config!$E$15:$E$18,MATCH($S834,Config!$B$15:$B$18,0)),""))</f>
        <v/>
      </c>
      <c r="R834" t="str">
        <f t="shared" si="58"/>
        <v/>
      </c>
      <c r="S834" s="6" t="str">
        <f>IF(OR($A834="",$C834=""),"",IFERROR(INDEX(Turno!$C$3:$V$32,MATCH($C834,Turno!$B$3:$B$32,0),MATCH(DAY($A834),Turno!$C$1:$V$1,0)),""))</f>
        <v/>
      </c>
      <c r="T834" t="str">
        <f>IF(OR($E834="",$S834=""),"",IFERROR(MAX(0,ROUND((INDEX(Config!$D$15:$D$18,MATCH($S834,Config!$B$15:$B$18,0))-$E834)*1440,0)),""))</f>
        <v/>
      </c>
      <c r="U834" s="13" t="str">
        <f>IF(OR($N834="",$T834=""),"",IFERROR(MAX(0,1-($N834+$T834+MAX(0,N($Q834)))/ROUND((INDEX(Config!$D$15:$D$18,MATCH($S834,Config!$B$15:$B$18,0))-INDEX(Config!$C$15:$C$18,MATCH($S834,Config!$B$15:$B$18,0)))*1440,0)),""))</f>
        <v/>
      </c>
      <c r="V834" s="5"/>
    </row>
    <row r="835" spans="1:22" x14ac:dyDescent="0.25">
      <c r="A835" s="11"/>
      <c r="B835" s="5"/>
      <c r="C835" s="6" t="str">
        <f>IFERROR(INDEX(Ejecutivos!$B$2:$B$100,MATCH(B835,Ejecutivos!$A$2:$A$100,0)),"")</f>
        <v/>
      </c>
      <c r="D835" s="12"/>
      <c r="E835" s="12"/>
      <c r="F835" s="12"/>
      <c r="G835" s="12"/>
      <c r="H835" s="5"/>
      <c r="I835" s="5"/>
      <c r="J835" s="5"/>
      <c r="K835" s="5"/>
      <c r="L835" s="18">
        <v>0</v>
      </c>
      <c r="M835" t="str">
        <f t="shared" si="55"/>
        <v/>
      </c>
      <c r="N835" t="str">
        <f>IF(OR($D835="",$S835=""),"",IFERROR(MAX(0,ROUND(($D835-INDEX(Config!$C$15:$C$18,MATCH($S835,Config!$B$15:$B$18,0)))*24*60,0)),""))</f>
        <v/>
      </c>
      <c r="O835" t="str">
        <f t="shared" si="56"/>
        <v/>
      </c>
      <c r="P835" t="str">
        <f t="shared" si="57"/>
        <v/>
      </c>
      <c r="Q835" t="str">
        <f>IF(OR($P835="",$S835=""),"",IFERROR($P835-INDEX(Config!$E$15:$E$18,MATCH($S835,Config!$B$15:$B$18,0)),""))</f>
        <v/>
      </c>
      <c r="R835" t="str">
        <f t="shared" si="58"/>
        <v/>
      </c>
      <c r="S835" s="6" t="str">
        <f>IF(OR($A835="",$C835=""),"",IFERROR(INDEX(Turno!$C$3:$V$32,MATCH($C835,Turno!$B$3:$B$32,0),MATCH(DAY($A835),Turno!$C$1:$V$1,0)),""))</f>
        <v/>
      </c>
      <c r="T835" t="str">
        <f>IF(OR($E835="",$S835=""),"",IFERROR(MAX(0,ROUND((INDEX(Config!$D$15:$D$18,MATCH($S835,Config!$B$15:$B$18,0))-$E835)*1440,0)),""))</f>
        <v/>
      </c>
      <c r="U835" s="13" t="str">
        <f>IF(OR($N835="",$T835=""),"",IFERROR(MAX(0,1-($N835+$T835+MAX(0,N($Q835)))/ROUND((INDEX(Config!$D$15:$D$18,MATCH($S835,Config!$B$15:$B$18,0))-INDEX(Config!$C$15:$C$18,MATCH($S835,Config!$B$15:$B$18,0)))*1440,0)),""))</f>
        <v/>
      </c>
      <c r="V835" s="5"/>
    </row>
    <row r="836" spans="1:22" x14ac:dyDescent="0.25">
      <c r="A836" s="11"/>
      <c r="B836" s="5"/>
      <c r="C836" s="6" t="str">
        <f>IFERROR(INDEX(Ejecutivos!$B$2:$B$100,MATCH(B836,Ejecutivos!$A$2:$A$100,0)),"")</f>
        <v/>
      </c>
      <c r="D836" s="12"/>
      <c r="E836" s="12"/>
      <c r="F836" s="12"/>
      <c r="G836" s="12"/>
      <c r="H836" s="5"/>
      <c r="I836" s="5"/>
      <c r="J836" s="5"/>
      <c r="K836" s="5"/>
      <c r="L836" s="18">
        <v>0</v>
      </c>
      <c r="M836" t="str">
        <f t="shared" si="55"/>
        <v/>
      </c>
      <c r="N836" t="str">
        <f>IF(OR($D836="",$S836=""),"",IFERROR(MAX(0,ROUND(($D836-INDEX(Config!$C$15:$C$18,MATCH($S836,Config!$B$15:$B$18,0)))*24*60,0)),""))</f>
        <v/>
      </c>
      <c r="O836" t="str">
        <f t="shared" si="56"/>
        <v/>
      </c>
      <c r="P836" t="str">
        <f t="shared" si="57"/>
        <v/>
      </c>
      <c r="Q836" t="str">
        <f>IF(OR($P836="",$S836=""),"",IFERROR($P836-INDEX(Config!$E$15:$E$18,MATCH($S836,Config!$B$15:$B$18,0)),""))</f>
        <v/>
      </c>
      <c r="R836" t="str">
        <f t="shared" si="58"/>
        <v/>
      </c>
      <c r="S836" s="6" t="str">
        <f>IF(OR($A836="",$C836=""),"",IFERROR(INDEX(Turno!$C$3:$V$32,MATCH($C836,Turno!$B$3:$B$32,0),MATCH(DAY($A836),Turno!$C$1:$V$1,0)),""))</f>
        <v/>
      </c>
      <c r="T836" t="str">
        <f>IF(OR($E836="",$S836=""),"",IFERROR(MAX(0,ROUND((INDEX(Config!$D$15:$D$18,MATCH($S836,Config!$B$15:$B$18,0))-$E836)*1440,0)),""))</f>
        <v/>
      </c>
      <c r="U836" s="13" t="str">
        <f>IF(OR($N836="",$T836=""),"",IFERROR(MAX(0,1-($N836+$T836+MAX(0,N($Q836)))/ROUND((INDEX(Config!$D$15:$D$18,MATCH($S836,Config!$B$15:$B$18,0))-INDEX(Config!$C$15:$C$18,MATCH($S836,Config!$B$15:$B$18,0)))*1440,0)),""))</f>
        <v/>
      </c>
      <c r="V836" s="5"/>
    </row>
    <row r="837" spans="1:22" x14ac:dyDescent="0.25">
      <c r="A837" s="11"/>
      <c r="B837" s="5"/>
      <c r="C837" s="6" t="str">
        <f>IFERROR(INDEX(Ejecutivos!$B$2:$B$100,MATCH(B837,Ejecutivos!$A$2:$A$100,0)),"")</f>
        <v/>
      </c>
      <c r="D837" s="12"/>
      <c r="E837" s="12"/>
      <c r="F837" s="12"/>
      <c r="G837" s="12"/>
      <c r="H837" s="5"/>
      <c r="I837" s="5"/>
      <c r="J837" s="5"/>
      <c r="K837" s="5"/>
      <c r="L837" s="18">
        <v>0</v>
      </c>
      <c r="M837" t="str">
        <f t="shared" si="55"/>
        <v/>
      </c>
      <c r="N837" t="str">
        <f>IF(OR($D837="",$S837=""),"",IFERROR(MAX(0,ROUND(($D837-INDEX(Config!$C$15:$C$18,MATCH($S837,Config!$B$15:$B$18,0)))*24*60,0)),""))</f>
        <v/>
      </c>
      <c r="O837" t="str">
        <f t="shared" si="56"/>
        <v/>
      </c>
      <c r="P837" t="str">
        <f t="shared" si="57"/>
        <v/>
      </c>
      <c r="Q837" t="str">
        <f>IF(OR($P837="",$S837=""),"",IFERROR($P837-INDEX(Config!$E$15:$E$18,MATCH($S837,Config!$B$15:$B$18,0)),""))</f>
        <v/>
      </c>
      <c r="R837" t="str">
        <f t="shared" si="58"/>
        <v/>
      </c>
      <c r="S837" s="6" t="str">
        <f>IF(OR($A837="",$C837=""),"",IFERROR(INDEX(Turno!$C$3:$V$32,MATCH($C837,Turno!$B$3:$B$32,0),MATCH(DAY($A837),Turno!$C$1:$V$1,0)),""))</f>
        <v/>
      </c>
      <c r="T837" t="str">
        <f>IF(OR($E837="",$S837=""),"",IFERROR(MAX(0,ROUND((INDEX(Config!$D$15:$D$18,MATCH($S837,Config!$B$15:$B$18,0))-$E837)*1440,0)),""))</f>
        <v/>
      </c>
      <c r="U837" s="13" t="str">
        <f>IF(OR($N837="",$T837=""),"",IFERROR(MAX(0,1-($N837+$T837+MAX(0,N($Q837)))/ROUND((INDEX(Config!$D$15:$D$18,MATCH($S837,Config!$B$15:$B$18,0))-INDEX(Config!$C$15:$C$18,MATCH($S837,Config!$B$15:$B$18,0)))*1440,0)),""))</f>
        <v/>
      </c>
      <c r="V837" s="5"/>
    </row>
    <row r="838" spans="1:22" x14ac:dyDescent="0.25">
      <c r="A838" s="11"/>
      <c r="B838" s="5"/>
      <c r="C838" s="6" t="str">
        <f>IFERROR(INDEX(Ejecutivos!$B$2:$B$100,MATCH(B838,Ejecutivos!$A$2:$A$100,0)),"")</f>
        <v/>
      </c>
      <c r="D838" s="12"/>
      <c r="E838" s="12"/>
      <c r="F838" s="12"/>
      <c r="G838" s="12"/>
      <c r="H838" s="5"/>
      <c r="I838" s="5"/>
      <c r="J838" s="5"/>
      <c r="K838" s="5"/>
      <c r="L838" s="18">
        <v>0</v>
      </c>
      <c r="M838" t="str">
        <f t="shared" si="55"/>
        <v/>
      </c>
      <c r="N838" t="str">
        <f>IF(OR($D838="",$S838=""),"",IFERROR(MAX(0,ROUND(($D838-INDEX(Config!$C$15:$C$18,MATCH($S838,Config!$B$15:$B$18,0)))*24*60,0)),""))</f>
        <v/>
      </c>
      <c r="O838" t="str">
        <f t="shared" si="56"/>
        <v/>
      </c>
      <c r="P838" t="str">
        <f t="shared" si="57"/>
        <v/>
      </c>
      <c r="Q838" t="str">
        <f>IF(OR($P838="",$S838=""),"",IFERROR($P838-INDEX(Config!$E$15:$E$18,MATCH($S838,Config!$B$15:$B$18,0)),""))</f>
        <v/>
      </c>
      <c r="R838" t="str">
        <f t="shared" si="58"/>
        <v/>
      </c>
      <c r="S838" s="6" t="str">
        <f>IF(OR($A838="",$C838=""),"",IFERROR(INDEX(Turno!$C$3:$V$32,MATCH($C838,Turno!$B$3:$B$32,0),MATCH(DAY($A838),Turno!$C$1:$V$1,0)),""))</f>
        <v/>
      </c>
      <c r="T838" t="str">
        <f>IF(OR($E838="",$S838=""),"",IFERROR(MAX(0,ROUND((INDEX(Config!$D$15:$D$18,MATCH($S838,Config!$B$15:$B$18,0))-$E838)*1440,0)),""))</f>
        <v/>
      </c>
      <c r="U838" s="13" t="str">
        <f>IF(OR($N838="",$T838=""),"",IFERROR(MAX(0,1-($N838+$T838+MAX(0,N($Q838)))/ROUND((INDEX(Config!$D$15:$D$18,MATCH($S838,Config!$B$15:$B$18,0))-INDEX(Config!$C$15:$C$18,MATCH($S838,Config!$B$15:$B$18,0)))*1440,0)),""))</f>
        <v/>
      </c>
      <c r="V838" s="5"/>
    </row>
    <row r="839" spans="1:22" x14ac:dyDescent="0.25">
      <c r="A839" s="11"/>
      <c r="B839" s="5"/>
      <c r="C839" s="6" t="str">
        <f>IFERROR(INDEX(Ejecutivos!$B$2:$B$100,MATCH(B839,Ejecutivos!$A$2:$A$100,0)),"")</f>
        <v/>
      </c>
      <c r="D839" s="12"/>
      <c r="E839" s="12"/>
      <c r="F839" s="12"/>
      <c r="G839" s="12"/>
      <c r="H839" s="5"/>
      <c r="I839" s="5"/>
      <c r="J839" s="5"/>
      <c r="K839" s="5"/>
      <c r="L839" s="18">
        <v>0</v>
      </c>
      <c r="M839" t="str">
        <f t="shared" si="55"/>
        <v/>
      </c>
      <c r="N839" t="str">
        <f>IF(OR($D839="",$S839=""),"",IFERROR(MAX(0,ROUND(($D839-INDEX(Config!$C$15:$C$18,MATCH($S839,Config!$B$15:$B$18,0)))*24*60,0)),""))</f>
        <v/>
      </c>
      <c r="O839" t="str">
        <f t="shared" si="56"/>
        <v/>
      </c>
      <c r="P839" t="str">
        <f t="shared" si="57"/>
        <v/>
      </c>
      <c r="Q839" t="str">
        <f>IF(OR($P839="",$S839=""),"",IFERROR($P839-INDEX(Config!$E$15:$E$18,MATCH($S839,Config!$B$15:$B$18,0)),""))</f>
        <v/>
      </c>
      <c r="R839" t="str">
        <f t="shared" si="58"/>
        <v/>
      </c>
      <c r="S839" s="6" t="str">
        <f>IF(OR($A839="",$C839=""),"",IFERROR(INDEX(Turno!$C$3:$V$32,MATCH($C839,Turno!$B$3:$B$32,0),MATCH(DAY($A839),Turno!$C$1:$V$1,0)),""))</f>
        <v/>
      </c>
      <c r="T839" t="str">
        <f>IF(OR($E839="",$S839=""),"",IFERROR(MAX(0,ROUND((INDEX(Config!$D$15:$D$18,MATCH($S839,Config!$B$15:$B$18,0))-$E839)*1440,0)),""))</f>
        <v/>
      </c>
      <c r="U839" s="13" t="str">
        <f>IF(OR($N839="",$T839=""),"",IFERROR(MAX(0,1-($N839+$T839+MAX(0,N($Q839)))/ROUND((INDEX(Config!$D$15:$D$18,MATCH($S839,Config!$B$15:$B$18,0))-INDEX(Config!$C$15:$C$18,MATCH($S839,Config!$B$15:$B$18,0)))*1440,0)),""))</f>
        <v/>
      </c>
      <c r="V839" s="5"/>
    </row>
    <row r="840" spans="1:22" x14ac:dyDescent="0.25">
      <c r="A840" s="11"/>
      <c r="B840" s="5"/>
      <c r="C840" s="6" t="str">
        <f>IFERROR(INDEX(Ejecutivos!$B$2:$B$100,MATCH(B840,Ejecutivos!$A$2:$A$100,0)),"")</f>
        <v/>
      </c>
      <c r="D840" s="12"/>
      <c r="E840" s="12"/>
      <c r="F840" s="12"/>
      <c r="G840" s="12"/>
      <c r="H840" s="5"/>
      <c r="I840" s="5"/>
      <c r="J840" s="5"/>
      <c r="K840" s="5"/>
      <c r="L840" s="18">
        <v>0</v>
      </c>
      <c r="M840" t="str">
        <f t="shared" si="55"/>
        <v/>
      </c>
      <c r="N840" t="str">
        <f>IF(OR($D840="",$S840=""),"",IFERROR(MAX(0,ROUND(($D840-INDEX(Config!$C$15:$C$18,MATCH($S840,Config!$B$15:$B$18,0)))*24*60,0)),""))</f>
        <v/>
      </c>
      <c r="O840" t="str">
        <f t="shared" si="56"/>
        <v/>
      </c>
      <c r="P840" t="str">
        <f t="shared" si="57"/>
        <v/>
      </c>
      <c r="Q840" t="str">
        <f>IF(OR($P840="",$S840=""),"",IFERROR($P840-INDEX(Config!$E$15:$E$18,MATCH($S840,Config!$B$15:$B$18,0)),""))</f>
        <v/>
      </c>
      <c r="R840" t="str">
        <f t="shared" si="58"/>
        <v/>
      </c>
      <c r="S840" s="6" t="str">
        <f>IF(OR($A840="",$C840=""),"",IFERROR(INDEX(Turno!$C$3:$V$32,MATCH($C840,Turno!$B$3:$B$32,0),MATCH(DAY($A840),Turno!$C$1:$V$1,0)),""))</f>
        <v/>
      </c>
      <c r="T840" t="str">
        <f>IF(OR($E840="",$S840=""),"",IFERROR(MAX(0,ROUND((INDEX(Config!$D$15:$D$18,MATCH($S840,Config!$B$15:$B$18,0))-$E840)*1440,0)),""))</f>
        <v/>
      </c>
      <c r="U840" s="13" t="str">
        <f>IF(OR($N840="",$T840=""),"",IFERROR(MAX(0,1-($N840+$T840+MAX(0,N($Q840)))/ROUND((INDEX(Config!$D$15:$D$18,MATCH($S840,Config!$B$15:$B$18,0))-INDEX(Config!$C$15:$C$18,MATCH($S840,Config!$B$15:$B$18,0)))*1440,0)),""))</f>
        <v/>
      </c>
      <c r="V840" s="5"/>
    </row>
    <row r="841" spans="1:22" x14ac:dyDescent="0.25">
      <c r="A841" s="11"/>
      <c r="B841" s="5"/>
      <c r="C841" s="6" t="str">
        <f>IFERROR(INDEX(Ejecutivos!$B$2:$B$100,MATCH(B841,Ejecutivos!$A$2:$A$100,0)),"")</f>
        <v/>
      </c>
      <c r="D841" s="12"/>
      <c r="E841" s="12"/>
      <c r="F841" s="12"/>
      <c r="G841" s="12"/>
      <c r="H841" s="5"/>
      <c r="I841" s="5"/>
      <c r="J841" s="5"/>
      <c r="K841" s="5"/>
      <c r="L841" s="18">
        <v>0</v>
      </c>
      <c r="M841" t="str">
        <f t="shared" si="55"/>
        <v/>
      </c>
      <c r="N841" t="str">
        <f>IF(OR($D841="",$S841=""),"",IFERROR(MAX(0,ROUND(($D841-INDEX(Config!$C$15:$C$18,MATCH($S841,Config!$B$15:$B$18,0)))*24*60,0)),""))</f>
        <v/>
      </c>
      <c r="O841" t="str">
        <f t="shared" si="56"/>
        <v/>
      </c>
      <c r="P841" t="str">
        <f t="shared" si="57"/>
        <v/>
      </c>
      <c r="Q841" t="str">
        <f>IF(OR($P841="",$S841=""),"",IFERROR($P841-INDEX(Config!$E$15:$E$18,MATCH($S841,Config!$B$15:$B$18,0)),""))</f>
        <v/>
      </c>
      <c r="R841" t="str">
        <f t="shared" si="58"/>
        <v/>
      </c>
      <c r="S841" s="6" t="str">
        <f>IF(OR($A841="",$C841=""),"",IFERROR(INDEX(Turno!$C$3:$V$32,MATCH($C841,Turno!$B$3:$B$32,0),MATCH(DAY($A841),Turno!$C$1:$V$1,0)),""))</f>
        <v/>
      </c>
      <c r="T841" t="str">
        <f>IF(OR($E841="",$S841=""),"",IFERROR(MAX(0,ROUND((INDEX(Config!$D$15:$D$18,MATCH($S841,Config!$B$15:$B$18,0))-$E841)*1440,0)),""))</f>
        <v/>
      </c>
      <c r="U841" s="13" t="str">
        <f>IF(OR($N841="",$T841=""),"",IFERROR(MAX(0,1-($N841+$T841+MAX(0,N($Q841)))/ROUND((INDEX(Config!$D$15:$D$18,MATCH($S841,Config!$B$15:$B$18,0))-INDEX(Config!$C$15:$C$18,MATCH($S841,Config!$B$15:$B$18,0)))*1440,0)),""))</f>
        <v/>
      </c>
      <c r="V841" s="5"/>
    </row>
    <row r="842" spans="1:22" x14ac:dyDescent="0.25">
      <c r="A842" s="11"/>
      <c r="B842" s="5"/>
      <c r="C842" s="6" t="str">
        <f>IFERROR(INDEX(Ejecutivos!$B$2:$B$100,MATCH(B842,Ejecutivos!$A$2:$A$100,0)),"")</f>
        <v/>
      </c>
      <c r="D842" s="12"/>
      <c r="E842" s="12"/>
      <c r="F842" s="12"/>
      <c r="G842" s="12"/>
      <c r="H842" s="5"/>
      <c r="I842" s="5"/>
      <c r="J842" s="5"/>
      <c r="K842" s="5"/>
      <c r="L842" s="18">
        <v>0</v>
      </c>
      <c r="M842" t="str">
        <f t="shared" si="55"/>
        <v/>
      </c>
      <c r="N842" t="str">
        <f>IF(OR($D842="",$S842=""),"",IFERROR(MAX(0,ROUND(($D842-INDEX(Config!$C$15:$C$18,MATCH($S842,Config!$B$15:$B$18,0)))*24*60,0)),""))</f>
        <v/>
      </c>
      <c r="O842" t="str">
        <f t="shared" si="56"/>
        <v/>
      </c>
      <c r="P842" t="str">
        <f t="shared" si="57"/>
        <v/>
      </c>
      <c r="Q842" t="str">
        <f>IF(OR($P842="",$S842=""),"",IFERROR($P842-INDEX(Config!$E$15:$E$18,MATCH($S842,Config!$B$15:$B$18,0)),""))</f>
        <v/>
      </c>
      <c r="R842" t="str">
        <f t="shared" si="58"/>
        <v/>
      </c>
      <c r="S842" s="6" t="str">
        <f>IF(OR($A842="",$C842=""),"",IFERROR(INDEX(Turno!$C$3:$V$32,MATCH($C842,Turno!$B$3:$B$32,0),MATCH(DAY($A842),Turno!$C$1:$V$1,0)),""))</f>
        <v/>
      </c>
      <c r="T842" t="str">
        <f>IF(OR($E842="",$S842=""),"",IFERROR(MAX(0,ROUND((INDEX(Config!$D$15:$D$18,MATCH($S842,Config!$B$15:$B$18,0))-$E842)*1440,0)),""))</f>
        <v/>
      </c>
      <c r="U842" s="13" t="str">
        <f>IF(OR($N842="",$T842=""),"",IFERROR(MAX(0,1-($N842+$T842+MAX(0,N($Q842)))/ROUND((INDEX(Config!$D$15:$D$18,MATCH($S842,Config!$B$15:$B$18,0))-INDEX(Config!$C$15:$C$18,MATCH($S842,Config!$B$15:$B$18,0)))*1440,0)),""))</f>
        <v/>
      </c>
      <c r="V842" s="5"/>
    </row>
    <row r="843" spans="1:22" x14ac:dyDescent="0.25">
      <c r="A843" s="11"/>
      <c r="B843" s="5"/>
      <c r="C843" s="6" t="str">
        <f>IFERROR(INDEX(Ejecutivos!$B$2:$B$100,MATCH(B843,Ejecutivos!$A$2:$A$100,0)),"")</f>
        <v/>
      </c>
      <c r="D843" s="12"/>
      <c r="E843" s="12"/>
      <c r="F843" s="12"/>
      <c r="G843" s="12"/>
      <c r="H843" s="5"/>
      <c r="I843" s="5"/>
      <c r="J843" s="5"/>
      <c r="K843" s="5"/>
      <c r="L843" s="18">
        <v>0</v>
      </c>
      <c r="M843" t="str">
        <f t="shared" si="55"/>
        <v/>
      </c>
      <c r="N843" t="str">
        <f>IF(OR($D843="",$S843=""),"",IFERROR(MAX(0,ROUND(($D843-INDEX(Config!$C$15:$C$18,MATCH($S843,Config!$B$15:$B$18,0)))*24*60,0)),""))</f>
        <v/>
      </c>
      <c r="O843" t="str">
        <f t="shared" si="56"/>
        <v/>
      </c>
      <c r="P843" t="str">
        <f t="shared" si="57"/>
        <v/>
      </c>
      <c r="Q843" t="str">
        <f>IF(OR($P843="",$S843=""),"",IFERROR($P843-INDEX(Config!$E$15:$E$18,MATCH($S843,Config!$B$15:$B$18,0)),""))</f>
        <v/>
      </c>
      <c r="R843" t="str">
        <f t="shared" si="58"/>
        <v/>
      </c>
      <c r="S843" s="6" t="str">
        <f>IF(OR($A843="",$C843=""),"",IFERROR(INDEX(Turno!$C$3:$V$32,MATCH($C843,Turno!$B$3:$B$32,0),MATCH(DAY($A843),Turno!$C$1:$V$1,0)),""))</f>
        <v/>
      </c>
      <c r="T843" t="str">
        <f>IF(OR($E843="",$S843=""),"",IFERROR(MAX(0,ROUND((INDEX(Config!$D$15:$D$18,MATCH($S843,Config!$B$15:$B$18,0))-$E843)*1440,0)),""))</f>
        <v/>
      </c>
      <c r="U843" s="13" t="str">
        <f>IF(OR($N843="",$T843=""),"",IFERROR(MAX(0,1-($N843+$T843+MAX(0,N($Q843)))/ROUND((INDEX(Config!$D$15:$D$18,MATCH($S843,Config!$B$15:$B$18,0))-INDEX(Config!$C$15:$C$18,MATCH($S843,Config!$B$15:$B$18,0)))*1440,0)),""))</f>
        <v/>
      </c>
      <c r="V843" s="5"/>
    </row>
    <row r="844" spans="1:22" x14ac:dyDescent="0.25">
      <c r="A844" s="11"/>
      <c r="B844" s="5"/>
      <c r="C844" s="6" t="str">
        <f>IFERROR(INDEX(Ejecutivos!$B$2:$B$100,MATCH(B844,Ejecutivos!$A$2:$A$100,0)),"")</f>
        <v/>
      </c>
      <c r="D844" s="12"/>
      <c r="E844" s="12"/>
      <c r="F844" s="12"/>
      <c r="G844" s="12"/>
      <c r="H844" s="5"/>
      <c r="I844" s="5"/>
      <c r="J844" s="5"/>
      <c r="K844" s="5"/>
      <c r="L844" s="18">
        <v>0</v>
      </c>
      <c r="M844" t="str">
        <f t="shared" si="55"/>
        <v/>
      </c>
      <c r="N844" t="str">
        <f>IF(OR($D844="",$S844=""),"",IFERROR(MAX(0,ROUND(($D844-INDEX(Config!$C$15:$C$18,MATCH($S844,Config!$B$15:$B$18,0)))*24*60,0)),""))</f>
        <v/>
      </c>
      <c r="O844" t="str">
        <f t="shared" si="56"/>
        <v/>
      </c>
      <c r="P844" t="str">
        <f t="shared" si="57"/>
        <v/>
      </c>
      <c r="Q844" t="str">
        <f>IF(OR($P844="",$S844=""),"",IFERROR($P844-INDEX(Config!$E$15:$E$18,MATCH($S844,Config!$B$15:$B$18,0)),""))</f>
        <v/>
      </c>
      <c r="R844" t="str">
        <f t="shared" si="58"/>
        <v/>
      </c>
      <c r="S844" s="6" t="str">
        <f>IF(OR($A844="",$C844=""),"",IFERROR(INDEX(Turno!$C$3:$V$32,MATCH($C844,Turno!$B$3:$B$32,0),MATCH(DAY($A844),Turno!$C$1:$V$1,0)),""))</f>
        <v/>
      </c>
      <c r="T844" t="str">
        <f>IF(OR($E844="",$S844=""),"",IFERROR(MAX(0,ROUND((INDEX(Config!$D$15:$D$18,MATCH($S844,Config!$B$15:$B$18,0))-$E844)*1440,0)),""))</f>
        <v/>
      </c>
      <c r="U844" s="13" t="str">
        <f>IF(OR($N844="",$T844=""),"",IFERROR(MAX(0,1-($N844+$T844+MAX(0,N($Q844)))/ROUND((INDEX(Config!$D$15:$D$18,MATCH($S844,Config!$B$15:$B$18,0))-INDEX(Config!$C$15:$C$18,MATCH($S844,Config!$B$15:$B$18,0)))*1440,0)),""))</f>
        <v/>
      </c>
      <c r="V844" s="5"/>
    </row>
    <row r="845" spans="1:22" x14ac:dyDescent="0.25">
      <c r="A845" s="11"/>
      <c r="B845" s="5"/>
      <c r="C845" s="6" t="str">
        <f>IFERROR(INDEX(Ejecutivos!$B$2:$B$100,MATCH(B845,Ejecutivos!$A$2:$A$100,0)),"")</f>
        <v/>
      </c>
      <c r="D845" s="12"/>
      <c r="E845" s="12"/>
      <c r="F845" s="12"/>
      <c r="G845" s="12"/>
      <c r="H845" s="5"/>
      <c r="I845" s="5"/>
      <c r="J845" s="5"/>
      <c r="K845" s="5"/>
      <c r="L845" s="18">
        <v>0</v>
      </c>
      <c r="M845" t="str">
        <f t="shared" si="55"/>
        <v/>
      </c>
      <c r="N845" t="str">
        <f>IF(OR($D845="",$S845=""),"",IFERROR(MAX(0,ROUND(($D845-INDEX(Config!$C$15:$C$18,MATCH($S845,Config!$B$15:$B$18,0)))*24*60,0)),""))</f>
        <v/>
      </c>
      <c r="O845" t="str">
        <f t="shared" si="56"/>
        <v/>
      </c>
      <c r="P845" t="str">
        <f t="shared" si="57"/>
        <v/>
      </c>
      <c r="Q845" t="str">
        <f>IF(OR($P845="",$S845=""),"",IFERROR($P845-INDEX(Config!$E$15:$E$18,MATCH($S845,Config!$B$15:$B$18,0)),""))</f>
        <v/>
      </c>
      <c r="R845" t="str">
        <f t="shared" si="58"/>
        <v/>
      </c>
      <c r="S845" s="6" t="str">
        <f>IF(OR($A845="",$C845=""),"",IFERROR(INDEX(Turno!$C$3:$V$32,MATCH($C845,Turno!$B$3:$B$32,0),MATCH(DAY($A845),Turno!$C$1:$V$1,0)),""))</f>
        <v/>
      </c>
      <c r="T845" t="str">
        <f>IF(OR($E845="",$S845=""),"",IFERROR(MAX(0,ROUND((INDEX(Config!$D$15:$D$18,MATCH($S845,Config!$B$15:$B$18,0))-$E845)*1440,0)),""))</f>
        <v/>
      </c>
      <c r="U845" s="13" t="str">
        <f>IF(OR($N845="",$T845=""),"",IFERROR(MAX(0,1-($N845+$T845+MAX(0,N($Q845)))/ROUND((INDEX(Config!$D$15:$D$18,MATCH($S845,Config!$B$15:$B$18,0))-INDEX(Config!$C$15:$C$18,MATCH($S845,Config!$B$15:$B$18,0)))*1440,0)),""))</f>
        <v/>
      </c>
      <c r="V845" s="5"/>
    </row>
    <row r="846" spans="1:22" x14ac:dyDescent="0.25">
      <c r="A846" s="11"/>
      <c r="B846" s="5"/>
      <c r="C846" s="6" t="str">
        <f>IFERROR(INDEX(Ejecutivos!$B$2:$B$100,MATCH(B846,Ejecutivos!$A$2:$A$100,0)),"")</f>
        <v/>
      </c>
      <c r="D846" s="12"/>
      <c r="E846" s="12"/>
      <c r="F846" s="12"/>
      <c r="G846" s="12"/>
      <c r="H846" s="5"/>
      <c r="I846" s="5"/>
      <c r="J846" s="5"/>
      <c r="K846" s="5"/>
      <c r="L846" s="18">
        <v>0</v>
      </c>
      <c r="M846" t="str">
        <f t="shared" si="55"/>
        <v/>
      </c>
      <c r="N846" t="str">
        <f>IF(OR($D846="",$S846=""),"",IFERROR(MAX(0,ROUND(($D846-INDEX(Config!$C$15:$C$18,MATCH($S846,Config!$B$15:$B$18,0)))*24*60,0)),""))</f>
        <v/>
      </c>
      <c r="O846" t="str">
        <f t="shared" si="56"/>
        <v/>
      </c>
      <c r="P846" t="str">
        <f t="shared" si="57"/>
        <v/>
      </c>
      <c r="Q846" t="str">
        <f>IF(OR($P846="",$S846=""),"",IFERROR($P846-INDEX(Config!$E$15:$E$18,MATCH($S846,Config!$B$15:$B$18,0)),""))</f>
        <v/>
      </c>
      <c r="R846" t="str">
        <f t="shared" si="58"/>
        <v/>
      </c>
      <c r="S846" s="6" t="str">
        <f>IF(OR($A846="",$C846=""),"",IFERROR(INDEX(Turno!$C$3:$V$32,MATCH($C846,Turno!$B$3:$B$32,0),MATCH(DAY($A846),Turno!$C$1:$V$1,0)),""))</f>
        <v/>
      </c>
      <c r="T846" t="str">
        <f>IF(OR($E846="",$S846=""),"",IFERROR(MAX(0,ROUND((INDEX(Config!$D$15:$D$18,MATCH($S846,Config!$B$15:$B$18,0))-$E846)*1440,0)),""))</f>
        <v/>
      </c>
      <c r="U846" s="13" t="str">
        <f>IF(OR($N846="",$T846=""),"",IFERROR(MAX(0,1-($N846+$T846+MAX(0,N($Q846)))/ROUND((INDEX(Config!$D$15:$D$18,MATCH($S846,Config!$B$15:$B$18,0))-INDEX(Config!$C$15:$C$18,MATCH($S846,Config!$B$15:$B$18,0)))*1440,0)),""))</f>
        <v/>
      </c>
      <c r="V846" s="5"/>
    </row>
    <row r="847" spans="1:22" x14ac:dyDescent="0.25">
      <c r="A847" s="11"/>
      <c r="B847" s="5"/>
      <c r="C847" s="6" t="str">
        <f>IFERROR(INDEX(Ejecutivos!$B$2:$B$100,MATCH(B847,Ejecutivos!$A$2:$A$100,0)),"")</f>
        <v/>
      </c>
      <c r="D847" s="12"/>
      <c r="E847" s="12"/>
      <c r="F847" s="12"/>
      <c r="G847" s="12"/>
      <c r="H847" s="5"/>
      <c r="I847" s="5"/>
      <c r="J847" s="5"/>
      <c r="K847" s="5"/>
      <c r="L847" s="18">
        <v>0</v>
      </c>
      <c r="M847" t="str">
        <f t="shared" si="55"/>
        <v/>
      </c>
      <c r="N847" t="str">
        <f>IF(OR($D847="",$S847=""),"",IFERROR(MAX(0,ROUND(($D847-INDEX(Config!$C$15:$C$18,MATCH($S847,Config!$B$15:$B$18,0)))*24*60,0)),""))</f>
        <v/>
      </c>
      <c r="O847" t="str">
        <f t="shared" si="56"/>
        <v/>
      </c>
      <c r="P847" t="str">
        <f t="shared" si="57"/>
        <v/>
      </c>
      <c r="Q847" t="str">
        <f>IF(OR($P847="",$S847=""),"",IFERROR($P847-INDEX(Config!$E$15:$E$18,MATCH($S847,Config!$B$15:$B$18,0)),""))</f>
        <v/>
      </c>
      <c r="R847" t="str">
        <f t="shared" si="58"/>
        <v/>
      </c>
      <c r="S847" s="6" t="str">
        <f>IF(OR($A847="",$C847=""),"",IFERROR(INDEX(Turno!$C$3:$V$32,MATCH($C847,Turno!$B$3:$B$32,0),MATCH(DAY($A847),Turno!$C$1:$V$1,0)),""))</f>
        <v/>
      </c>
      <c r="T847" t="str">
        <f>IF(OR($E847="",$S847=""),"",IFERROR(MAX(0,ROUND((INDEX(Config!$D$15:$D$18,MATCH($S847,Config!$B$15:$B$18,0))-$E847)*1440,0)),""))</f>
        <v/>
      </c>
      <c r="U847" s="13" t="str">
        <f>IF(OR($N847="",$T847=""),"",IFERROR(MAX(0,1-($N847+$T847+MAX(0,N($Q847)))/ROUND((INDEX(Config!$D$15:$D$18,MATCH($S847,Config!$B$15:$B$18,0))-INDEX(Config!$C$15:$C$18,MATCH($S847,Config!$B$15:$B$18,0)))*1440,0)),""))</f>
        <v/>
      </c>
      <c r="V847" s="5"/>
    </row>
    <row r="848" spans="1:22" x14ac:dyDescent="0.25">
      <c r="A848" s="11"/>
      <c r="B848" s="5"/>
      <c r="C848" s="6" t="str">
        <f>IFERROR(INDEX(Ejecutivos!$B$2:$B$100,MATCH(B848,Ejecutivos!$A$2:$A$100,0)),"")</f>
        <v/>
      </c>
      <c r="D848" s="12"/>
      <c r="E848" s="12"/>
      <c r="F848" s="12"/>
      <c r="G848" s="12"/>
      <c r="H848" s="5"/>
      <c r="I848" s="5"/>
      <c r="J848" s="5"/>
      <c r="K848" s="5"/>
      <c r="L848" s="18">
        <v>0</v>
      </c>
      <c r="M848" t="str">
        <f t="shared" si="55"/>
        <v/>
      </c>
      <c r="N848" t="str">
        <f>IF(OR($D848="",$S848=""),"",IFERROR(MAX(0,ROUND(($D848-INDEX(Config!$C$15:$C$18,MATCH($S848,Config!$B$15:$B$18,0)))*24*60,0)),""))</f>
        <v/>
      </c>
      <c r="O848" t="str">
        <f t="shared" si="56"/>
        <v/>
      </c>
      <c r="P848" t="str">
        <f t="shared" si="57"/>
        <v/>
      </c>
      <c r="Q848" t="str">
        <f>IF(OR($P848="",$S848=""),"",IFERROR($P848-INDEX(Config!$E$15:$E$18,MATCH($S848,Config!$B$15:$B$18,0)),""))</f>
        <v/>
      </c>
      <c r="R848" t="str">
        <f t="shared" si="58"/>
        <v/>
      </c>
      <c r="S848" s="6" t="str">
        <f>IF(OR($A848="",$C848=""),"",IFERROR(INDEX(Turno!$C$3:$V$32,MATCH($C848,Turno!$B$3:$B$32,0),MATCH(DAY($A848),Turno!$C$1:$V$1,0)),""))</f>
        <v/>
      </c>
      <c r="T848" t="str">
        <f>IF(OR($E848="",$S848=""),"",IFERROR(MAX(0,ROUND((INDEX(Config!$D$15:$D$18,MATCH($S848,Config!$B$15:$B$18,0))-$E848)*1440,0)),""))</f>
        <v/>
      </c>
      <c r="U848" s="13" t="str">
        <f>IF(OR($N848="",$T848=""),"",IFERROR(MAX(0,1-($N848+$T848+MAX(0,N($Q848)))/ROUND((INDEX(Config!$D$15:$D$18,MATCH($S848,Config!$B$15:$B$18,0))-INDEX(Config!$C$15:$C$18,MATCH($S848,Config!$B$15:$B$18,0)))*1440,0)),""))</f>
        <v/>
      </c>
      <c r="V848" s="5"/>
    </row>
    <row r="849" spans="1:22" x14ac:dyDescent="0.25">
      <c r="A849" s="11"/>
      <c r="B849" s="5"/>
      <c r="C849" s="6" t="str">
        <f>IFERROR(INDEX(Ejecutivos!$B$2:$B$100,MATCH(B849,Ejecutivos!$A$2:$A$100,0)),"")</f>
        <v/>
      </c>
      <c r="D849" s="12"/>
      <c r="E849" s="12"/>
      <c r="F849" s="12"/>
      <c r="G849" s="12"/>
      <c r="H849" s="5"/>
      <c r="I849" s="5"/>
      <c r="J849" s="5"/>
      <c r="K849" s="5"/>
      <c r="L849" s="18">
        <v>0</v>
      </c>
      <c r="M849" t="str">
        <f t="shared" si="55"/>
        <v/>
      </c>
      <c r="N849" t="str">
        <f>IF(OR($D849="",$S849=""),"",IFERROR(MAX(0,ROUND(($D849-INDEX(Config!$C$15:$C$18,MATCH($S849,Config!$B$15:$B$18,0)))*24*60,0)),""))</f>
        <v/>
      </c>
      <c r="O849" t="str">
        <f t="shared" si="56"/>
        <v/>
      </c>
      <c r="P849" t="str">
        <f t="shared" si="57"/>
        <v/>
      </c>
      <c r="Q849" t="str">
        <f>IF(OR($P849="",$S849=""),"",IFERROR($P849-INDEX(Config!$E$15:$E$18,MATCH($S849,Config!$B$15:$B$18,0)),""))</f>
        <v/>
      </c>
      <c r="R849" t="str">
        <f t="shared" si="58"/>
        <v/>
      </c>
      <c r="S849" s="6" t="str">
        <f>IF(OR($A849="",$C849=""),"",IFERROR(INDEX(Turno!$C$3:$V$32,MATCH($C849,Turno!$B$3:$B$32,0),MATCH(DAY($A849),Turno!$C$1:$V$1,0)),""))</f>
        <v/>
      </c>
      <c r="T849" t="str">
        <f>IF(OR($E849="",$S849=""),"",IFERROR(MAX(0,ROUND((INDEX(Config!$D$15:$D$18,MATCH($S849,Config!$B$15:$B$18,0))-$E849)*1440,0)),""))</f>
        <v/>
      </c>
      <c r="U849" s="13" t="str">
        <f>IF(OR($N849="",$T849=""),"",IFERROR(MAX(0,1-($N849+$T849+MAX(0,N($Q849)))/ROUND((INDEX(Config!$D$15:$D$18,MATCH($S849,Config!$B$15:$B$18,0))-INDEX(Config!$C$15:$C$18,MATCH($S849,Config!$B$15:$B$18,0)))*1440,0)),""))</f>
        <v/>
      </c>
      <c r="V849" s="5"/>
    </row>
    <row r="850" spans="1:22" x14ac:dyDescent="0.25">
      <c r="A850" s="11"/>
      <c r="B850" s="5"/>
      <c r="C850" s="6" t="str">
        <f>IFERROR(INDEX(Ejecutivos!$B$2:$B$100,MATCH(B850,Ejecutivos!$A$2:$A$100,0)),"")</f>
        <v/>
      </c>
      <c r="D850" s="12"/>
      <c r="E850" s="12"/>
      <c r="F850" s="12"/>
      <c r="G850" s="12"/>
      <c r="H850" s="5"/>
      <c r="I850" s="5"/>
      <c r="J850" s="5"/>
      <c r="K850" s="5"/>
      <c r="L850" s="18">
        <v>0</v>
      </c>
      <c r="M850" t="str">
        <f t="shared" si="55"/>
        <v/>
      </c>
      <c r="N850" t="str">
        <f>IF(OR($D850="",$S850=""),"",IFERROR(MAX(0,ROUND(($D850-INDEX(Config!$C$15:$C$18,MATCH($S850,Config!$B$15:$B$18,0)))*24*60,0)),""))</f>
        <v/>
      </c>
      <c r="O850" t="str">
        <f t="shared" si="56"/>
        <v/>
      </c>
      <c r="P850" t="str">
        <f t="shared" si="57"/>
        <v/>
      </c>
      <c r="Q850" t="str">
        <f>IF(OR($P850="",$S850=""),"",IFERROR($P850-INDEX(Config!$E$15:$E$18,MATCH($S850,Config!$B$15:$B$18,0)),""))</f>
        <v/>
      </c>
      <c r="R850" t="str">
        <f t="shared" si="58"/>
        <v/>
      </c>
      <c r="S850" s="6" t="str">
        <f>IF(OR($A850="",$C850=""),"",IFERROR(INDEX(Turno!$C$3:$V$32,MATCH($C850,Turno!$B$3:$B$32,0),MATCH(DAY($A850),Turno!$C$1:$V$1,0)),""))</f>
        <v/>
      </c>
      <c r="T850" t="str">
        <f>IF(OR($E850="",$S850=""),"",IFERROR(MAX(0,ROUND((INDEX(Config!$D$15:$D$18,MATCH($S850,Config!$B$15:$B$18,0))-$E850)*1440,0)),""))</f>
        <v/>
      </c>
      <c r="U850" s="13" t="str">
        <f>IF(OR($N850="",$T850=""),"",IFERROR(MAX(0,1-($N850+$T850+MAX(0,N($Q850)))/ROUND((INDEX(Config!$D$15:$D$18,MATCH($S850,Config!$B$15:$B$18,0))-INDEX(Config!$C$15:$C$18,MATCH($S850,Config!$B$15:$B$18,0)))*1440,0)),""))</f>
        <v/>
      </c>
      <c r="V850" s="5"/>
    </row>
    <row r="851" spans="1:22" x14ac:dyDescent="0.25">
      <c r="A851" s="11"/>
      <c r="B851" s="5"/>
      <c r="C851" s="6" t="str">
        <f>IFERROR(INDEX(Ejecutivos!$B$2:$B$100,MATCH(B851,Ejecutivos!$A$2:$A$100,0)),"")</f>
        <v/>
      </c>
      <c r="D851" s="12"/>
      <c r="E851" s="12"/>
      <c r="F851" s="12"/>
      <c r="G851" s="12"/>
      <c r="H851" s="5"/>
      <c r="I851" s="5"/>
      <c r="J851" s="5"/>
      <c r="K851" s="5"/>
      <c r="L851" s="18">
        <v>0</v>
      </c>
      <c r="M851" t="str">
        <f t="shared" si="55"/>
        <v/>
      </c>
      <c r="N851" t="str">
        <f>IF(OR($D851="",$S851=""),"",IFERROR(MAX(0,ROUND(($D851-INDEX(Config!$C$15:$C$18,MATCH($S851,Config!$B$15:$B$18,0)))*24*60,0)),""))</f>
        <v/>
      </c>
      <c r="O851" t="str">
        <f t="shared" si="56"/>
        <v/>
      </c>
      <c r="P851" t="str">
        <f t="shared" si="57"/>
        <v/>
      </c>
      <c r="Q851" t="str">
        <f>IF(OR($P851="",$S851=""),"",IFERROR($P851-INDEX(Config!$E$15:$E$18,MATCH($S851,Config!$B$15:$B$18,0)),""))</f>
        <v/>
      </c>
      <c r="R851" t="str">
        <f t="shared" si="58"/>
        <v/>
      </c>
      <c r="S851" s="6" t="str">
        <f>IF(OR($A851="",$C851=""),"",IFERROR(INDEX(Turno!$C$3:$V$32,MATCH($C851,Turno!$B$3:$B$32,0),MATCH(DAY($A851),Turno!$C$1:$V$1,0)),""))</f>
        <v/>
      </c>
      <c r="T851" t="str">
        <f>IF(OR($E851="",$S851=""),"",IFERROR(MAX(0,ROUND((INDEX(Config!$D$15:$D$18,MATCH($S851,Config!$B$15:$B$18,0))-$E851)*1440,0)),""))</f>
        <v/>
      </c>
      <c r="U851" s="13" t="str">
        <f>IF(OR($N851="",$T851=""),"",IFERROR(MAX(0,1-($N851+$T851+MAX(0,N($Q851)))/ROUND((INDEX(Config!$D$15:$D$18,MATCH($S851,Config!$B$15:$B$18,0))-INDEX(Config!$C$15:$C$18,MATCH($S851,Config!$B$15:$B$18,0)))*1440,0)),""))</f>
        <v/>
      </c>
      <c r="V851" s="5"/>
    </row>
    <row r="852" spans="1:22" x14ac:dyDescent="0.25">
      <c r="A852" s="11"/>
      <c r="B852" s="5"/>
      <c r="C852" s="6" t="str">
        <f>IFERROR(INDEX(Ejecutivos!$B$2:$B$100,MATCH(B852,Ejecutivos!$A$2:$A$100,0)),"")</f>
        <v/>
      </c>
      <c r="D852" s="12"/>
      <c r="E852" s="12"/>
      <c r="F852" s="12"/>
      <c r="G852" s="12"/>
      <c r="H852" s="5"/>
      <c r="I852" s="5"/>
      <c r="J852" s="5"/>
      <c r="K852" s="5"/>
      <c r="L852" s="18">
        <v>0</v>
      </c>
      <c r="M852" t="str">
        <f t="shared" si="55"/>
        <v/>
      </c>
      <c r="N852" t="str">
        <f>IF(OR($D852="",$S852=""),"",IFERROR(MAX(0,ROUND(($D852-INDEX(Config!$C$15:$C$18,MATCH($S852,Config!$B$15:$B$18,0)))*24*60,0)),""))</f>
        <v/>
      </c>
      <c r="O852" t="str">
        <f t="shared" si="56"/>
        <v/>
      </c>
      <c r="P852" t="str">
        <f t="shared" si="57"/>
        <v/>
      </c>
      <c r="Q852" t="str">
        <f>IF(OR($P852="",$S852=""),"",IFERROR($P852-INDEX(Config!$E$15:$E$18,MATCH($S852,Config!$B$15:$B$18,0)),""))</f>
        <v/>
      </c>
      <c r="R852" t="str">
        <f t="shared" si="58"/>
        <v/>
      </c>
      <c r="S852" s="6" t="str">
        <f>IF(OR($A852="",$C852=""),"",IFERROR(INDEX(Turno!$C$3:$V$32,MATCH($C852,Turno!$B$3:$B$32,0),MATCH(DAY($A852),Turno!$C$1:$V$1,0)),""))</f>
        <v/>
      </c>
      <c r="T852" t="str">
        <f>IF(OR($E852="",$S852=""),"",IFERROR(MAX(0,ROUND((INDEX(Config!$D$15:$D$18,MATCH($S852,Config!$B$15:$B$18,0))-$E852)*1440,0)),""))</f>
        <v/>
      </c>
      <c r="U852" s="13" t="str">
        <f>IF(OR($N852="",$T852=""),"",IFERROR(MAX(0,1-($N852+$T852+MAX(0,N($Q852)))/ROUND((INDEX(Config!$D$15:$D$18,MATCH($S852,Config!$B$15:$B$18,0))-INDEX(Config!$C$15:$C$18,MATCH($S852,Config!$B$15:$B$18,0)))*1440,0)),""))</f>
        <v/>
      </c>
      <c r="V852" s="5"/>
    </row>
    <row r="853" spans="1:22" x14ac:dyDescent="0.25">
      <c r="A853" s="11"/>
      <c r="B853" s="5"/>
      <c r="C853" s="6" t="str">
        <f>IFERROR(INDEX(Ejecutivos!$B$2:$B$100,MATCH(B853,Ejecutivos!$A$2:$A$100,0)),"")</f>
        <v/>
      </c>
      <c r="D853" s="12"/>
      <c r="E853" s="12"/>
      <c r="F853" s="12"/>
      <c r="G853" s="12"/>
      <c r="H853" s="5"/>
      <c r="I853" s="5"/>
      <c r="J853" s="5"/>
      <c r="K853" s="5"/>
      <c r="L853" s="18">
        <v>0</v>
      </c>
      <c r="M853" t="str">
        <f t="shared" si="55"/>
        <v/>
      </c>
      <c r="N853" t="str">
        <f>IF(OR($D853="",$S853=""),"",IFERROR(MAX(0,ROUND(($D853-INDEX(Config!$C$15:$C$18,MATCH($S853,Config!$B$15:$B$18,0)))*24*60,0)),""))</f>
        <v/>
      </c>
      <c r="O853" t="str">
        <f t="shared" si="56"/>
        <v/>
      </c>
      <c r="P853" t="str">
        <f t="shared" si="57"/>
        <v/>
      </c>
      <c r="Q853" t="str">
        <f>IF(OR($P853="",$S853=""),"",IFERROR($P853-INDEX(Config!$E$15:$E$18,MATCH($S853,Config!$B$15:$B$18,0)),""))</f>
        <v/>
      </c>
      <c r="R853" t="str">
        <f t="shared" si="58"/>
        <v/>
      </c>
      <c r="S853" s="6" t="str">
        <f>IF(OR($A853="",$C853=""),"",IFERROR(INDEX(Turno!$C$3:$V$32,MATCH($C853,Turno!$B$3:$B$32,0),MATCH(DAY($A853),Turno!$C$1:$V$1,0)),""))</f>
        <v/>
      </c>
      <c r="T853" t="str">
        <f>IF(OR($E853="",$S853=""),"",IFERROR(MAX(0,ROUND((INDEX(Config!$D$15:$D$18,MATCH($S853,Config!$B$15:$B$18,0))-$E853)*1440,0)),""))</f>
        <v/>
      </c>
      <c r="U853" s="13" t="str">
        <f>IF(OR($N853="",$T853=""),"",IFERROR(MAX(0,1-($N853+$T853+MAX(0,N($Q853)))/ROUND((INDEX(Config!$D$15:$D$18,MATCH($S853,Config!$B$15:$B$18,0))-INDEX(Config!$C$15:$C$18,MATCH($S853,Config!$B$15:$B$18,0)))*1440,0)),""))</f>
        <v/>
      </c>
      <c r="V853" s="5"/>
    </row>
    <row r="854" spans="1:22" x14ac:dyDescent="0.25">
      <c r="A854" s="11"/>
      <c r="B854" s="5"/>
      <c r="C854" s="6" t="str">
        <f>IFERROR(INDEX(Ejecutivos!$B$2:$B$100,MATCH(B854,Ejecutivos!$A$2:$A$100,0)),"")</f>
        <v/>
      </c>
      <c r="D854" s="12"/>
      <c r="E854" s="12"/>
      <c r="F854" s="12"/>
      <c r="G854" s="12"/>
      <c r="H854" s="5"/>
      <c r="I854" s="5"/>
      <c r="J854" s="5"/>
      <c r="K854" s="5"/>
      <c r="L854" s="18">
        <v>0</v>
      </c>
      <c r="M854" t="str">
        <f t="shared" si="55"/>
        <v/>
      </c>
      <c r="N854" t="str">
        <f>IF(OR($D854="",$S854=""),"",IFERROR(MAX(0,ROUND(($D854-INDEX(Config!$C$15:$C$18,MATCH($S854,Config!$B$15:$B$18,0)))*24*60,0)),""))</f>
        <v/>
      </c>
      <c r="O854" t="str">
        <f t="shared" si="56"/>
        <v/>
      </c>
      <c r="P854" t="str">
        <f t="shared" si="57"/>
        <v/>
      </c>
      <c r="Q854" t="str">
        <f>IF(OR($P854="",$S854=""),"",IFERROR($P854-INDEX(Config!$E$15:$E$18,MATCH($S854,Config!$B$15:$B$18,0)),""))</f>
        <v/>
      </c>
      <c r="R854" t="str">
        <f t="shared" si="58"/>
        <v/>
      </c>
      <c r="S854" s="6" t="str">
        <f>IF(OR($A854="",$C854=""),"",IFERROR(INDEX(Turno!$C$3:$V$32,MATCH($C854,Turno!$B$3:$B$32,0),MATCH(DAY($A854),Turno!$C$1:$V$1,0)),""))</f>
        <v/>
      </c>
      <c r="T854" t="str">
        <f>IF(OR($E854="",$S854=""),"",IFERROR(MAX(0,ROUND((INDEX(Config!$D$15:$D$18,MATCH($S854,Config!$B$15:$B$18,0))-$E854)*1440,0)),""))</f>
        <v/>
      </c>
      <c r="U854" s="13" t="str">
        <f>IF(OR($N854="",$T854=""),"",IFERROR(MAX(0,1-($N854+$T854+MAX(0,N($Q854)))/ROUND((INDEX(Config!$D$15:$D$18,MATCH($S854,Config!$B$15:$B$18,0))-INDEX(Config!$C$15:$C$18,MATCH($S854,Config!$B$15:$B$18,0)))*1440,0)),""))</f>
        <v/>
      </c>
      <c r="V854" s="5"/>
    </row>
    <row r="855" spans="1:22" x14ac:dyDescent="0.25">
      <c r="A855" s="11"/>
      <c r="B855" s="5"/>
      <c r="C855" s="6" t="str">
        <f>IFERROR(INDEX(Ejecutivos!$B$2:$B$100,MATCH(B855,Ejecutivos!$A$2:$A$100,0)),"")</f>
        <v/>
      </c>
      <c r="D855" s="12"/>
      <c r="E855" s="12"/>
      <c r="F855" s="12"/>
      <c r="G855" s="12"/>
      <c r="H855" s="5"/>
      <c r="I855" s="5"/>
      <c r="J855" s="5"/>
      <c r="K855" s="5"/>
      <c r="L855" s="18">
        <v>0</v>
      </c>
      <c r="M855" t="str">
        <f t="shared" si="55"/>
        <v/>
      </c>
      <c r="N855" t="str">
        <f>IF(OR($D855="",$S855=""),"",IFERROR(MAX(0,ROUND(($D855-INDEX(Config!$C$15:$C$18,MATCH($S855,Config!$B$15:$B$18,0)))*24*60,0)),""))</f>
        <v/>
      </c>
      <c r="O855" t="str">
        <f t="shared" si="56"/>
        <v/>
      </c>
      <c r="P855" t="str">
        <f t="shared" si="57"/>
        <v/>
      </c>
      <c r="Q855" t="str">
        <f>IF(OR($P855="",$S855=""),"",IFERROR($P855-INDEX(Config!$E$15:$E$18,MATCH($S855,Config!$B$15:$B$18,0)),""))</f>
        <v/>
      </c>
      <c r="R855" t="str">
        <f t="shared" si="58"/>
        <v/>
      </c>
      <c r="S855" s="6" t="str">
        <f>IF(OR($A855="",$C855=""),"",IFERROR(INDEX(Turno!$C$3:$V$32,MATCH($C855,Turno!$B$3:$B$32,0),MATCH(DAY($A855),Turno!$C$1:$V$1,0)),""))</f>
        <v/>
      </c>
      <c r="T855" t="str">
        <f>IF(OR($E855="",$S855=""),"",IFERROR(MAX(0,ROUND((INDEX(Config!$D$15:$D$18,MATCH($S855,Config!$B$15:$B$18,0))-$E855)*1440,0)),""))</f>
        <v/>
      </c>
      <c r="U855" s="13" t="str">
        <f>IF(OR($N855="",$T855=""),"",IFERROR(MAX(0,1-($N855+$T855+MAX(0,N($Q855)))/ROUND((INDEX(Config!$D$15:$D$18,MATCH($S855,Config!$B$15:$B$18,0))-INDEX(Config!$C$15:$C$18,MATCH($S855,Config!$B$15:$B$18,0)))*1440,0)),""))</f>
        <v/>
      </c>
      <c r="V855" s="5"/>
    </row>
    <row r="856" spans="1:22" x14ac:dyDescent="0.25">
      <c r="A856" s="11"/>
      <c r="B856" s="5"/>
      <c r="C856" s="6" t="str">
        <f>IFERROR(INDEX(Ejecutivos!$B$2:$B$100,MATCH(B856,Ejecutivos!$A$2:$A$100,0)),"")</f>
        <v/>
      </c>
      <c r="D856" s="12"/>
      <c r="E856" s="12"/>
      <c r="F856" s="12"/>
      <c r="G856" s="12"/>
      <c r="H856" s="5"/>
      <c r="I856" s="5"/>
      <c r="J856" s="5"/>
      <c r="K856" s="5"/>
      <c r="L856" s="18">
        <v>0</v>
      </c>
      <c r="M856" t="str">
        <f t="shared" si="55"/>
        <v/>
      </c>
      <c r="N856" t="str">
        <f>IF(OR($D856="",$S856=""),"",IFERROR(MAX(0,ROUND(($D856-INDEX(Config!$C$15:$C$18,MATCH($S856,Config!$B$15:$B$18,0)))*24*60,0)),""))</f>
        <v/>
      </c>
      <c r="O856" t="str">
        <f t="shared" si="56"/>
        <v/>
      </c>
      <c r="P856" t="str">
        <f t="shared" si="57"/>
        <v/>
      </c>
      <c r="Q856" t="str">
        <f>IF(OR($P856="",$S856=""),"",IFERROR($P856-INDEX(Config!$E$15:$E$18,MATCH($S856,Config!$B$15:$B$18,0)),""))</f>
        <v/>
      </c>
      <c r="R856" t="str">
        <f t="shared" si="58"/>
        <v/>
      </c>
      <c r="S856" s="6" t="str">
        <f>IF(OR($A856="",$C856=""),"",IFERROR(INDEX(Turno!$C$3:$V$32,MATCH($C856,Turno!$B$3:$B$32,0),MATCH(DAY($A856),Turno!$C$1:$V$1,0)),""))</f>
        <v/>
      </c>
      <c r="T856" t="str">
        <f>IF(OR($E856="",$S856=""),"",IFERROR(MAX(0,ROUND((INDEX(Config!$D$15:$D$18,MATCH($S856,Config!$B$15:$B$18,0))-$E856)*1440,0)),""))</f>
        <v/>
      </c>
      <c r="U856" s="13" t="str">
        <f>IF(OR($N856="",$T856=""),"",IFERROR(MAX(0,1-($N856+$T856+MAX(0,N($Q856)))/ROUND((INDEX(Config!$D$15:$D$18,MATCH($S856,Config!$B$15:$B$18,0))-INDEX(Config!$C$15:$C$18,MATCH($S856,Config!$B$15:$B$18,0)))*1440,0)),""))</f>
        <v/>
      </c>
      <c r="V856" s="5"/>
    </row>
    <row r="857" spans="1:22" x14ac:dyDescent="0.25">
      <c r="A857" s="11"/>
      <c r="B857" s="5"/>
      <c r="C857" s="6" t="str">
        <f>IFERROR(INDEX(Ejecutivos!$B$2:$B$100,MATCH(B857,Ejecutivos!$A$2:$A$100,0)),"")</f>
        <v/>
      </c>
      <c r="D857" s="12"/>
      <c r="E857" s="12"/>
      <c r="F857" s="12"/>
      <c r="G857" s="12"/>
      <c r="H857" s="5"/>
      <c r="I857" s="5"/>
      <c r="J857" s="5"/>
      <c r="K857" s="5"/>
      <c r="L857" s="18">
        <v>0</v>
      </c>
      <c r="M857" t="str">
        <f t="shared" si="55"/>
        <v/>
      </c>
      <c r="N857" t="str">
        <f>IF(OR($D857="",$S857=""),"",IFERROR(MAX(0,ROUND(($D857-INDEX(Config!$C$15:$C$18,MATCH($S857,Config!$B$15:$B$18,0)))*24*60,0)),""))</f>
        <v/>
      </c>
      <c r="O857" t="str">
        <f t="shared" si="56"/>
        <v/>
      </c>
      <c r="P857" t="str">
        <f t="shared" si="57"/>
        <v/>
      </c>
      <c r="Q857" t="str">
        <f>IF(OR($P857="",$S857=""),"",IFERROR($P857-INDEX(Config!$E$15:$E$18,MATCH($S857,Config!$B$15:$B$18,0)),""))</f>
        <v/>
      </c>
      <c r="R857" t="str">
        <f t="shared" si="58"/>
        <v/>
      </c>
      <c r="S857" s="6" t="str">
        <f>IF(OR($A857="",$C857=""),"",IFERROR(INDEX(Turno!$C$3:$V$32,MATCH($C857,Turno!$B$3:$B$32,0),MATCH(DAY($A857),Turno!$C$1:$V$1,0)),""))</f>
        <v/>
      </c>
      <c r="T857" t="str">
        <f>IF(OR($E857="",$S857=""),"",IFERROR(MAX(0,ROUND((INDEX(Config!$D$15:$D$18,MATCH($S857,Config!$B$15:$B$18,0))-$E857)*1440,0)),""))</f>
        <v/>
      </c>
      <c r="U857" s="13" t="str">
        <f>IF(OR($N857="",$T857=""),"",IFERROR(MAX(0,1-($N857+$T857+MAX(0,N($Q857)))/ROUND((INDEX(Config!$D$15:$D$18,MATCH($S857,Config!$B$15:$B$18,0))-INDEX(Config!$C$15:$C$18,MATCH($S857,Config!$B$15:$B$18,0)))*1440,0)),""))</f>
        <v/>
      </c>
      <c r="V857" s="5"/>
    </row>
    <row r="858" spans="1:22" x14ac:dyDescent="0.25">
      <c r="A858" s="11"/>
      <c r="B858" s="5"/>
      <c r="C858" s="6" t="str">
        <f>IFERROR(INDEX(Ejecutivos!$B$2:$B$100,MATCH(B858,Ejecutivos!$A$2:$A$100,0)),"")</f>
        <v/>
      </c>
      <c r="D858" s="12"/>
      <c r="E858" s="12"/>
      <c r="F858" s="12"/>
      <c r="G858" s="12"/>
      <c r="H858" s="5"/>
      <c r="I858" s="5"/>
      <c r="J858" s="5"/>
      <c r="K858" s="5"/>
      <c r="L858" s="18">
        <v>0</v>
      </c>
      <c r="M858" t="str">
        <f t="shared" si="55"/>
        <v/>
      </c>
      <c r="N858" t="str">
        <f>IF(OR($D858="",$S858=""),"",IFERROR(MAX(0,ROUND(($D858-INDEX(Config!$C$15:$C$18,MATCH($S858,Config!$B$15:$B$18,0)))*24*60,0)),""))</f>
        <v/>
      </c>
      <c r="O858" t="str">
        <f t="shared" si="56"/>
        <v/>
      </c>
      <c r="P858" t="str">
        <f t="shared" si="57"/>
        <v/>
      </c>
      <c r="Q858" t="str">
        <f>IF(OR($P858="",$S858=""),"",IFERROR($P858-INDEX(Config!$E$15:$E$18,MATCH($S858,Config!$B$15:$B$18,0)),""))</f>
        <v/>
      </c>
      <c r="R858" t="str">
        <f t="shared" si="58"/>
        <v/>
      </c>
      <c r="S858" s="6" t="str">
        <f>IF(OR($A858="",$C858=""),"",IFERROR(INDEX(Turno!$C$3:$V$32,MATCH($C858,Turno!$B$3:$B$32,0),MATCH(DAY($A858),Turno!$C$1:$V$1,0)),""))</f>
        <v/>
      </c>
      <c r="T858" t="str">
        <f>IF(OR($E858="",$S858=""),"",IFERROR(MAX(0,ROUND((INDEX(Config!$D$15:$D$18,MATCH($S858,Config!$B$15:$B$18,0))-$E858)*1440,0)),""))</f>
        <v/>
      </c>
      <c r="U858" s="13" t="str">
        <f>IF(OR($N858="",$T858=""),"",IFERROR(MAX(0,1-($N858+$T858+MAX(0,N($Q858)))/ROUND((INDEX(Config!$D$15:$D$18,MATCH($S858,Config!$B$15:$B$18,0))-INDEX(Config!$C$15:$C$18,MATCH($S858,Config!$B$15:$B$18,0)))*1440,0)),""))</f>
        <v/>
      </c>
      <c r="V858" s="5"/>
    </row>
    <row r="859" spans="1:22" x14ac:dyDescent="0.25">
      <c r="A859" s="11"/>
      <c r="B859" s="5"/>
      <c r="C859" s="6" t="str">
        <f>IFERROR(INDEX(Ejecutivos!$B$2:$B$100,MATCH(B859,Ejecutivos!$A$2:$A$100,0)),"")</f>
        <v/>
      </c>
      <c r="D859" s="12"/>
      <c r="E859" s="12"/>
      <c r="F859" s="12"/>
      <c r="G859" s="12"/>
      <c r="H859" s="5"/>
      <c r="I859" s="5"/>
      <c r="J859" s="5"/>
      <c r="K859" s="5"/>
      <c r="L859" s="18">
        <v>0</v>
      </c>
      <c r="M859" t="str">
        <f t="shared" si="55"/>
        <v/>
      </c>
      <c r="N859" t="str">
        <f>IF(OR($D859="",$S859=""),"",IFERROR(MAX(0,ROUND(($D859-INDEX(Config!$C$15:$C$18,MATCH($S859,Config!$B$15:$B$18,0)))*24*60,0)),""))</f>
        <v/>
      </c>
      <c r="O859" t="str">
        <f t="shared" si="56"/>
        <v/>
      </c>
      <c r="P859" t="str">
        <f t="shared" si="57"/>
        <v/>
      </c>
      <c r="Q859" t="str">
        <f>IF(OR($P859="",$S859=""),"",IFERROR($P859-INDEX(Config!$E$15:$E$18,MATCH($S859,Config!$B$15:$B$18,0)),""))</f>
        <v/>
      </c>
      <c r="R859" t="str">
        <f t="shared" si="58"/>
        <v/>
      </c>
      <c r="S859" s="6" t="str">
        <f>IF(OR($A859="",$C859=""),"",IFERROR(INDEX(Turno!$C$3:$V$32,MATCH($C859,Turno!$B$3:$B$32,0),MATCH(DAY($A859),Turno!$C$1:$V$1,0)),""))</f>
        <v/>
      </c>
      <c r="T859" t="str">
        <f>IF(OR($E859="",$S859=""),"",IFERROR(MAX(0,ROUND((INDEX(Config!$D$15:$D$18,MATCH($S859,Config!$B$15:$B$18,0))-$E859)*1440,0)),""))</f>
        <v/>
      </c>
      <c r="U859" s="13" t="str">
        <f>IF(OR($N859="",$T859=""),"",IFERROR(MAX(0,1-($N859+$T859+MAX(0,N($Q859)))/ROUND((INDEX(Config!$D$15:$D$18,MATCH($S859,Config!$B$15:$B$18,0))-INDEX(Config!$C$15:$C$18,MATCH($S859,Config!$B$15:$B$18,0)))*1440,0)),""))</f>
        <v/>
      </c>
      <c r="V859" s="5"/>
    </row>
    <row r="860" spans="1:22" x14ac:dyDescent="0.25">
      <c r="A860" s="11"/>
      <c r="B860" s="5"/>
      <c r="C860" s="6" t="str">
        <f>IFERROR(INDEX(Ejecutivos!$B$2:$B$100,MATCH(B860,Ejecutivos!$A$2:$A$100,0)),"")</f>
        <v/>
      </c>
      <c r="D860" s="12"/>
      <c r="E860" s="12"/>
      <c r="F860" s="12"/>
      <c r="G860" s="12"/>
      <c r="H860" s="5"/>
      <c r="I860" s="5"/>
      <c r="J860" s="5"/>
      <c r="K860" s="5"/>
      <c r="L860" s="18">
        <v>0</v>
      </c>
      <c r="M860" t="str">
        <f t="shared" si="55"/>
        <v/>
      </c>
      <c r="N860" t="str">
        <f>IF(OR($D860="",$S860=""),"",IFERROR(MAX(0,ROUND(($D860-INDEX(Config!$C$15:$C$18,MATCH($S860,Config!$B$15:$B$18,0)))*24*60,0)),""))</f>
        <v/>
      </c>
      <c r="O860" t="str">
        <f t="shared" si="56"/>
        <v/>
      </c>
      <c r="P860" t="str">
        <f t="shared" si="57"/>
        <v/>
      </c>
      <c r="Q860" t="str">
        <f>IF(OR($P860="",$S860=""),"",IFERROR($P860-INDEX(Config!$E$15:$E$18,MATCH($S860,Config!$B$15:$B$18,0)),""))</f>
        <v/>
      </c>
      <c r="R860" t="str">
        <f t="shared" si="58"/>
        <v/>
      </c>
      <c r="S860" s="6" t="str">
        <f>IF(OR($A860="",$C860=""),"",IFERROR(INDEX(Turno!$C$3:$V$32,MATCH($C860,Turno!$B$3:$B$32,0),MATCH(DAY($A860),Turno!$C$1:$V$1,0)),""))</f>
        <v/>
      </c>
      <c r="T860" t="str">
        <f>IF(OR($E860="",$S860=""),"",IFERROR(MAX(0,ROUND((INDEX(Config!$D$15:$D$18,MATCH($S860,Config!$B$15:$B$18,0))-$E860)*1440,0)),""))</f>
        <v/>
      </c>
      <c r="U860" s="13" t="str">
        <f>IF(OR($N860="",$T860=""),"",IFERROR(MAX(0,1-($N860+$T860+MAX(0,N($Q860)))/ROUND((INDEX(Config!$D$15:$D$18,MATCH($S860,Config!$B$15:$B$18,0))-INDEX(Config!$C$15:$C$18,MATCH($S860,Config!$B$15:$B$18,0)))*1440,0)),""))</f>
        <v/>
      </c>
      <c r="V860" s="5"/>
    </row>
    <row r="861" spans="1:22" x14ac:dyDescent="0.25">
      <c r="A861" s="11"/>
      <c r="B861" s="5"/>
      <c r="C861" s="6" t="str">
        <f>IFERROR(INDEX(Ejecutivos!$B$2:$B$100,MATCH(B861,Ejecutivos!$A$2:$A$100,0)),"")</f>
        <v/>
      </c>
      <c r="D861" s="12"/>
      <c r="E861" s="12"/>
      <c r="F861" s="12"/>
      <c r="G861" s="12"/>
      <c r="H861" s="5"/>
      <c r="I861" s="5"/>
      <c r="J861" s="5"/>
      <c r="K861" s="5"/>
      <c r="L861" s="18">
        <v>0</v>
      </c>
      <c r="M861" t="str">
        <f t="shared" si="55"/>
        <v/>
      </c>
      <c r="N861" t="str">
        <f>IF(OR($D861="",$S861=""),"",IFERROR(MAX(0,ROUND(($D861-INDEX(Config!$C$15:$C$18,MATCH($S861,Config!$B$15:$B$18,0)))*24*60,0)),""))</f>
        <v/>
      </c>
      <c r="O861" t="str">
        <f t="shared" si="56"/>
        <v/>
      </c>
      <c r="P861" t="str">
        <f t="shared" si="57"/>
        <v/>
      </c>
      <c r="Q861" t="str">
        <f>IF(OR($P861="",$S861=""),"",IFERROR($P861-INDEX(Config!$E$15:$E$18,MATCH($S861,Config!$B$15:$B$18,0)),""))</f>
        <v/>
      </c>
      <c r="R861" t="str">
        <f t="shared" si="58"/>
        <v/>
      </c>
      <c r="S861" s="6" t="str">
        <f>IF(OR($A861="",$C861=""),"",IFERROR(INDEX(Turno!$C$3:$V$32,MATCH($C861,Turno!$B$3:$B$32,0),MATCH(DAY($A861),Turno!$C$1:$V$1,0)),""))</f>
        <v/>
      </c>
      <c r="T861" t="str">
        <f>IF(OR($E861="",$S861=""),"",IFERROR(MAX(0,ROUND((INDEX(Config!$D$15:$D$18,MATCH($S861,Config!$B$15:$B$18,0))-$E861)*1440,0)),""))</f>
        <v/>
      </c>
      <c r="U861" s="13" t="str">
        <f>IF(OR($N861="",$T861=""),"",IFERROR(MAX(0,1-($N861+$T861+MAX(0,N($Q861)))/ROUND((INDEX(Config!$D$15:$D$18,MATCH($S861,Config!$B$15:$B$18,0))-INDEX(Config!$C$15:$C$18,MATCH($S861,Config!$B$15:$B$18,0)))*1440,0)),""))</f>
        <v/>
      </c>
      <c r="V861" s="5"/>
    </row>
    <row r="862" spans="1:22" x14ac:dyDescent="0.25">
      <c r="A862" s="11"/>
      <c r="B862" s="5"/>
      <c r="C862" s="6" t="str">
        <f>IFERROR(INDEX(Ejecutivos!$B$2:$B$100,MATCH(B862,Ejecutivos!$A$2:$A$100,0)),"")</f>
        <v/>
      </c>
      <c r="D862" s="12"/>
      <c r="E862" s="12"/>
      <c r="F862" s="12"/>
      <c r="G862" s="12"/>
      <c r="H862" s="5"/>
      <c r="I862" s="5"/>
      <c r="J862" s="5"/>
      <c r="K862" s="5"/>
      <c r="L862" s="18">
        <v>0</v>
      </c>
      <c r="M862" t="str">
        <f t="shared" si="55"/>
        <v/>
      </c>
      <c r="N862" t="str">
        <f>IF(OR($D862="",$S862=""),"",IFERROR(MAX(0,ROUND(($D862-INDEX(Config!$C$15:$C$18,MATCH($S862,Config!$B$15:$B$18,0)))*24*60,0)),""))</f>
        <v/>
      </c>
      <c r="O862" t="str">
        <f t="shared" si="56"/>
        <v/>
      </c>
      <c r="P862" t="str">
        <f t="shared" si="57"/>
        <v/>
      </c>
      <c r="Q862" t="str">
        <f>IF(OR($P862="",$S862=""),"",IFERROR($P862-INDEX(Config!$E$15:$E$18,MATCH($S862,Config!$B$15:$B$18,0)),""))</f>
        <v/>
      </c>
      <c r="R862" t="str">
        <f t="shared" si="58"/>
        <v/>
      </c>
      <c r="S862" s="6" t="str">
        <f>IF(OR($A862="",$C862=""),"",IFERROR(INDEX(Turno!$C$3:$V$32,MATCH($C862,Turno!$B$3:$B$32,0),MATCH(DAY($A862),Turno!$C$1:$V$1,0)),""))</f>
        <v/>
      </c>
      <c r="T862" t="str">
        <f>IF(OR($E862="",$S862=""),"",IFERROR(MAX(0,ROUND((INDEX(Config!$D$15:$D$18,MATCH($S862,Config!$B$15:$B$18,0))-$E862)*1440,0)),""))</f>
        <v/>
      </c>
      <c r="U862" s="13" t="str">
        <f>IF(OR($N862="",$T862=""),"",IFERROR(MAX(0,1-($N862+$T862+MAX(0,N($Q862)))/ROUND((INDEX(Config!$D$15:$D$18,MATCH($S862,Config!$B$15:$B$18,0))-INDEX(Config!$C$15:$C$18,MATCH($S862,Config!$B$15:$B$18,0)))*1440,0)),""))</f>
        <v/>
      </c>
      <c r="V862" s="5"/>
    </row>
    <row r="863" spans="1:22" x14ac:dyDescent="0.25">
      <c r="A863" s="11"/>
      <c r="B863" s="5"/>
      <c r="C863" s="6" t="str">
        <f>IFERROR(INDEX(Ejecutivos!$B$2:$B$100,MATCH(B863,Ejecutivos!$A$2:$A$100,0)),"")</f>
        <v/>
      </c>
      <c r="D863" s="12"/>
      <c r="E863" s="12"/>
      <c r="F863" s="12"/>
      <c r="G863" s="12"/>
      <c r="H863" s="5"/>
      <c r="I863" s="5"/>
      <c r="J863" s="5"/>
      <c r="K863" s="5"/>
      <c r="L863" s="18">
        <v>0</v>
      </c>
      <c r="M863" t="str">
        <f t="shared" si="55"/>
        <v/>
      </c>
      <c r="N863" t="str">
        <f>IF(OR($D863="",$S863=""),"",IFERROR(MAX(0,ROUND(($D863-INDEX(Config!$C$15:$C$18,MATCH($S863,Config!$B$15:$B$18,0)))*24*60,0)),""))</f>
        <v/>
      </c>
      <c r="O863" t="str">
        <f t="shared" si="56"/>
        <v/>
      </c>
      <c r="P863" t="str">
        <f t="shared" si="57"/>
        <v/>
      </c>
      <c r="Q863" t="str">
        <f>IF(OR($P863="",$S863=""),"",IFERROR($P863-INDEX(Config!$E$15:$E$18,MATCH($S863,Config!$B$15:$B$18,0)),""))</f>
        <v/>
      </c>
      <c r="R863" t="str">
        <f t="shared" si="58"/>
        <v/>
      </c>
      <c r="S863" s="6" t="str">
        <f>IF(OR($A863="",$C863=""),"",IFERROR(INDEX(Turno!$C$3:$V$32,MATCH($C863,Turno!$B$3:$B$32,0),MATCH(DAY($A863),Turno!$C$1:$V$1,0)),""))</f>
        <v/>
      </c>
      <c r="T863" t="str">
        <f>IF(OR($E863="",$S863=""),"",IFERROR(MAX(0,ROUND((INDEX(Config!$D$15:$D$18,MATCH($S863,Config!$B$15:$B$18,0))-$E863)*1440,0)),""))</f>
        <v/>
      </c>
      <c r="U863" s="13" t="str">
        <f>IF(OR($N863="",$T863=""),"",IFERROR(MAX(0,1-($N863+$T863+MAX(0,N($Q863)))/ROUND((INDEX(Config!$D$15:$D$18,MATCH($S863,Config!$B$15:$B$18,0))-INDEX(Config!$C$15:$C$18,MATCH($S863,Config!$B$15:$B$18,0)))*1440,0)),""))</f>
        <v/>
      </c>
      <c r="V863" s="5"/>
    </row>
    <row r="864" spans="1:22" x14ac:dyDescent="0.25">
      <c r="A864" s="11"/>
      <c r="B864" s="5"/>
      <c r="C864" s="6" t="str">
        <f>IFERROR(INDEX(Ejecutivos!$B$2:$B$100,MATCH(B864,Ejecutivos!$A$2:$A$100,0)),"")</f>
        <v/>
      </c>
      <c r="D864" s="12"/>
      <c r="E864" s="12"/>
      <c r="F864" s="12"/>
      <c r="G864" s="12"/>
      <c r="H864" s="5"/>
      <c r="I864" s="5"/>
      <c r="J864" s="5"/>
      <c r="K864" s="5"/>
      <c r="L864" s="18">
        <v>0</v>
      </c>
      <c r="M864" t="str">
        <f t="shared" si="55"/>
        <v/>
      </c>
      <c r="N864" t="str">
        <f>IF(OR($D864="",$S864=""),"",IFERROR(MAX(0,ROUND(($D864-INDEX(Config!$C$15:$C$18,MATCH($S864,Config!$B$15:$B$18,0)))*24*60,0)),""))</f>
        <v/>
      </c>
      <c r="O864" t="str">
        <f t="shared" si="56"/>
        <v/>
      </c>
      <c r="P864" t="str">
        <f t="shared" si="57"/>
        <v/>
      </c>
      <c r="Q864" t="str">
        <f>IF(OR($P864="",$S864=""),"",IFERROR($P864-INDEX(Config!$E$15:$E$18,MATCH($S864,Config!$B$15:$B$18,0)),""))</f>
        <v/>
      </c>
      <c r="R864" t="str">
        <f t="shared" si="58"/>
        <v/>
      </c>
      <c r="S864" s="6" t="str">
        <f>IF(OR($A864="",$C864=""),"",IFERROR(INDEX(Turno!$C$3:$V$32,MATCH($C864,Turno!$B$3:$B$32,0),MATCH(DAY($A864),Turno!$C$1:$V$1,0)),""))</f>
        <v/>
      </c>
      <c r="T864" t="str">
        <f>IF(OR($E864="",$S864=""),"",IFERROR(MAX(0,ROUND((INDEX(Config!$D$15:$D$18,MATCH($S864,Config!$B$15:$B$18,0))-$E864)*1440,0)),""))</f>
        <v/>
      </c>
      <c r="U864" s="13" t="str">
        <f>IF(OR($N864="",$T864=""),"",IFERROR(MAX(0,1-($N864+$T864+MAX(0,N($Q864)))/ROUND((INDEX(Config!$D$15:$D$18,MATCH($S864,Config!$B$15:$B$18,0))-INDEX(Config!$C$15:$C$18,MATCH($S864,Config!$B$15:$B$18,0)))*1440,0)),""))</f>
        <v/>
      </c>
      <c r="V864" s="5"/>
    </row>
    <row r="865" spans="1:22" x14ac:dyDescent="0.25">
      <c r="A865" s="11"/>
      <c r="B865" s="5"/>
      <c r="C865" s="6" t="str">
        <f>IFERROR(INDEX(Ejecutivos!$B$2:$B$100,MATCH(B865,Ejecutivos!$A$2:$A$100,0)),"")</f>
        <v/>
      </c>
      <c r="D865" s="12"/>
      <c r="E865" s="12"/>
      <c r="F865" s="12"/>
      <c r="G865" s="12"/>
      <c r="H865" s="5"/>
      <c r="I865" s="5"/>
      <c r="J865" s="5"/>
      <c r="K865" s="5"/>
      <c r="L865" s="18">
        <v>0</v>
      </c>
      <c r="M865" t="str">
        <f t="shared" si="55"/>
        <v/>
      </c>
      <c r="N865" t="str">
        <f>IF(OR($D865="",$S865=""),"",IFERROR(MAX(0,ROUND(($D865-INDEX(Config!$C$15:$C$18,MATCH($S865,Config!$B$15:$B$18,0)))*24*60,0)),""))</f>
        <v/>
      </c>
      <c r="O865" t="str">
        <f t="shared" si="56"/>
        <v/>
      </c>
      <c r="P865" t="str">
        <f t="shared" si="57"/>
        <v/>
      </c>
      <c r="Q865" t="str">
        <f>IF(OR($P865="",$S865=""),"",IFERROR($P865-INDEX(Config!$E$15:$E$18,MATCH($S865,Config!$B$15:$B$18,0)),""))</f>
        <v/>
      </c>
      <c r="R865" t="str">
        <f t="shared" si="58"/>
        <v/>
      </c>
      <c r="S865" s="6" t="str">
        <f>IF(OR($A865="",$C865=""),"",IFERROR(INDEX(Turno!$C$3:$V$32,MATCH($C865,Turno!$B$3:$B$32,0),MATCH(DAY($A865),Turno!$C$1:$V$1,0)),""))</f>
        <v/>
      </c>
      <c r="T865" t="str">
        <f>IF(OR($E865="",$S865=""),"",IFERROR(MAX(0,ROUND((INDEX(Config!$D$15:$D$18,MATCH($S865,Config!$B$15:$B$18,0))-$E865)*1440,0)),""))</f>
        <v/>
      </c>
      <c r="U865" s="13" t="str">
        <f>IF(OR($N865="",$T865=""),"",IFERROR(MAX(0,1-($N865+$T865+MAX(0,N($Q865)))/ROUND((INDEX(Config!$D$15:$D$18,MATCH($S865,Config!$B$15:$B$18,0))-INDEX(Config!$C$15:$C$18,MATCH($S865,Config!$B$15:$B$18,0)))*1440,0)),""))</f>
        <v/>
      </c>
      <c r="V865" s="5"/>
    </row>
    <row r="866" spans="1:22" x14ac:dyDescent="0.25">
      <c r="A866" s="11"/>
      <c r="B866" s="5"/>
      <c r="C866" s="6" t="str">
        <f>IFERROR(INDEX(Ejecutivos!$B$2:$B$100,MATCH(B866,Ejecutivos!$A$2:$A$100,0)),"")</f>
        <v/>
      </c>
      <c r="D866" s="12"/>
      <c r="E866" s="12"/>
      <c r="F866" s="12"/>
      <c r="G866" s="12"/>
      <c r="H866" s="5"/>
      <c r="I866" s="5"/>
      <c r="J866" s="5"/>
      <c r="K866" s="5"/>
      <c r="L866" s="18">
        <v>0</v>
      </c>
      <c r="M866" t="str">
        <f t="shared" si="55"/>
        <v/>
      </c>
      <c r="N866" t="str">
        <f>IF(OR($D866="",$S866=""),"",IFERROR(MAX(0,ROUND(($D866-INDEX(Config!$C$15:$C$18,MATCH($S866,Config!$B$15:$B$18,0)))*24*60,0)),""))</f>
        <v/>
      </c>
      <c r="O866" t="str">
        <f t="shared" si="56"/>
        <v/>
      </c>
      <c r="P866" t="str">
        <f t="shared" si="57"/>
        <v/>
      </c>
      <c r="Q866" t="str">
        <f>IF(OR($P866="",$S866=""),"",IFERROR($P866-INDEX(Config!$E$15:$E$18,MATCH($S866,Config!$B$15:$B$18,0)),""))</f>
        <v/>
      </c>
      <c r="R866" t="str">
        <f t="shared" si="58"/>
        <v/>
      </c>
      <c r="S866" s="6" t="str">
        <f>IF(OR($A866="",$C866=""),"",IFERROR(INDEX(Turno!$C$3:$V$32,MATCH($C866,Turno!$B$3:$B$32,0),MATCH(DAY($A866),Turno!$C$1:$V$1,0)),""))</f>
        <v/>
      </c>
      <c r="T866" t="str">
        <f>IF(OR($E866="",$S866=""),"",IFERROR(MAX(0,ROUND((INDEX(Config!$D$15:$D$18,MATCH($S866,Config!$B$15:$B$18,0))-$E866)*1440,0)),""))</f>
        <v/>
      </c>
      <c r="U866" s="13" t="str">
        <f>IF(OR($N866="",$T866=""),"",IFERROR(MAX(0,1-($N866+$T866+MAX(0,N($Q866)))/ROUND((INDEX(Config!$D$15:$D$18,MATCH($S866,Config!$B$15:$B$18,0))-INDEX(Config!$C$15:$C$18,MATCH($S866,Config!$B$15:$B$18,0)))*1440,0)),""))</f>
        <v/>
      </c>
      <c r="V866" s="5"/>
    </row>
    <row r="867" spans="1:22" x14ac:dyDescent="0.25">
      <c r="A867" s="11"/>
      <c r="B867" s="5"/>
      <c r="C867" s="6" t="str">
        <f>IFERROR(INDEX(Ejecutivos!$B$2:$B$100,MATCH(B867,Ejecutivos!$A$2:$A$100,0)),"")</f>
        <v/>
      </c>
      <c r="D867" s="12"/>
      <c r="E867" s="12"/>
      <c r="F867" s="12"/>
      <c r="G867" s="12"/>
      <c r="H867" s="5"/>
      <c r="I867" s="5"/>
      <c r="J867" s="5"/>
      <c r="K867" s="5"/>
      <c r="L867" s="18">
        <v>0</v>
      </c>
      <c r="M867" t="str">
        <f t="shared" si="55"/>
        <v/>
      </c>
      <c r="N867" t="str">
        <f>IF(OR($D867="",$S867=""),"",IFERROR(MAX(0,ROUND(($D867-INDEX(Config!$C$15:$C$18,MATCH($S867,Config!$B$15:$B$18,0)))*24*60,0)),""))</f>
        <v/>
      </c>
      <c r="O867" t="str">
        <f t="shared" si="56"/>
        <v/>
      </c>
      <c r="P867" t="str">
        <f t="shared" si="57"/>
        <v/>
      </c>
      <c r="Q867" t="str">
        <f>IF(OR($P867="",$S867=""),"",IFERROR($P867-INDEX(Config!$E$15:$E$18,MATCH($S867,Config!$B$15:$B$18,0)),""))</f>
        <v/>
      </c>
      <c r="R867" t="str">
        <f t="shared" si="58"/>
        <v/>
      </c>
      <c r="S867" s="6" t="str">
        <f>IF(OR($A867="",$C867=""),"",IFERROR(INDEX(Turno!$C$3:$V$32,MATCH($C867,Turno!$B$3:$B$32,0),MATCH(DAY($A867),Turno!$C$1:$V$1,0)),""))</f>
        <v/>
      </c>
      <c r="T867" t="str">
        <f>IF(OR($E867="",$S867=""),"",IFERROR(MAX(0,ROUND((INDEX(Config!$D$15:$D$18,MATCH($S867,Config!$B$15:$B$18,0))-$E867)*1440,0)),""))</f>
        <v/>
      </c>
      <c r="U867" s="13" t="str">
        <f>IF(OR($N867="",$T867=""),"",IFERROR(MAX(0,1-($N867+$T867+MAX(0,N($Q867)))/ROUND((INDEX(Config!$D$15:$D$18,MATCH($S867,Config!$B$15:$B$18,0))-INDEX(Config!$C$15:$C$18,MATCH($S867,Config!$B$15:$B$18,0)))*1440,0)),""))</f>
        <v/>
      </c>
      <c r="V867" s="5"/>
    </row>
    <row r="868" spans="1:22" x14ac:dyDescent="0.25">
      <c r="A868" s="11"/>
      <c r="B868" s="5"/>
      <c r="C868" s="6" t="str">
        <f>IFERROR(INDEX(Ejecutivos!$B$2:$B$100,MATCH(B868,Ejecutivos!$A$2:$A$100,0)),"")</f>
        <v/>
      </c>
      <c r="D868" s="12"/>
      <c r="E868" s="12"/>
      <c r="F868" s="12"/>
      <c r="G868" s="12"/>
      <c r="H868" s="5"/>
      <c r="I868" s="5"/>
      <c r="J868" s="5"/>
      <c r="K868" s="5"/>
      <c r="L868" s="18">
        <v>0</v>
      </c>
      <c r="M868" t="str">
        <f t="shared" si="55"/>
        <v/>
      </c>
      <c r="N868" t="str">
        <f>IF(OR($D868="",$S868=""),"",IFERROR(MAX(0,ROUND(($D868-INDEX(Config!$C$15:$C$18,MATCH($S868,Config!$B$15:$B$18,0)))*24*60,0)),""))</f>
        <v/>
      </c>
      <c r="O868" t="str">
        <f t="shared" si="56"/>
        <v/>
      </c>
      <c r="P868" t="str">
        <f t="shared" si="57"/>
        <v/>
      </c>
      <c r="Q868" t="str">
        <f>IF(OR($P868="",$S868=""),"",IFERROR($P868-INDEX(Config!$E$15:$E$18,MATCH($S868,Config!$B$15:$B$18,0)),""))</f>
        <v/>
      </c>
      <c r="R868" t="str">
        <f t="shared" si="58"/>
        <v/>
      </c>
      <c r="S868" s="6" t="str">
        <f>IF(OR($A868="",$C868=""),"",IFERROR(INDEX(Turno!$C$3:$V$32,MATCH($C868,Turno!$B$3:$B$32,0),MATCH(DAY($A868),Turno!$C$1:$V$1,0)),""))</f>
        <v/>
      </c>
      <c r="T868" t="str">
        <f>IF(OR($E868="",$S868=""),"",IFERROR(MAX(0,ROUND((INDEX(Config!$D$15:$D$18,MATCH($S868,Config!$B$15:$B$18,0))-$E868)*1440,0)),""))</f>
        <v/>
      </c>
      <c r="U868" s="13" t="str">
        <f>IF(OR($N868="",$T868=""),"",IFERROR(MAX(0,1-($N868+$T868+MAX(0,N($Q868)))/ROUND((INDEX(Config!$D$15:$D$18,MATCH($S868,Config!$B$15:$B$18,0))-INDEX(Config!$C$15:$C$18,MATCH($S868,Config!$B$15:$B$18,0)))*1440,0)),""))</f>
        <v/>
      </c>
      <c r="V868" s="5"/>
    </row>
    <row r="869" spans="1:22" x14ac:dyDescent="0.25">
      <c r="A869" s="11"/>
      <c r="B869" s="5"/>
      <c r="C869" s="6" t="str">
        <f>IFERROR(INDEX(Ejecutivos!$B$2:$B$100,MATCH(B869,Ejecutivos!$A$2:$A$100,0)),"")</f>
        <v/>
      </c>
      <c r="D869" s="12"/>
      <c r="E869" s="12"/>
      <c r="F869" s="12"/>
      <c r="G869" s="12"/>
      <c r="H869" s="5"/>
      <c r="I869" s="5"/>
      <c r="J869" s="5"/>
      <c r="K869" s="5"/>
      <c r="L869" s="18">
        <v>0</v>
      </c>
      <c r="M869" t="str">
        <f t="shared" si="55"/>
        <v/>
      </c>
      <c r="N869" t="str">
        <f>IF(OR($D869="",$S869=""),"",IFERROR(MAX(0,ROUND(($D869-INDEX(Config!$C$15:$C$18,MATCH($S869,Config!$B$15:$B$18,0)))*24*60,0)),""))</f>
        <v/>
      </c>
      <c r="O869" t="str">
        <f t="shared" si="56"/>
        <v/>
      </c>
      <c r="P869" t="str">
        <f t="shared" si="57"/>
        <v/>
      </c>
      <c r="Q869" t="str">
        <f>IF(OR($P869="",$S869=""),"",IFERROR($P869-INDEX(Config!$E$15:$E$18,MATCH($S869,Config!$B$15:$B$18,0)),""))</f>
        <v/>
      </c>
      <c r="R869" t="str">
        <f t="shared" si="58"/>
        <v/>
      </c>
      <c r="S869" s="6" t="str">
        <f>IF(OR($A869="",$C869=""),"",IFERROR(INDEX(Turno!$C$3:$V$32,MATCH($C869,Turno!$B$3:$B$32,0),MATCH(DAY($A869),Turno!$C$1:$V$1,0)),""))</f>
        <v/>
      </c>
      <c r="T869" t="str">
        <f>IF(OR($E869="",$S869=""),"",IFERROR(MAX(0,ROUND((INDEX(Config!$D$15:$D$18,MATCH($S869,Config!$B$15:$B$18,0))-$E869)*1440,0)),""))</f>
        <v/>
      </c>
      <c r="U869" s="13" t="str">
        <f>IF(OR($N869="",$T869=""),"",IFERROR(MAX(0,1-($N869+$T869+MAX(0,N($Q869)))/ROUND((INDEX(Config!$D$15:$D$18,MATCH($S869,Config!$B$15:$B$18,0))-INDEX(Config!$C$15:$C$18,MATCH($S869,Config!$B$15:$B$18,0)))*1440,0)),""))</f>
        <v/>
      </c>
      <c r="V869" s="5"/>
    </row>
    <row r="870" spans="1:22" x14ac:dyDescent="0.25">
      <c r="A870" s="11"/>
      <c r="B870" s="5"/>
      <c r="C870" s="6" t="str">
        <f>IFERROR(INDEX(Ejecutivos!$B$2:$B$100,MATCH(B870,Ejecutivos!$A$2:$A$100,0)),"")</f>
        <v/>
      </c>
      <c r="D870" s="12"/>
      <c r="E870" s="12"/>
      <c r="F870" s="12"/>
      <c r="G870" s="12"/>
      <c r="H870" s="5"/>
      <c r="I870" s="5"/>
      <c r="J870" s="5"/>
      <c r="K870" s="5"/>
      <c r="L870" s="18">
        <v>0</v>
      </c>
      <c r="M870" t="str">
        <f t="shared" si="55"/>
        <v/>
      </c>
      <c r="N870" t="str">
        <f>IF(OR($D870="",$S870=""),"",IFERROR(MAX(0,ROUND(($D870-INDEX(Config!$C$15:$C$18,MATCH($S870,Config!$B$15:$B$18,0)))*24*60,0)),""))</f>
        <v/>
      </c>
      <c r="O870" t="str">
        <f t="shared" si="56"/>
        <v/>
      </c>
      <c r="P870" t="str">
        <f t="shared" si="57"/>
        <v/>
      </c>
      <c r="Q870" t="str">
        <f>IF(OR($P870="",$S870=""),"",IFERROR($P870-INDEX(Config!$E$15:$E$18,MATCH($S870,Config!$B$15:$B$18,0)),""))</f>
        <v/>
      </c>
      <c r="R870" t="str">
        <f t="shared" si="58"/>
        <v/>
      </c>
      <c r="S870" s="6" t="str">
        <f>IF(OR($A870="",$C870=""),"",IFERROR(INDEX(Turno!$C$3:$V$32,MATCH($C870,Turno!$B$3:$B$32,0),MATCH(DAY($A870),Turno!$C$1:$V$1,0)),""))</f>
        <v/>
      </c>
      <c r="T870" t="str">
        <f>IF(OR($E870="",$S870=""),"",IFERROR(MAX(0,ROUND((INDEX(Config!$D$15:$D$18,MATCH($S870,Config!$B$15:$B$18,0))-$E870)*1440,0)),""))</f>
        <v/>
      </c>
      <c r="U870" s="13" t="str">
        <f>IF(OR($N870="",$T870=""),"",IFERROR(MAX(0,1-($N870+$T870+MAX(0,N($Q870)))/ROUND((INDEX(Config!$D$15:$D$18,MATCH($S870,Config!$B$15:$B$18,0))-INDEX(Config!$C$15:$C$18,MATCH($S870,Config!$B$15:$B$18,0)))*1440,0)),""))</f>
        <v/>
      </c>
      <c r="V870" s="5"/>
    </row>
    <row r="871" spans="1:22" x14ac:dyDescent="0.25">
      <c r="A871" s="11"/>
      <c r="B871" s="5"/>
      <c r="C871" s="6" t="str">
        <f>IFERROR(INDEX(Ejecutivos!$B$2:$B$100,MATCH(B871,Ejecutivos!$A$2:$A$100,0)),"")</f>
        <v/>
      </c>
      <c r="D871" s="12"/>
      <c r="E871" s="12"/>
      <c r="F871" s="12"/>
      <c r="G871" s="12"/>
      <c r="H871" s="5"/>
      <c r="I871" s="5"/>
      <c r="J871" s="5"/>
      <c r="K871" s="5"/>
      <c r="L871" s="18">
        <v>0</v>
      </c>
      <c r="M871" t="str">
        <f t="shared" si="55"/>
        <v/>
      </c>
      <c r="N871" t="str">
        <f>IF(OR($D871="",$S871=""),"",IFERROR(MAX(0,ROUND(($D871-INDEX(Config!$C$15:$C$18,MATCH($S871,Config!$B$15:$B$18,0)))*24*60,0)),""))</f>
        <v/>
      </c>
      <c r="O871" t="str">
        <f t="shared" si="56"/>
        <v/>
      </c>
      <c r="P871" t="str">
        <f t="shared" si="57"/>
        <v/>
      </c>
      <c r="Q871" t="str">
        <f>IF(OR($P871="",$S871=""),"",IFERROR($P871-INDEX(Config!$E$15:$E$18,MATCH($S871,Config!$B$15:$B$18,0)),""))</f>
        <v/>
      </c>
      <c r="R871" t="str">
        <f t="shared" si="58"/>
        <v/>
      </c>
      <c r="S871" s="6" t="str">
        <f>IF(OR($A871="",$C871=""),"",IFERROR(INDEX(Turno!$C$3:$V$32,MATCH($C871,Turno!$B$3:$B$32,0),MATCH(DAY($A871),Turno!$C$1:$V$1,0)),""))</f>
        <v/>
      </c>
      <c r="T871" t="str">
        <f>IF(OR($E871="",$S871=""),"",IFERROR(MAX(0,ROUND((INDEX(Config!$D$15:$D$18,MATCH($S871,Config!$B$15:$B$18,0))-$E871)*1440,0)),""))</f>
        <v/>
      </c>
      <c r="U871" s="13" t="str">
        <f>IF(OR($N871="",$T871=""),"",IFERROR(MAX(0,1-($N871+$T871+MAX(0,N($Q871)))/ROUND((INDEX(Config!$D$15:$D$18,MATCH($S871,Config!$B$15:$B$18,0))-INDEX(Config!$C$15:$C$18,MATCH($S871,Config!$B$15:$B$18,0)))*1440,0)),""))</f>
        <v/>
      </c>
      <c r="V871" s="5"/>
    </row>
    <row r="872" spans="1:22" x14ac:dyDescent="0.25">
      <c r="A872" s="11"/>
      <c r="B872" s="5"/>
      <c r="C872" s="6" t="str">
        <f>IFERROR(INDEX(Ejecutivos!$B$2:$B$100,MATCH(B872,Ejecutivos!$A$2:$A$100,0)),"")</f>
        <v/>
      </c>
      <c r="D872" s="12"/>
      <c r="E872" s="12"/>
      <c r="F872" s="12"/>
      <c r="G872" s="12"/>
      <c r="H872" s="5"/>
      <c r="I872" s="5"/>
      <c r="J872" s="5"/>
      <c r="K872" s="5"/>
      <c r="L872" s="18">
        <v>0</v>
      </c>
      <c r="M872" t="str">
        <f t="shared" si="55"/>
        <v/>
      </c>
      <c r="N872" t="str">
        <f>IF(OR($D872="",$S872=""),"",IFERROR(MAX(0,ROUND(($D872-INDEX(Config!$C$15:$C$18,MATCH($S872,Config!$B$15:$B$18,0)))*24*60,0)),""))</f>
        <v/>
      </c>
      <c r="O872" t="str">
        <f t="shared" si="56"/>
        <v/>
      </c>
      <c r="P872" t="str">
        <f t="shared" si="57"/>
        <v/>
      </c>
      <c r="Q872" t="str">
        <f>IF(OR($P872="",$S872=""),"",IFERROR($P872-INDEX(Config!$E$15:$E$18,MATCH($S872,Config!$B$15:$B$18,0)),""))</f>
        <v/>
      </c>
      <c r="R872" t="str">
        <f t="shared" si="58"/>
        <v/>
      </c>
      <c r="S872" s="6" t="str">
        <f>IF(OR($A872="",$C872=""),"",IFERROR(INDEX(Turno!$C$3:$V$32,MATCH($C872,Turno!$B$3:$B$32,0),MATCH(DAY($A872),Turno!$C$1:$V$1,0)),""))</f>
        <v/>
      </c>
      <c r="T872" t="str">
        <f>IF(OR($E872="",$S872=""),"",IFERROR(MAX(0,ROUND((INDEX(Config!$D$15:$D$18,MATCH($S872,Config!$B$15:$B$18,0))-$E872)*1440,0)),""))</f>
        <v/>
      </c>
      <c r="U872" s="13" t="str">
        <f>IF(OR($N872="",$T872=""),"",IFERROR(MAX(0,1-($N872+$T872+MAX(0,N($Q872)))/ROUND((INDEX(Config!$D$15:$D$18,MATCH($S872,Config!$B$15:$B$18,0))-INDEX(Config!$C$15:$C$18,MATCH($S872,Config!$B$15:$B$18,0)))*1440,0)),""))</f>
        <v/>
      </c>
      <c r="V872" s="5"/>
    </row>
    <row r="873" spans="1:22" x14ac:dyDescent="0.25">
      <c r="A873" s="11"/>
      <c r="B873" s="5"/>
      <c r="C873" s="6" t="str">
        <f>IFERROR(INDEX(Ejecutivos!$B$2:$B$100,MATCH(B873,Ejecutivos!$A$2:$A$100,0)),"")</f>
        <v/>
      </c>
      <c r="D873" s="12"/>
      <c r="E873" s="12"/>
      <c r="F873" s="12"/>
      <c r="G873" s="12"/>
      <c r="H873" s="5"/>
      <c r="I873" s="5"/>
      <c r="J873" s="5"/>
      <c r="K873" s="5"/>
      <c r="L873" s="18">
        <v>0</v>
      </c>
      <c r="M873" t="str">
        <f t="shared" si="55"/>
        <v/>
      </c>
      <c r="N873" t="str">
        <f>IF(OR($D873="",$S873=""),"",IFERROR(MAX(0,ROUND(($D873-INDEX(Config!$C$15:$C$18,MATCH($S873,Config!$B$15:$B$18,0)))*24*60,0)),""))</f>
        <v/>
      </c>
      <c r="O873" t="str">
        <f t="shared" si="56"/>
        <v/>
      </c>
      <c r="P873" t="str">
        <f t="shared" si="57"/>
        <v/>
      </c>
      <c r="Q873" t="str">
        <f>IF(OR($P873="",$S873=""),"",IFERROR($P873-INDEX(Config!$E$15:$E$18,MATCH($S873,Config!$B$15:$B$18,0)),""))</f>
        <v/>
      </c>
      <c r="R873" t="str">
        <f t="shared" si="58"/>
        <v/>
      </c>
      <c r="S873" s="6" t="str">
        <f>IF(OR($A873="",$C873=""),"",IFERROR(INDEX(Turno!$C$3:$V$32,MATCH($C873,Turno!$B$3:$B$32,0),MATCH(DAY($A873),Turno!$C$1:$V$1,0)),""))</f>
        <v/>
      </c>
      <c r="T873" t="str">
        <f>IF(OR($E873="",$S873=""),"",IFERROR(MAX(0,ROUND((INDEX(Config!$D$15:$D$18,MATCH($S873,Config!$B$15:$B$18,0))-$E873)*1440,0)),""))</f>
        <v/>
      </c>
      <c r="U873" s="13" t="str">
        <f>IF(OR($N873="",$T873=""),"",IFERROR(MAX(0,1-($N873+$T873+MAX(0,N($Q873)))/ROUND((INDEX(Config!$D$15:$D$18,MATCH($S873,Config!$B$15:$B$18,0))-INDEX(Config!$C$15:$C$18,MATCH($S873,Config!$B$15:$B$18,0)))*1440,0)),""))</f>
        <v/>
      </c>
      <c r="V873" s="5"/>
    </row>
    <row r="874" spans="1:22" x14ac:dyDescent="0.25">
      <c r="A874" s="11"/>
      <c r="B874" s="5"/>
      <c r="C874" s="6" t="str">
        <f>IFERROR(INDEX(Ejecutivos!$B$2:$B$100,MATCH(B874,Ejecutivos!$A$2:$A$100,0)),"")</f>
        <v/>
      </c>
      <c r="D874" s="12"/>
      <c r="E874" s="12"/>
      <c r="F874" s="12"/>
      <c r="G874" s="12"/>
      <c r="H874" s="5"/>
      <c r="I874" s="5"/>
      <c r="J874" s="5"/>
      <c r="K874" s="5"/>
      <c r="L874" s="18">
        <v>0</v>
      </c>
      <c r="M874" t="str">
        <f t="shared" si="55"/>
        <v/>
      </c>
      <c r="N874" t="str">
        <f>IF(OR($D874="",$S874=""),"",IFERROR(MAX(0,ROUND(($D874-INDEX(Config!$C$15:$C$18,MATCH($S874,Config!$B$15:$B$18,0)))*24*60,0)),""))</f>
        <v/>
      </c>
      <c r="O874" t="str">
        <f t="shared" si="56"/>
        <v/>
      </c>
      <c r="P874" t="str">
        <f t="shared" si="57"/>
        <v/>
      </c>
      <c r="Q874" t="str">
        <f>IF(OR($P874="",$S874=""),"",IFERROR($P874-INDEX(Config!$E$15:$E$18,MATCH($S874,Config!$B$15:$B$18,0)),""))</f>
        <v/>
      </c>
      <c r="R874" t="str">
        <f t="shared" si="58"/>
        <v/>
      </c>
      <c r="S874" s="6" t="str">
        <f>IF(OR($A874="",$C874=""),"",IFERROR(INDEX(Turno!$C$3:$V$32,MATCH($C874,Turno!$B$3:$B$32,0),MATCH(DAY($A874),Turno!$C$1:$V$1,0)),""))</f>
        <v/>
      </c>
      <c r="T874" t="str">
        <f>IF(OR($E874="",$S874=""),"",IFERROR(MAX(0,ROUND((INDEX(Config!$D$15:$D$18,MATCH($S874,Config!$B$15:$B$18,0))-$E874)*1440,0)),""))</f>
        <v/>
      </c>
      <c r="U874" s="13" t="str">
        <f>IF(OR($N874="",$T874=""),"",IFERROR(MAX(0,1-($N874+$T874+MAX(0,N($Q874)))/ROUND((INDEX(Config!$D$15:$D$18,MATCH($S874,Config!$B$15:$B$18,0))-INDEX(Config!$C$15:$C$18,MATCH($S874,Config!$B$15:$B$18,0)))*1440,0)),""))</f>
        <v/>
      </c>
      <c r="V874" s="5"/>
    </row>
    <row r="875" spans="1:22" x14ac:dyDescent="0.25">
      <c r="A875" s="11"/>
      <c r="B875" s="5"/>
      <c r="C875" s="6" t="str">
        <f>IFERROR(INDEX(Ejecutivos!$B$2:$B$100,MATCH(B875,Ejecutivos!$A$2:$A$100,0)),"")</f>
        <v/>
      </c>
      <c r="D875" s="12"/>
      <c r="E875" s="12"/>
      <c r="F875" s="12"/>
      <c r="G875" s="12"/>
      <c r="H875" s="5"/>
      <c r="I875" s="5"/>
      <c r="J875" s="5"/>
      <c r="K875" s="5"/>
      <c r="L875" s="18">
        <v>0</v>
      </c>
      <c r="M875" t="str">
        <f t="shared" si="55"/>
        <v/>
      </c>
      <c r="N875" t="str">
        <f>IF(OR($D875="",$S875=""),"",IFERROR(MAX(0,ROUND(($D875-INDEX(Config!$C$15:$C$18,MATCH($S875,Config!$B$15:$B$18,0)))*24*60,0)),""))</f>
        <v/>
      </c>
      <c r="O875" t="str">
        <f t="shared" si="56"/>
        <v/>
      </c>
      <c r="P875" t="str">
        <f t="shared" si="57"/>
        <v/>
      </c>
      <c r="Q875" t="str">
        <f>IF(OR($P875="",$S875=""),"",IFERROR($P875-INDEX(Config!$E$15:$E$18,MATCH($S875,Config!$B$15:$B$18,0)),""))</f>
        <v/>
      </c>
      <c r="R875" t="str">
        <f t="shared" si="58"/>
        <v/>
      </c>
      <c r="S875" s="6" t="str">
        <f>IF(OR($A875="",$C875=""),"",IFERROR(INDEX(Turno!$C$3:$V$32,MATCH($C875,Turno!$B$3:$B$32,0),MATCH(DAY($A875),Turno!$C$1:$V$1,0)),""))</f>
        <v/>
      </c>
      <c r="T875" t="str">
        <f>IF(OR($E875="",$S875=""),"",IFERROR(MAX(0,ROUND((INDEX(Config!$D$15:$D$18,MATCH($S875,Config!$B$15:$B$18,0))-$E875)*1440,0)),""))</f>
        <v/>
      </c>
      <c r="U875" s="13" t="str">
        <f>IF(OR($N875="",$T875=""),"",IFERROR(MAX(0,1-($N875+$T875+MAX(0,N($Q875)))/ROUND((INDEX(Config!$D$15:$D$18,MATCH($S875,Config!$B$15:$B$18,0))-INDEX(Config!$C$15:$C$18,MATCH($S875,Config!$B$15:$B$18,0)))*1440,0)),""))</f>
        <v/>
      </c>
      <c r="V875" s="5"/>
    </row>
    <row r="876" spans="1:22" x14ac:dyDescent="0.25">
      <c r="A876" s="11"/>
      <c r="B876" s="5"/>
      <c r="C876" s="6" t="str">
        <f>IFERROR(INDEX(Ejecutivos!$B$2:$B$100,MATCH(B876,Ejecutivos!$A$2:$A$100,0)),"")</f>
        <v/>
      </c>
      <c r="D876" s="12"/>
      <c r="E876" s="12"/>
      <c r="F876" s="12"/>
      <c r="G876" s="12"/>
      <c r="H876" s="5"/>
      <c r="I876" s="5"/>
      <c r="J876" s="5"/>
      <c r="K876" s="5"/>
      <c r="L876" s="18">
        <v>0</v>
      </c>
      <c r="M876" t="str">
        <f t="shared" si="55"/>
        <v/>
      </c>
      <c r="N876" t="str">
        <f>IF(OR($D876="",$S876=""),"",IFERROR(MAX(0,ROUND(($D876-INDEX(Config!$C$15:$C$18,MATCH($S876,Config!$B$15:$B$18,0)))*24*60,0)),""))</f>
        <v/>
      </c>
      <c r="O876" t="str">
        <f t="shared" si="56"/>
        <v/>
      </c>
      <c r="P876" t="str">
        <f t="shared" si="57"/>
        <v/>
      </c>
      <c r="Q876" t="str">
        <f>IF(OR($P876="",$S876=""),"",IFERROR($P876-INDEX(Config!$E$15:$E$18,MATCH($S876,Config!$B$15:$B$18,0)),""))</f>
        <v/>
      </c>
      <c r="R876" t="str">
        <f t="shared" si="58"/>
        <v/>
      </c>
      <c r="S876" s="6" t="str">
        <f>IF(OR($A876="",$C876=""),"",IFERROR(INDEX(Turno!$C$3:$V$32,MATCH($C876,Turno!$B$3:$B$32,0),MATCH(DAY($A876),Turno!$C$1:$V$1,0)),""))</f>
        <v/>
      </c>
      <c r="T876" t="str">
        <f>IF(OR($E876="",$S876=""),"",IFERROR(MAX(0,ROUND((INDEX(Config!$D$15:$D$18,MATCH($S876,Config!$B$15:$B$18,0))-$E876)*1440,0)),""))</f>
        <v/>
      </c>
      <c r="U876" s="13" t="str">
        <f>IF(OR($N876="",$T876=""),"",IFERROR(MAX(0,1-($N876+$T876+MAX(0,N($Q876)))/ROUND((INDEX(Config!$D$15:$D$18,MATCH($S876,Config!$B$15:$B$18,0))-INDEX(Config!$C$15:$C$18,MATCH($S876,Config!$B$15:$B$18,0)))*1440,0)),""))</f>
        <v/>
      </c>
      <c r="V876" s="5"/>
    </row>
    <row r="877" spans="1:22" x14ac:dyDescent="0.25">
      <c r="A877" s="11"/>
      <c r="B877" s="5"/>
      <c r="C877" s="6" t="str">
        <f>IFERROR(INDEX(Ejecutivos!$B$2:$B$100,MATCH(B877,Ejecutivos!$A$2:$A$100,0)),"")</f>
        <v/>
      </c>
      <c r="D877" s="12"/>
      <c r="E877" s="12"/>
      <c r="F877" s="12"/>
      <c r="G877" s="12"/>
      <c r="H877" s="5"/>
      <c r="I877" s="5"/>
      <c r="J877" s="5"/>
      <c r="K877" s="5"/>
      <c r="L877" s="18">
        <v>0</v>
      </c>
      <c r="M877" t="str">
        <f t="shared" si="55"/>
        <v/>
      </c>
      <c r="N877" t="str">
        <f>IF(OR($D877="",$S877=""),"",IFERROR(MAX(0,ROUND(($D877-INDEX(Config!$C$15:$C$18,MATCH($S877,Config!$B$15:$B$18,0)))*24*60,0)),""))</f>
        <v/>
      </c>
      <c r="O877" t="str">
        <f t="shared" si="56"/>
        <v/>
      </c>
      <c r="P877" t="str">
        <f t="shared" si="57"/>
        <v/>
      </c>
      <c r="Q877" t="str">
        <f>IF(OR($P877="",$S877=""),"",IFERROR($P877-INDEX(Config!$E$15:$E$18,MATCH($S877,Config!$B$15:$B$18,0)),""))</f>
        <v/>
      </c>
      <c r="R877" t="str">
        <f t="shared" si="58"/>
        <v/>
      </c>
      <c r="S877" s="6" t="str">
        <f>IF(OR($A877="",$C877=""),"",IFERROR(INDEX(Turno!$C$3:$V$32,MATCH($C877,Turno!$B$3:$B$32,0),MATCH(DAY($A877),Turno!$C$1:$V$1,0)),""))</f>
        <v/>
      </c>
      <c r="T877" t="str">
        <f>IF(OR($E877="",$S877=""),"",IFERROR(MAX(0,ROUND((INDEX(Config!$D$15:$D$18,MATCH($S877,Config!$B$15:$B$18,0))-$E877)*1440,0)),""))</f>
        <v/>
      </c>
      <c r="U877" s="13" t="str">
        <f>IF(OR($N877="",$T877=""),"",IFERROR(MAX(0,1-($N877+$T877+MAX(0,N($Q877)))/ROUND((INDEX(Config!$D$15:$D$18,MATCH($S877,Config!$B$15:$B$18,0))-INDEX(Config!$C$15:$C$18,MATCH($S877,Config!$B$15:$B$18,0)))*1440,0)),""))</f>
        <v/>
      </c>
      <c r="V877" s="5"/>
    </row>
    <row r="878" spans="1:22" x14ac:dyDescent="0.25">
      <c r="A878" s="11"/>
      <c r="B878" s="5"/>
      <c r="C878" s="6" t="str">
        <f>IFERROR(INDEX(Ejecutivos!$B$2:$B$100,MATCH(B878,Ejecutivos!$A$2:$A$100,0)),"")</f>
        <v/>
      </c>
      <c r="D878" s="12"/>
      <c r="E878" s="12"/>
      <c r="F878" s="12"/>
      <c r="G878" s="12"/>
      <c r="H878" s="5"/>
      <c r="I878" s="5"/>
      <c r="J878" s="5"/>
      <c r="K878" s="5"/>
      <c r="L878" s="18">
        <v>0</v>
      </c>
      <c r="M878" t="str">
        <f t="shared" si="55"/>
        <v/>
      </c>
      <c r="N878" t="str">
        <f>IF(OR($D878="",$S878=""),"",IFERROR(MAX(0,ROUND(($D878-INDEX(Config!$C$15:$C$18,MATCH($S878,Config!$B$15:$B$18,0)))*24*60,0)),""))</f>
        <v/>
      </c>
      <c r="O878" t="str">
        <f t="shared" si="56"/>
        <v/>
      </c>
      <c r="P878" t="str">
        <f t="shared" si="57"/>
        <v/>
      </c>
      <c r="Q878" t="str">
        <f>IF(OR($P878="",$S878=""),"",IFERROR($P878-INDEX(Config!$E$15:$E$18,MATCH($S878,Config!$B$15:$B$18,0)),""))</f>
        <v/>
      </c>
      <c r="R878" t="str">
        <f t="shared" si="58"/>
        <v/>
      </c>
      <c r="S878" s="6" t="str">
        <f>IF(OR($A878="",$C878=""),"",IFERROR(INDEX(Turno!$C$3:$V$32,MATCH($C878,Turno!$B$3:$B$32,0),MATCH(DAY($A878),Turno!$C$1:$V$1,0)),""))</f>
        <v/>
      </c>
      <c r="T878" t="str">
        <f>IF(OR($E878="",$S878=""),"",IFERROR(MAX(0,ROUND((INDEX(Config!$D$15:$D$18,MATCH($S878,Config!$B$15:$B$18,0))-$E878)*1440,0)),""))</f>
        <v/>
      </c>
      <c r="U878" s="13" t="str">
        <f>IF(OR($N878="",$T878=""),"",IFERROR(MAX(0,1-($N878+$T878+MAX(0,N($Q878)))/ROUND((INDEX(Config!$D$15:$D$18,MATCH($S878,Config!$B$15:$B$18,0))-INDEX(Config!$C$15:$C$18,MATCH($S878,Config!$B$15:$B$18,0)))*1440,0)),""))</f>
        <v/>
      </c>
      <c r="V878" s="5"/>
    </row>
    <row r="879" spans="1:22" x14ac:dyDescent="0.25">
      <c r="A879" s="11"/>
      <c r="B879" s="5"/>
      <c r="C879" s="6" t="str">
        <f>IFERROR(INDEX(Ejecutivos!$B$2:$B$100,MATCH(B879,Ejecutivos!$A$2:$A$100,0)),"")</f>
        <v/>
      </c>
      <c r="D879" s="12"/>
      <c r="E879" s="12"/>
      <c r="F879" s="12"/>
      <c r="G879" s="12"/>
      <c r="H879" s="5"/>
      <c r="I879" s="5"/>
      <c r="J879" s="5"/>
      <c r="K879" s="5"/>
      <c r="L879" s="18">
        <v>0</v>
      </c>
      <c r="M879" t="str">
        <f t="shared" si="55"/>
        <v/>
      </c>
      <c r="N879" t="str">
        <f>IF(OR($D879="",$S879=""),"",IFERROR(MAX(0,ROUND(($D879-INDEX(Config!$C$15:$C$18,MATCH($S879,Config!$B$15:$B$18,0)))*24*60,0)),""))</f>
        <v/>
      </c>
      <c r="O879" t="str">
        <f t="shared" si="56"/>
        <v/>
      </c>
      <c r="P879" t="str">
        <f t="shared" si="57"/>
        <v/>
      </c>
      <c r="Q879" t="str">
        <f>IF(OR($P879="",$S879=""),"",IFERROR($P879-INDEX(Config!$E$15:$E$18,MATCH($S879,Config!$B$15:$B$18,0)),""))</f>
        <v/>
      </c>
      <c r="R879" t="str">
        <f t="shared" si="58"/>
        <v/>
      </c>
      <c r="S879" s="6" t="str">
        <f>IF(OR($A879="",$C879=""),"",IFERROR(INDEX(Turno!$C$3:$V$32,MATCH($C879,Turno!$B$3:$B$32,0),MATCH(DAY($A879),Turno!$C$1:$V$1,0)),""))</f>
        <v/>
      </c>
      <c r="T879" t="str">
        <f>IF(OR($E879="",$S879=""),"",IFERROR(MAX(0,ROUND((INDEX(Config!$D$15:$D$18,MATCH($S879,Config!$B$15:$B$18,0))-$E879)*1440,0)),""))</f>
        <v/>
      </c>
      <c r="U879" s="13" t="str">
        <f>IF(OR($N879="",$T879=""),"",IFERROR(MAX(0,1-($N879+$T879+MAX(0,N($Q879)))/ROUND((INDEX(Config!$D$15:$D$18,MATCH($S879,Config!$B$15:$B$18,0))-INDEX(Config!$C$15:$C$18,MATCH($S879,Config!$B$15:$B$18,0)))*1440,0)),""))</f>
        <v/>
      </c>
      <c r="V879" s="5"/>
    </row>
    <row r="880" spans="1:22" x14ac:dyDescent="0.25">
      <c r="A880" s="11"/>
      <c r="B880" s="5"/>
      <c r="C880" s="6" t="str">
        <f>IFERROR(INDEX(Ejecutivos!$B$2:$B$100,MATCH(B880,Ejecutivos!$A$2:$A$100,0)),"")</f>
        <v/>
      </c>
      <c r="D880" s="12"/>
      <c r="E880" s="12"/>
      <c r="F880" s="12"/>
      <c r="G880" s="12"/>
      <c r="H880" s="5"/>
      <c r="I880" s="5"/>
      <c r="J880" s="5"/>
      <c r="K880" s="5"/>
      <c r="L880" s="18">
        <v>0</v>
      </c>
      <c r="M880" t="str">
        <f t="shared" si="55"/>
        <v/>
      </c>
      <c r="N880" t="str">
        <f>IF(OR($D880="",$S880=""),"",IFERROR(MAX(0,ROUND(($D880-INDEX(Config!$C$15:$C$18,MATCH($S880,Config!$B$15:$B$18,0)))*24*60,0)),""))</f>
        <v/>
      </c>
      <c r="O880" t="str">
        <f t="shared" si="56"/>
        <v/>
      </c>
      <c r="P880" t="str">
        <f t="shared" si="57"/>
        <v/>
      </c>
      <c r="Q880" t="str">
        <f>IF(OR($P880="",$S880=""),"",IFERROR($P880-INDEX(Config!$E$15:$E$18,MATCH($S880,Config!$B$15:$B$18,0)),""))</f>
        <v/>
      </c>
      <c r="R880" t="str">
        <f t="shared" si="58"/>
        <v/>
      </c>
      <c r="S880" s="6" t="str">
        <f>IF(OR($A880="",$C880=""),"",IFERROR(INDEX(Turno!$C$3:$V$32,MATCH($C880,Turno!$B$3:$B$32,0),MATCH(DAY($A880),Turno!$C$1:$V$1,0)),""))</f>
        <v/>
      </c>
      <c r="T880" t="str">
        <f>IF(OR($E880="",$S880=""),"",IFERROR(MAX(0,ROUND((INDEX(Config!$D$15:$D$18,MATCH($S880,Config!$B$15:$B$18,0))-$E880)*1440,0)),""))</f>
        <v/>
      </c>
      <c r="U880" s="13" t="str">
        <f>IF(OR($N880="",$T880=""),"",IFERROR(MAX(0,1-($N880+$T880+MAX(0,N($Q880)))/ROUND((INDEX(Config!$D$15:$D$18,MATCH($S880,Config!$B$15:$B$18,0))-INDEX(Config!$C$15:$C$18,MATCH($S880,Config!$B$15:$B$18,0)))*1440,0)),""))</f>
        <v/>
      </c>
      <c r="V880" s="5"/>
    </row>
    <row r="881" spans="1:22" x14ac:dyDescent="0.25">
      <c r="A881" s="11"/>
      <c r="B881" s="5"/>
      <c r="C881" s="6" t="str">
        <f>IFERROR(INDEX(Ejecutivos!$B$2:$B$100,MATCH(B881,Ejecutivos!$A$2:$A$100,0)),"")</f>
        <v/>
      </c>
      <c r="D881" s="12"/>
      <c r="E881" s="12"/>
      <c r="F881" s="12"/>
      <c r="G881" s="12"/>
      <c r="H881" s="5"/>
      <c r="I881" s="5"/>
      <c r="J881" s="5"/>
      <c r="K881" s="5"/>
      <c r="L881" s="18">
        <v>0</v>
      </c>
      <c r="M881" t="str">
        <f t="shared" si="55"/>
        <v/>
      </c>
      <c r="N881" t="str">
        <f>IF(OR($D881="",$S881=""),"",IFERROR(MAX(0,ROUND(($D881-INDEX(Config!$C$15:$C$18,MATCH($S881,Config!$B$15:$B$18,0)))*24*60,0)),""))</f>
        <v/>
      </c>
      <c r="O881" t="str">
        <f t="shared" si="56"/>
        <v/>
      </c>
      <c r="P881" t="str">
        <f t="shared" si="57"/>
        <v/>
      </c>
      <c r="Q881" t="str">
        <f>IF(OR($P881="",$S881=""),"",IFERROR($P881-INDEX(Config!$E$15:$E$18,MATCH($S881,Config!$B$15:$B$18,0)),""))</f>
        <v/>
      </c>
      <c r="R881" t="str">
        <f t="shared" si="58"/>
        <v/>
      </c>
      <c r="S881" s="6" t="str">
        <f>IF(OR($A881="",$C881=""),"",IFERROR(INDEX(Turno!$C$3:$V$32,MATCH($C881,Turno!$B$3:$B$32,0),MATCH(DAY($A881),Turno!$C$1:$V$1,0)),""))</f>
        <v/>
      </c>
      <c r="T881" t="str">
        <f>IF(OR($E881="",$S881=""),"",IFERROR(MAX(0,ROUND((INDEX(Config!$D$15:$D$18,MATCH($S881,Config!$B$15:$B$18,0))-$E881)*1440,0)),""))</f>
        <v/>
      </c>
      <c r="U881" s="13" t="str">
        <f>IF(OR($N881="",$T881=""),"",IFERROR(MAX(0,1-($N881+$T881+MAX(0,N($Q881)))/ROUND((INDEX(Config!$D$15:$D$18,MATCH($S881,Config!$B$15:$B$18,0))-INDEX(Config!$C$15:$C$18,MATCH($S881,Config!$B$15:$B$18,0)))*1440,0)),""))</f>
        <v/>
      </c>
      <c r="V881" s="5"/>
    </row>
    <row r="882" spans="1:22" x14ac:dyDescent="0.25">
      <c r="A882" s="11"/>
      <c r="B882" s="5"/>
      <c r="C882" s="6" t="str">
        <f>IFERROR(INDEX(Ejecutivos!$B$2:$B$100,MATCH(B882,Ejecutivos!$A$2:$A$100,0)),"")</f>
        <v/>
      </c>
      <c r="D882" s="12"/>
      <c r="E882" s="12"/>
      <c r="F882" s="12"/>
      <c r="G882" s="12"/>
      <c r="H882" s="5"/>
      <c r="I882" s="5"/>
      <c r="J882" s="5"/>
      <c r="K882" s="5"/>
      <c r="L882" s="18">
        <v>0</v>
      </c>
      <c r="M882" t="str">
        <f t="shared" si="55"/>
        <v/>
      </c>
      <c r="N882" t="str">
        <f>IF(OR($D882="",$S882=""),"",IFERROR(MAX(0,ROUND(($D882-INDEX(Config!$C$15:$C$18,MATCH($S882,Config!$B$15:$B$18,0)))*24*60,0)),""))</f>
        <v/>
      </c>
      <c r="O882" t="str">
        <f t="shared" si="56"/>
        <v/>
      </c>
      <c r="P882" t="str">
        <f t="shared" si="57"/>
        <v/>
      </c>
      <c r="Q882" t="str">
        <f>IF(OR($P882="",$S882=""),"",IFERROR($P882-INDEX(Config!$E$15:$E$18,MATCH($S882,Config!$B$15:$B$18,0)),""))</f>
        <v/>
      </c>
      <c r="R882" t="str">
        <f t="shared" si="58"/>
        <v/>
      </c>
      <c r="S882" s="6" t="str">
        <f>IF(OR($A882="",$C882=""),"",IFERROR(INDEX(Turno!$C$3:$V$32,MATCH($C882,Turno!$B$3:$B$32,0),MATCH(DAY($A882),Turno!$C$1:$V$1,0)),""))</f>
        <v/>
      </c>
      <c r="T882" t="str">
        <f>IF(OR($E882="",$S882=""),"",IFERROR(MAX(0,ROUND((INDEX(Config!$D$15:$D$18,MATCH($S882,Config!$B$15:$B$18,0))-$E882)*1440,0)),""))</f>
        <v/>
      </c>
      <c r="U882" s="13" t="str">
        <f>IF(OR($N882="",$T882=""),"",IFERROR(MAX(0,1-($N882+$T882+MAX(0,N($Q882)))/ROUND((INDEX(Config!$D$15:$D$18,MATCH($S882,Config!$B$15:$B$18,0))-INDEX(Config!$C$15:$C$18,MATCH($S882,Config!$B$15:$B$18,0)))*1440,0)),""))</f>
        <v/>
      </c>
      <c r="V882" s="5"/>
    </row>
    <row r="883" spans="1:22" x14ac:dyDescent="0.25">
      <c r="A883" s="11"/>
      <c r="B883" s="5"/>
      <c r="C883" s="6" t="str">
        <f>IFERROR(INDEX(Ejecutivos!$B$2:$B$100,MATCH(B883,Ejecutivos!$A$2:$A$100,0)),"")</f>
        <v/>
      </c>
      <c r="D883" s="12"/>
      <c r="E883" s="12"/>
      <c r="F883" s="12"/>
      <c r="G883" s="12"/>
      <c r="H883" s="5"/>
      <c r="I883" s="5"/>
      <c r="J883" s="5"/>
      <c r="K883" s="5"/>
      <c r="L883" s="18">
        <v>0</v>
      </c>
      <c r="M883" t="str">
        <f t="shared" si="55"/>
        <v/>
      </c>
      <c r="N883" t="str">
        <f>IF(OR($D883="",$S883=""),"",IFERROR(MAX(0,ROUND(($D883-INDEX(Config!$C$15:$C$18,MATCH($S883,Config!$B$15:$B$18,0)))*24*60,0)),""))</f>
        <v/>
      </c>
      <c r="O883" t="str">
        <f t="shared" si="56"/>
        <v/>
      </c>
      <c r="P883" t="str">
        <f t="shared" si="57"/>
        <v/>
      </c>
      <c r="Q883" t="str">
        <f>IF(OR($P883="",$S883=""),"",IFERROR($P883-INDEX(Config!$E$15:$E$18,MATCH($S883,Config!$B$15:$B$18,0)),""))</f>
        <v/>
      </c>
      <c r="R883" t="str">
        <f t="shared" si="58"/>
        <v/>
      </c>
      <c r="S883" s="6" t="str">
        <f>IF(OR($A883="",$C883=""),"",IFERROR(INDEX(Turno!$C$3:$V$32,MATCH($C883,Turno!$B$3:$B$32,0),MATCH(DAY($A883),Turno!$C$1:$V$1,0)),""))</f>
        <v/>
      </c>
      <c r="T883" t="str">
        <f>IF(OR($E883="",$S883=""),"",IFERROR(MAX(0,ROUND((INDEX(Config!$D$15:$D$18,MATCH($S883,Config!$B$15:$B$18,0))-$E883)*1440,0)),""))</f>
        <v/>
      </c>
      <c r="U883" s="13" t="str">
        <f>IF(OR($N883="",$T883=""),"",IFERROR(MAX(0,1-($N883+$T883+MAX(0,N($Q883)))/ROUND((INDEX(Config!$D$15:$D$18,MATCH($S883,Config!$B$15:$B$18,0))-INDEX(Config!$C$15:$C$18,MATCH($S883,Config!$B$15:$B$18,0)))*1440,0)),""))</f>
        <v/>
      </c>
      <c r="V883" s="5"/>
    </row>
    <row r="884" spans="1:22" x14ac:dyDescent="0.25">
      <c r="A884" s="11"/>
      <c r="B884" s="5"/>
      <c r="C884" s="6" t="str">
        <f>IFERROR(INDEX(Ejecutivos!$B$2:$B$100,MATCH(B884,Ejecutivos!$A$2:$A$100,0)),"")</f>
        <v/>
      </c>
      <c r="D884" s="12"/>
      <c r="E884" s="12"/>
      <c r="F884" s="12"/>
      <c r="G884" s="12"/>
      <c r="H884" s="5"/>
      <c r="I884" s="5"/>
      <c r="J884" s="5"/>
      <c r="K884" s="5"/>
      <c r="L884" s="18">
        <v>0</v>
      </c>
      <c r="M884" t="str">
        <f t="shared" si="55"/>
        <v/>
      </c>
      <c r="N884" t="str">
        <f>IF(OR($D884="",$S884=""),"",IFERROR(MAX(0,ROUND(($D884-INDEX(Config!$C$15:$C$18,MATCH($S884,Config!$B$15:$B$18,0)))*24*60,0)),""))</f>
        <v/>
      </c>
      <c r="O884" t="str">
        <f t="shared" si="56"/>
        <v/>
      </c>
      <c r="P884" t="str">
        <f t="shared" si="57"/>
        <v/>
      </c>
      <c r="Q884" t="str">
        <f>IF(OR($P884="",$S884=""),"",IFERROR($P884-INDEX(Config!$E$15:$E$18,MATCH($S884,Config!$B$15:$B$18,0)),""))</f>
        <v/>
      </c>
      <c r="R884" t="str">
        <f t="shared" si="58"/>
        <v/>
      </c>
      <c r="S884" s="6" t="str">
        <f>IF(OR($A884="",$C884=""),"",IFERROR(INDEX(Turno!$C$3:$V$32,MATCH($C884,Turno!$B$3:$B$32,0),MATCH(DAY($A884),Turno!$C$1:$V$1,0)),""))</f>
        <v/>
      </c>
      <c r="T884" t="str">
        <f>IF(OR($E884="",$S884=""),"",IFERROR(MAX(0,ROUND((INDEX(Config!$D$15:$D$18,MATCH($S884,Config!$B$15:$B$18,0))-$E884)*1440,0)),""))</f>
        <v/>
      </c>
      <c r="U884" s="13" t="str">
        <f>IF(OR($N884="",$T884=""),"",IFERROR(MAX(0,1-($N884+$T884+MAX(0,N($Q884)))/ROUND((INDEX(Config!$D$15:$D$18,MATCH($S884,Config!$B$15:$B$18,0))-INDEX(Config!$C$15:$C$18,MATCH($S884,Config!$B$15:$B$18,0)))*1440,0)),""))</f>
        <v/>
      </c>
      <c r="V884" s="5"/>
    </row>
    <row r="885" spans="1:22" x14ac:dyDescent="0.25">
      <c r="A885" s="11"/>
      <c r="B885" s="5"/>
      <c r="C885" s="6" t="str">
        <f>IFERROR(INDEX(Ejecutivos!$B$2:$B$100,MATCH(B885,Ejecutivos!$A$2:$A$100,0)),"")</f>
        <v/>
      </c>
      <c r="D885" s="12"/>
      <c r="E885" s="12"/>
      <c r="F885" s="12"/>
      <c r="G885" s="12"/>
      <c r="H885" s="5"/>
      <c r="I885" s="5"/>
      <c r="J885" s="5"/>
      <c r="K885" s="5"/>
      <c r="L885" s="18">
        <v>0</v>
      </c>
      <c r="M885" t="str">
        <f t="shared" ref="M885:M948" si="59">IF(OR(D885="",E885=""),"",ROUND(((E885-D885)*24)-((G885-F885)*24)-((H885+I885)/60),2))</f>
        <v/>
      </c>
      <c r="N885" t="str">
        <f>IF(OR($D885="",$S885=""),"",IFERROR(MAX(0,ROUND(($D885-INDEX(Config!$C$15:$C$18,MATCH($S885,Config!$B$15:$B$18,0)))*24*60,0)),""))</f>
        <v/>
      </c>
      <c r="O885" t="str">
        <f t="shared" ref="O885:O948" si="60">IF(OR(F885="",G885=""),"",ROUND((G885-F885)*24*60,0))</f>
        <v/>
      </c>
      <c r="P885" t="str">
        <f t="shared" ref="P885:P948" si="61">IF(O885="","",O885+H885+I885)</f>
        <v/>
      </c>
      <c r="Q885" t="str">
        <f>IF(OR($P885="",$S885=""),"",IFERROR($P885-INDEX(Config!$E$15:$E$18,MATCH($S885,Config!$B$15:$B$18,0)),""))</f>
        <v/>
      </c>
      <c r="R885" t="str">
        <f t="shared" ref="R885:R948" si="62">IF($A885="","",IF($D885="","Ausente",IF($N885="","",IF($N885&gt;0,"Atrasado","Puntual"))))</f>
        <v/>
      </c>
      <c r="S885" s="6" t="str">
        <f>IF(OR($A885="",$C885=""),"",IFERROR(INDEX(Turno!$C$3:$V$32,MATCH($C885,Turno!$B$3:$B$32,0),MATCH(DAY($A885),Turno!$C$1:$V$1,0)),""))</f>
        <v/>
      </c>
      <c r="T885" t="str">
        <f>IF(OR($E885="",$S885=""),"",IFERROR(MAX(0,ROUND((INDEX(Config!$D$15:$D$18,MATCH($S885,Config!$B$15:$B$18,0))-$E885)*1440,0)),""))</f>
        <v/>
      </c>
      <c r="U885" s="13" t="str">
        <f>IF(OR($N885="",$T885=""),"",IFERROR(MAX(0,1-($N885+$T885+MAX(0,N($Q885)))/ROUND((INDEX(Config!$D$15:$D$18,MATCH($S885,Config!$B$15:$B$18,0))-INDEX(Config!$C$15:$C$18,MATCH($S885,Config!$B$15:$B$18,0)))*1440,0)),""))</f>
        <v/>
      </c>
      <c r="V885" s="5"/>
    </row>
    <row r="886" spans="1:22" x14ac:dyDescent="0.25">
      <c r="A886" s="11"/>
      <c r="B886" s="5"/>
      <c r="C886" s="6" t="str">
        <f>IFERROR(INDEX(Ejecutivos!$B$2:$B$100,MATCH(B886,Ejecutivos!$A$2:$A$100,0)),"")</f>
        <v/>
      </c>
      <c r="D886" s="12"/>
      <c r="E886" s="12"/>
      <c r="F886" s="12"/>
      <c r="G886" s="12"/>
      <c r="H886" s="5"/>
      <c r="I886" s="5"/>
      <c r="J886" s="5"/>
      <c r="K886" s="5"/>
      <c r="L886" s="18">
        <v>0</v>
      </c>
      <c r="M886" t="str">
        <f t="shared" si="59"/>
        <v/>
      </c>
      <c r="N886" t="str">
        <f>IF(OR($D886="",$S886=""),"",IFERROR(MAX(0,ROUND(($D886-INDEX(Config!$C$15:$C$18,MATCH($S886,Config!$B$15:$B$18,0)))*24*60,0)),""))</f>
        <v/>
      </c>
      <c r="O886" t="str">
        <f t="shared" si="60"/>
        <v/>
      </c>
      <c r="P886" t="str">
        <f t="shared" si="61"/>
        <v/>
      </c>
      <c r="Q886" t="str">
        <f>IF(OR($P886="",$S886=""),"",IFERROR($P886-INDEX(Config!$E$15:$E$18,MATCH($S886,Config!$B$15:$B$18,0)),""))</f>
        <v/>
      </c>
      <c r="R886" t="str">
        <f t="shared" si="62"/>
        <v/>
      </c>
      <c r="S886" s="6" t="str">
        <f>IF(OR($A886="",$C886=""),"",IFERROR(INDEX(Turno!$C$3:$V$32,MATCH($C886,Turno!$B$3:$B$32,0),MATCH(DAY($A886),Turno!$C$1:$V$1,0)),""))</f>
        <v/>
      </c>
      <c r="T886" t="str">
        <f>IF(OR($E886="",$S886=""),"",IFERROR(MAX(0,ROUND((INDEX(Config!$D$15:$D$18,MATCH($S886,Config!$B$15:$B$18,0))-$E886)*1440,0)),""))</f>
        <v/>
      </c>
      <c r="U886" s="13" t="str">
        <f>IF(OR($N886="",$T886=""),"",IFERROR(MAX(0,1-($N886+$T886+MAX(0,N($Q886)))/ROUND((INDEX(Config!$D$15:$D$18,MATCH($S886,Config!$B$15:$B$18,0))-INDEX(Config!$C$15:$C$18,MATCH($S886,Config!$B$15:$B$18,0)))*1440,0)),""))</f>
        <v/>
      </c>
      <c r="V886" s="5"/>
    </row>
    <row r="887" spans="1:22" x14ac:dyDescent="0.25">
      <c r="A887" s="11"/>
      <c r="B887" s="5"/>
      <c r="C887" s="6" t="str">
        <f>IFERROR(INDEX(Ejecutivos!$B$2:$B$100,MATCH(B887,Ejecutivos!$A$2:$A$100,0)),"")</f>
        <v/>
      </c>
      <c r="D887" s="12"/>
      <c r="E887" s="12"/>
      <c r="F887" s="12"/>
      <c r="G887" s="12"/>
      <c r="H887" s="5"/>
      <c r="I887" s="5"/>
      <c r="J887" s="5"/>
      <c r="K887" s="5"/>
      <c r="L887" s="18">
        <v>0</v>
      </c>
      <c r="M887" t="str">
        <f t="shared" si="59"/>
        <v/>
      </c>
      <c r="N887" t="str">
        <f>IF(OR($D887="",$S887=""),"",IFERROR(MAX(0,ROUND(($D887-INDEX(Config!$C$15:$C$18,MATCH($S887,Config!$B$15:$B$18,0)))*24*60,0)),""))</f>
        <v/>
      </c>
      <c r="O887" t="str">
        <f t="shared" si="60"/>
        <v/>
      </c>
      <c r="P887" t="str">
        <f t="shared" si="61"/>
        <v/>
      </c>
      <c r="Q887" t="str">
        <f>IF(OR($P887="",$S887=""),"",IFERROR($P887-INDEX(Config!$E$15:$E$18,MATCH($S887,Config!$B$15:$B$18,0)),""))</f>
        <v/>
      </c>
      <c r="R887" t="str">
        <f t="shared" si="62"/>
        <v/>
      </c>
      <c r="S887" s="6" t="str">
        <f>IF(OR($A887="",$C887=""),"",IFERROR(INDEX(Turno!$C$3:$V$32,MATCH($C887,Turno!$B$3:$B$32,0),MATCH(DAY($A887),Turno!$C$1:$V$1,0)),""))</f>
        <v/>
      </c>
      <c r="T887" t="str">
        <f>IF(OR($E887="",$S887=""),"",IFERROR(MAX(0,ROUND((INDEX(Config!$D$15:$D$18,MATCH($S887,Config!$B$15:$B$18,0))-$E887)*1440,0)),""))</f>
        <v/>
      </c>
      <c r="U887" s="13" t="str">
        <f>IF(OR($N887="",$T887=""),"",IFERROR(MAX(0,1-($N887+$T887+MAX(0,N($Q887)))/ROUND((INDEX(Config!$D$15:$D$18,MATCH($S887,Config!$B$15:$B$18,0))-INDEX(Config!$C$15:$C$18,MATCH($S887,Config!$B$15:$B$18,0)))*1440,0)),""))</f>
        <v/>
      </c>
      <c r="V887" s="5"/>
    </row>
    <row r="888" spans="1:22" x14ac:dyDescent="0.25">
      <c r="A888" s="11"/>
      <c r="B888" s="5"/>
      <c r="C888" s="6" t="str">
        <f>IFERROR(INDEX(Ejecutivos!$B$2:$B$100,MATCH(B888,Ejecutivos!$A$2:$A$100,0)),"")</f>
        <v/>
      </c>
      <c r="D888" s="12"/>
      <c r="E888" s="12"/>
      <c r="F888" s="12"/>
      <c r="G888" s="12"/>
      <c r="H888" s="5"/>
      <c r="I888" s="5"/>
      <c r="J888" s="5"/>
      <c r="K888" s="5"/>
      <c r="L888" s="18">
        <v>0</v>
      </c>
      <c r="M888" t="str">
        <f t="shared" si="59"/>
        <v/>
      </c>
      <c r="N888" t="str">
        <f>IF(OR($D888="",$S888=""),"",IFERROR(MAX(0,ROUND(($D888-INDEX(Config!$C$15:$C$18,MATCH($S888,Config!$B$15:$B$18,0)))*24*60,0)),""))</f>
        <v/>
      </c>
      <c r="O888" t="str">
        <f t="shared" si="60"/>
        <v/>
      </c>
      <c r="P888" t="str">
        <f t="shared" si="61"/>
        <v/>
      </c>
      <c r="Q888" t="str">
        <f>IF(OR($P888="",$S888=""),"",IFERROR($P888-INDEX(Config!$E$15:$E$18,MATCH($S888,Config!$B$15:$B$18,0)),""))</f>
        <v/>
      </c>
      <c r="R888" t="str">
        <f t="shared" si="62"/>
        <v/>
      </c>
      <c r="S888" s="6" t="str">
        <f>IF(OR($A888="",$C888=""),"",IFERROR(INDEX(Turno!$C$3:$V$32,MATCH($C888,Turno!$B$3:$B$32,0),MATCH(DAY($A888),Turno!$C$1:$V$1,0)),""))</f>
        <v/>
      </c>
      <c r="T888" t="str">
        <f>IF(OR($E888="",$S888=""),"",IFERROR(MAX(0,ROUND((INDEX(Config!$D$15:$D$18,MATCH($S888,Config!$B$15:$B$18,0))-$E888)*1440,0)),""))</f>
        <v/>
      </c>
      <c r="U888" s="13" t="str">
        <f>IF(OR($N888="",$T888=""),"",IFERROR(MAX(0,1-($N888+$T888+MAX(0,N($Q888)))/ROUND((INDEX(Config!$D$15:$D$18,MATCH($S888,Config!$B$15:$B$18,0))-INDEX(Config!$C$15:$C$18,MATCH($S888,Config!$B$15:$B$18,0)))*1440,0)),""))</f>
        <v/>
      </c>
      <c r="V888" s="5"/>
    </row>
    <row r="889" spans="1:22" x14ac:dyDescent="0.25">
      <c r="A889" s="11"/>
      <c r="B889" s="5"/>
      <c r="C889" s="6" t="str">
        <f>IFERROR(INDEX(Ejecutivos!$B$2:$B$100,MATCH(B889,Ejecutivos!$A$2:$A$100,0)),"")</f>
        <v/>
      </c>
      <c r="D889" s="12"/>
      <c r="E889" s="12"/>
      <c r="F889" s="12"/>
      <c r="G889" s="12"/>
      <c r="H889" s="5"/>
      <c r="I889" s="5"/>
      <c r="J889" s="5"/>
      <c r="K889" s="5"/>
      <c r="L889" s="18">
        <v>0</v>
      </c>
      <c r="M889" t="str">
        <f t="shared" si="59"/>
        <v/>
      </c>
      <c r="N889" t="str">
        <f>IF(OR($D889="",$S889=""),"",IFERROR(MAX(0,ROUND(($D889-INDEX(Config!$C$15:$C$18,MATCH($S889,Config!$B$15:$B$18,0)))*24*60,0)),""))</f>
        <v/>
      </c>
      <c r="O889" t="str">
        <f t="shared" si="60"/>
        <v/>
      </c>
      <c r="P889" t="str">
        <f t="shared" si="61"/>
        <v/>
      </c>
      <c r="Q889" t="str">
        <f>IF(OR($P889="",$S889=""),"",IFERROR($P889-INDEX(Config!$E$15:$E$18,MATCH($S889,Config!$B$15:$B$18,0)),""))</f>
        <v/>
      </c>
      <c r="R889" t="str">
        <f t="shared" si="62"/>
        <v/>
      </c>
      <c r="S889" s="6" t="str">
        <f>IF(OR($A889="",$C889=""),"",IFERROR(INDEX(Turno!$C$3:$V$32,MATCH($C889,Turno!$B$3:$B$32,0),MATCH(DAY($A889),Turno!$C$1:$V$1,0)),""))</f>
        <v/>
      </c>
      <c r="T889" t="str">
        <f>IF(OR($E889="",$S889=""),"",IFERROR(MAX(0,ROUND((INDEX(Config!$D$15:$D$18,MATCH($S889,Config!$B$15:$B$18,0))-$E889)*1440,0)),""))</f>
        <v/>
      </c>
      <c r="U889" s="13" t="str">
        <f>IF(OR($N889="",$T889=""),"",IFERROR(MAX(0,1-($N889+$T889+MAX(0,N($Q889)))/ROUND((INDEX(Config!$D$15:$D$18,MATCH($S889,Config!$B$15:$B$18,0))-INDEX(Config!$C$15:$C$18,MATCH($S889,Config!$B$15:$B$18,0)))*1440,0)),""))</f>
        <v/>
      </c>
      <c r="V889" s="5"/>
    </row>
    <row r="890" spans="1:22" x14ac:dyDescent="0.25">
      <c r="A890" s="11"/>
      <c r="B890" s="5"/>
      <c r="C890" s="6" t="str">
        <f>IFERROR(INDEX(Ejecutivos!$B$2:$B$100,MATCH(B890,Ejecutivos!$A$2:$A$100,0)),"")</f>
        <v/>
      </c>
      <c r="D890" s="12"/>
      <c r="E890" s="12"/>
      <c r="F890" s="12"/>
      <c r="G890" s="12"/>
      <c r="H890" s="5"/>
      <c r="I890" s="5"/>
      <c r="J890" s="5"/>
      <c r="K890" s="5"/>
      <c r="L890" s="18">
        <v>0</v>
      </c>
      <c r="M890" t="str">
        <f t="shared" si="59"/>
        <v/>
      </c>
      <c r="N890" t="str">
        <f>IF(OR($D890="",$S890=""),"",IFERROR(MAX(0,ROUND(($D890-INDEX(Config!$C$15:$C$18,MATCH($S890,Config!$B$15:$B$18,0)))*24*60,0)),""))</f>
        <v/>
      </c>
      <c r="O890" t="str">
        <f t="shared" si="60"/>
        <v/>
      </c>
      <c r="P890" t="str">
        <f t="shared" si="61"/>
        <v/>
      </c>
      <c r="Q890" t="str">
        <f>IF(OR($P890="",$S890=""),"",IFERROR($P890-INDEX(Config!$E$15:$E$18,MATCH($S890,Config!$B$15:$B$18,0)),""))</f>
        <v/>
      </c>
      <c r="R890" t="str">
        <f t="shared" si="62"/>
        <v/>
      </c>
      <c r="S890" s="6" t="str">
        <f>IF(OR($A890="",$C890=""),"",IFERROR(INDEX(Turno!$C$3:$V$32,MATCH($C890,Turno!$B$3:$B$32,0),MATCH(DAY($A890),Turno!$C$1:$V$1,0)),""))</f>
        <v/>
      </c>
      <c r="T890" t="str">
        <f>IF(OR($E890="",$S890=""),"",IFERROR(MAX(0,ROUND((INDEX(Config!$D$15:$D$18,MATCH($S890,Config!$B$15:$B$18,0))-$E890)*1440,0)),""))</f>
        <v/>
      </c>
      <c r="U890" s="13" t="str">
        <f>IF(OR($N890="",$T890=""),"",IFERROR(MAX(0,1-($N890+$T890+MAX(0,N($Q890)))/ROUND((INDEX(Config!$D$15:$D$18,MATCH($S890,Config!$B$15:$B$18,0))-INDEX(Config!$C$15:$C$18,MATCH($S890,Config!$B$15:$B$18,0)))*1440,0)),""))</f>
        <v/>
      </c>
      <c r="V890" s="5"/>
    </row>
    <row r="891" spans="1:22" x14ac:dyDescent="0.25">
      <c r="A891" s="11"/>
      <c r="B891" s="5"/>
      <c r="C891" s="6" t="str">
        <f>IFERROR(INDEX(Ejecutivos!$B$2:$B$100,MATCH(B891,Ejecutivos!$A$2:$A$100,0)),"")</f>
        <v/>
      </c>
      <c r="D891" s="12"/>
      <c r="E891" s="12"/>
      <c r="F891" s="12"/>
      <c r="G891" s="12"/>
      <c r="H891" s="5"/>
      <c r="I891" s="5"/>
      <c r="J891" s="5"/>
      <c r="K891" s="5"/>
      <c r="L891" s="18">
        <v>0</v>
      </c>
      <c r="M891" t="str">
        <f t="shared" si="59"/>
        <v/>
      </c>
      <c r="N891" t="str">
        <f>IF(OR($D891="",$S891=""),"",IFERROR(MAX(0,ROUND(($D891-INDEX(Config!$C$15:$C$18,MATCH($S891,Config!$B$15:$B$18,0)))*24*60,0)),""))</f>
        <v/>
      </c>
      <c r="O891" t="str">
        <f t="shared" si="60"/>
        <v/>
      </c>
      <c r="P891" t="str">
        <f t="shared" si="61"/>
        <v/>
      </c>
      <c r="Q891" t="str">
        <f>IF(OR($P891="",$S891=""),"",IFERROR($P891-INDEX(Config!$E$15:$E$18,MATCH($S891,Config!$B$15:$B$18,0)),""))</f>
        <v/>
      </c>
      <c r="R891" t="str">
        <f t="shared" si="62"/>
        <v/>
      </c>
      <c r="S891" s="6" t="str">
        <f>IF(OR($A891="",$C891=""),"",IFERROR(INDEX(Turno!$C$3:$V$32,MATCH($C891,Turno!$B$3:$B$32,0),MATCH(DAY($A891),Turno!$C$1:$V$1,0)),""))</f>
        <v/>
      </c>
      <c r="T891" t="str">
        <f>IF(OR($E891="",$S891=""),"",IFERROR(MAX(0,ROUND((INDEX(Config!$D$15:$D$18,MATCH($S891,Config!$B$15:$B$18,0))-$E891)*1440,0)),""))</f>
        <v/>
      </c>
      <c r="U891" s="13" t="str">
        <f>IF(OR($N891="",$T891=""),"",IFERROR(MAX(0,1-($N891+$T891+MAX(0,N($Q891)))/ROUND((INDEX(Config!$D$15:$D$18,MATCH($S891,Config!$B$15:$B$18,0))-INDEX(Config!$C$15:$C$18,MATCH($S891,Config!$B$15:$B$18,0)))*1440,0)),""))</f>
        <v/>
      </c>
      <c r="V891" s="5"/>
    </row>
    <row r="892" spans="1:22" x14ac:dyDescent="0.25">
      <c r="A892" s="11"/>
      <c r="B892" s="5"/>
      <c r="C892" s="6" t="str">
        <f>IFERROR(INDEX(Ejecutivos!$B$2:$B$100,MATCH(B892,Ejecutivos!$A$2:$A$100,0)),"")</f>
        <v/>
      </c>
      <c r="D892" s="12"/>
      <c r="E892" s="12"/>
      <c r="F892" s="12"/>
      <c r="G892" s="12"/>
      <c r="H892" s="5"/>
      <c r="I892" s="5"/>
      <c r="J892" s="5"/>
      <c r="K892" s="5"/>
      <c r="L892" s="18">
        <v>0</v>
      </c>
      <c r="M892" t="str">
        <f t="shared" si="59"/>
        <v/>
      </c>
      <c r="N892" t="str">
        <f>IF(OR($D892="",$S892=""),"",IFERROR(MAX(0,ROUND(($D892-INDEX(Config!$C$15:$C$18,MATCH($S892,Config!$B$15:$B$18,0)))*24*60,0)),""))</f>
        <v/>
      </c>
      <c r="O892" t="str">
        <f t="shared" si="60"/>
        <v/>
      </c>
      <c r="P892" t="str">
        <f t="shared" si="61"/>
        <v/>
      </c>
      <c r="Q892" t="str">
        <f>IF(OR($P892="",$S892=""),"",IFERROR($P892-INDEX(Config!$E$15:$E$18,MATCH($S892,Config!$B$15:$B$18,0)),""))</f>
        <v/>
      </c>
      <c r="R892" t="str">
        <f t="shared" si="62"/>
        <v/>
      </c>
      <c r="S892" s="6" t="str">
        <f>IF(OR($A892="",$C892=""),"",IFERROR(INDEX(Turno!$C$3:$V$32,MATCH($C892,Turno!$B$3:$B$32,0),MATCH(DAY($A892),Turno!$C$1:$V$1,0)),""))</f>
        <v/>
      </c>
      <c r="T892" t="str">
        <f>IF(OR($E892="",$S892=""),"",IFERROR(MAX(0,ROUND((INDEX(Config!$D$15:$D$18,MATCH($S892,Config!$B$15:$B$18,0))-$E892)*1440,0)),""))</f>
        <v/>
      </c>
      <c r="U892" s="13" t="str">
        <f>IF(OR($N892="",$T892=""),"",IFERROR(MAX(0,1-($N892+$T892+MAX(0,N($Q892)))/ROUND((INDEX(Config!$D$15:$D$18,MATCH($S892,Config!$B$15:$B$18,0))-INDEX(Config!$C$15:$C$18,MATCH($S892,Config!$B$15:$B$18,0)))*1440,0)),""))</f>
        <v/>
      </c>
      <c r="V892" s="5"/>
    </row>
    <row r="893" spans="1:22" x14ac:dyDescent="0.25">
      <c r="A893" s="11"/>
      <c r="B893" s="5"/>
      <c r="C893" s="6" t="str">
        <f>IFERROR(INDEX(Ejecutivos!$B$2:$B$100,MATCH(B893,Ejecutivos!$A$2:$A$100,0)),"")</f>
        <v/>
      </c>
      <c r="D893" s="12"/>
      <c r="E893" s="12"/>
      <c r="F893" s="12"/>
      <c r="G893" s="12"/>
      <c r="H893" s="5"/>
      <c r="I893" s="5"/>
      <c r="J893" s="5"/>
      <c r="K893" s="5"/>
      <c r="L893" s="18">
        <v>0</v>
      </c>
      <c r="M893" t="str">
        <f t="shared" si="59"/>
        <v/>
      </c>
      <c r="N893" t="str">
        <f>IF(OR($D893="",$S893=""),"",IFERROR(MAX(0,ROUND(($D893-INDEX(Config!$C$15:$C$18,MATCH($S893,Config!$B$15:$B$18,0)))*24*60,0)),""))</f>
        <v/>
      </c>
      <c r="O893" t="str">
        <f t="shared" si="60"/>
        <v/>
      </c>
      <c r="P893" t="str">
        <f t="shared" si="61"/>
        <v/>
      </c>
      <c r="Q893" t="str">
        <f>IF(OR($P893="",$S893=""),"",IFERROR($P893-INDEX(Config!$E$15:$E$18,MATCH($S893,Config!$B$15:$B$18,0)),""))</f>
        <v/>
      </c>
      <c r="R893" t="str">
        <f t="shared" si="62"/>
        <v/>
      </c>
      <c r="S893" s="6" t="str">
        <f>IF(OR($A893="",$C893=""),"",IFERROR(INDEX(Turno!$C$3:$V$32,MATCH($C893,Turno!$B$3:$B$32,0),MATCH(DAY($A893),Turno!$C$1:$V$1,0)),""))</f>
        <v/>
      </c>
      <c r="T893" t="str">
        <f>IF(OR($E893="",$S893=""),"",IFERROR(MAX(0,ROUND((INDEX(Config!$D$15:$D$18,MATCH($S893,Config!$B$15:$B$18,0))-$E893)*1440,0)),""))</f>
        <v/>
      </c>
      <c r="U893" s="13" t="str">
        <f>IF(OR($N893="",$T893=""),"",IFERROR(MAX(0,1-($N893+$T893+MAX(0,N($Q893)))/ROUND((INDEX(Config!$D$15:$D$18,MATCH($S893,Config!$B$15:$B$18,0))-INDEX(Config!$C$15:$C$18,MATCH($S893,Config!$B$15:$B$18,0)))*1440,0)),""))</f>
        <v/>
      </c>
      <c r="V893" s="5"/>
    </row>
    <row r="894" spans="1:22" x14ac:dyDescent="0.25">
      <c r="A894" s="11"/>
      <c r="B894" s="5"/>
      <c r="C894" s="6" t="str">
        <f>IFERROR(INDEX(Ejecutivos!$B$2:$B$100,MATCH(B894,Ejecutivos!$A$2:$A$100,0)),"")</f>
        <v/>
      </c>
      <c r="D894" s="12"/>
      <c r="E894" s="12"/>
      <c r="F894" s="12"/>
      <c r="G894" s="12"/>
      <c r="H894" s="5"/>
      <c r="I894" s="5"/>
      <c r="J894" s="5"/>
      <c r="K894" s="5"/>
      <c r="L894" s="18">
        <v>0</v>
      </c>
      <c r="M894" t="str">
        <f t="shared" si="59"/>
        <v/>
      </c>
      <c r="N894" t="str">
        <f>IF(OR($D894="",$S894=""),"",IFERROR(MAX(0,ROUND(($D894-INDEX(Config!$C$15:$C$18,MATCH($S894,Config!$B$15:$B$18,0)))*24*60,0)),""))</f>
        <v/>
      </c>
      <c r="O894" t="str">
        <f t="shared" si="60"/>
        <v/>
      </c>
      <c r="P894" t="str">
        <f t="shared" si="61"/>
        <v/>
      </c>
      <c r="Q894" t="str">
        <f>IF(OR($P894="",$S894=""),"",IFERROR($P894-INDEX(Config!$E$15:$E$18,MATCH($S894,Config!$B$15:$B$18,0)),""))</f>
        <v/>
      </c>
      <c r="R894" t="str">
        <f t="shared" si="62"/>
        <v/>
      </c>
      <c r="S894" s="6" t="str">
        <f>IF(OR($A894="",$C894=""),"",IFERROR(INDEX(Turno!$C$3:$V$32,MATCH($C894,Turno!$B$3:$B$32,0),MATCH(DAY($A894),Turno!$C$1:$V$1,0)),""))</f>
        <v/>
      </c>
      <c r="T894" t="str">
        <f>IF(OR($E894="",$S894=""),"",IFERROR(MAX(0,ROUND((INDEX(Config!$D$15:$D$18,MATCH($S894,Config!$B$15:$B$18,0))-$E894)*1440,0)),""))</f>
        <v/>
      </c>
      <c r="U894" s="13" t="str">
        <f>IF(OR($N894="",$T894=""),"",IFERROR(MAX(0,1-($N894+$T894+MAX(0,N($Q894)))/ROUND((INDEX(Config!$D$15:$D$18,MATCH($S894,Config!$B$15:$B$18,0))-INDEX(Config!$C$15:$C$18,MATCH($S894,Config!$B$15:$B$18,0)))*1440,0)),""))</f>
        <v/>
      </c>
      <c r="V894" s="5"/>
    </row>
    <row r="895" spans="1:22" x14ac:dyDescent="0.25">
      <c r="A895" s="11"/>
      <c r="B895" s="5"/>
      <c r="C895" s="6" t="str">
        <f>IFERROR(INDEX(Ejecutivos!$B$2:$B$100,MATCH(B895,Ejecutivos!$A$2:$A$100,0)),"")</f>
        <v/>
      </c>
      <c r="D895" s="12"/>
      <c r="E895" s="12"/>
      <c r="F895" s="12"/>
      <c r="G895" s="12"/>
      <c r="H895" s="5"/>
      <c r="I895" s="5"/>
      <c r="J895" s="5"/>
      <c r="K895" s="5"/>
      <c r="L895" s="18">
        <v>0</v>
      </c>
      <c r="M895" t="str">
        <f t="shared" si="59"/>
        <v/>
      </c>
      <c r="N895" t="str">
        <f>IF(OR($D895="",$S895=""),"",IFERROR(MAX(0,ROUND(($D895-INDEX(Config!$C$15:$C$18,MATCH($S895,Config!$B$15:$B$18,0)))*24*60,0)),""))</f>
        <v/>
      </c>
      <c r="O895" t="str">
        <f t="shared" si="60"/>
        <v/>
      </c>
      <c r="P895" t="str">
        <f t="shared" si="61"/>
        <v/>
      </c>
      <c r="Q895" t="str">
        <f>IF(OR($P895="",$S895=""),"",IFERROR($P895-INDEX(Config!$E$15:$E$18,MATCH($S895,Config!$B$15:$B$18,0)),""))</f>
        <v/>
      </c>
      <c r="R895" t="str">
        <f t="shared" si="62"/>
        <v/>
      </c>
      <c r="S895" s="6" t="str">
        <f>IF(OR($A895="",$C895=""),"",IFERROR(INDEX(Turno!$C$3:$V$32,MATCH($C895,Turno!$B$3:$B$32,0),MATCH(DAY($A895),Turno!$C$1:$V$1,0)),""))</f>
        <v/>
      </c>
      <c r="T895" t="str">
        <f>IF(OR($E895="",$S895=""),"",IFERROR(MAX(0,ROUND((INDEX(Config!$D$15:$D$18,MATCH($S895,Config!$B$15:$B$18,0))-$E895)*1440,0)),""))</f>
        <v/>
      </c>
      <c r="U895" s="13" t="str">
        <f>IF(OR($N895="",$T895=""),"",IFERROR(MAX(0,1-($N895+$T895+MAX(0,N($Q895)))/ROUND((INDEX(Config!$D$15:$D$18,MATCH($S895,Config!$B$15:$B$18,0))-INDEX(Config!$C$15:$C$18,MATCH($S895,Config!$B$15:$B$18,0)))*1440,0)),""))</f>
        <v/>
      </c>
      <c r="V895" s="5"/>
    </row>
    <row r="896" spans="1:22" x14ac:dyDescent="0.25">
      <c r="A896" s="11"/>
      <c r="B896" s="5"/>
      <c r="C896" s="6" t="str">
        <f>IFERROR(INDEX(Ejecutivos!$B$2:$B$100,MATCH(B896,Ejecutivos!$A$2:$A$100,0)),"")</f>
        <v/>
      </c>
      <c r="D896" s="12"/>
      <c r="E896" s="12"/>
      <c r="F896" s="12"/>
      <c r="G896" s="12"/>
      <c r="H896" s="5"/>
      <c r="I896" s="5"/>
      <c r="J896" s="5"/>
      <c r="K896" s="5"/>
      <c r="L896" s="18">
        <v>0</v>
      </c>
      <c r="M896" t="str">
        <f t="shared" si="59"/>
        <v/>
      </c>
      <c r="N896" t="str">
        <f>IF(OR($D896="",$S896=""),"",IFERROR(MAX(0,ROUND(($D896-INDEX(Config!$C$15:$C$18,MATCH($S896,Config!$B$15:$B$18,0)))*24*60,0)),""))</f>
        <v/>
      </c>
      <c r="O896" t="str">
        <f t="shared" si="60"/>
        <v/>
      </c>
      <c r="P896" t="str">
        <f t="shared" si="61"/>
        <v/>
      </c>
      <c r="Q896" t="str">
        <f>IF(OR($P896="",$S896=""),"",IFERROR($P896-INDEX(Config!$E$15:$E$18,MATCH($S896,Config!$B$15:$B$18,0)),""))</f>
        <v/>
      </c>
      <c r="R896" t="str">
        <f t="shared" si="62"/>
        <v/>
      </c>
      <c r="S896" s="6" t="str">
        <f>IF(OR($A896="",$C896=""),"",IFERROR(INDEX(Turno!$C$3:$V$32,MATCH($C896,Turno!$B$3:$B$32,0),MATCH(DAY($A896),Turno!$C$1:$V$1,0)),""))</f>
        <v/>
      </c>
      <c r="T896" t="str">
        <f>IF(OR($E896="",$S896=""),"",IFERROR(MAX(0,ROUND((INDEX(Config!$D$15:$D$18,MATCH($S896,Config!$B$15:$B$18,0))-$E896)*1440,0)),""))</f>
        <v/>
      </c>
      <c r="U896" s="13" t="str">
        <f>IF(OR($N896="",$T896=""),"",IFERROR(MAX(0,1-($N896+$T896+MAX(0,N($Q896)))/ROUND((INDEX(Config!$D$15:$D$18,MATCH($S896,Config!$B$15:$B$18,0))-INDEX(Config!$C$15:$C$18,MATCH($S896,Config!$B$15:$B$18,0)))*1440,0)),""))</f>
        <v/>
      </c>
      <c r="V896" s="5"/>
    </row>
    <row r="897" spans="1:22" x14ac:dyDescent="0.25">
      <c r="A897" s="11"/>
      <c r="B897" s="5"/>
      <c r="C897" s="6" t="str">
        <f>IFERROR(INDEX(Ejecutivos!$B$2:$B$100,MATCH(B897,Ejecutivos!$A$2:$A$100,0)),"")</f>
        <v/>
      </c>
      <c r="D897" s="12"/>
      <c r="E897" s="12"/>
      <c r="F897" s="12"/>
      <c r="G897" s="12"/>
      <c r="H897" s="5"/>
      <c r="I897" s="5"/>
      <c r="J897" s="5"/>
      <c r="K897" s="5"/>
      <c r="L897" s="18">
        <v>0</v>
      </c>
      <c r="M897" t="str">
        <f t="shared" si="59"/>
        <v/>
      </c>
      <c r="N897" t="str">
        <f>IF(OR($D897="",$S897=""),"",IFERROR(MAX(0,ROUND(($D897-INDEX(Config!$C$15:$C$18,MATCH($S897,Config!$B$15:$B$18,0)))*24*60,0)),""))</f>
        <v/>
      </c>
      <c r="O897" t="str">
        <f t="shared" si="60"/>
        <v/>
      </c>
      <c r="P897" t="str">
        <f t="shared" si="61"/>
        <v/>
      </c>
      <c r="Q897" t="str">
        <f>IF(OR($P897="",$S897=""),"",IFERROR($P897-INDEX(Config!$E$15:$E$18,MATCH($S897,Config!$B$15:$B$18,0)),""))</f>
        <v/>
      </c>
      <c r="R897" t="str">
        <f t="shared" si="62"/>
        <v/>
      </c>
      <c r="S897" s="6" t="str">
        <f>IF(OR($A897="",$C897=""),"",IFERROR(INDEX(Turno!$C$3:$V$32,MATCH($C897,Turno!$B$3:$B$32,0),MATCH(DAY($A897),Turno!$C$1:$V$1,0)),""))</f>
        <v/>
      </c>
      <c r="T897" t="str">
        <f>IF(OR($E897="",$S897=""),"",IFERROR(MAX(0,ROUND((INDEX(Config!$D$15:$D$18,MATCH($S897,Config!$B$15:$B$18,0))-$E897)*1440,0)),""))</f>
        <v/>
      </c>
      <c r="U897" s="13" t="str">
        <f>IF(OR($N897="",$T897=""),"",IFERROR(MAX(0,1-($N897+$T897+MAX(0,N($Q897)))/ROUND((INDEX(Config!$D$15:$D$18,MATCH($S897,Config!$B$15:$B$18,0))-INDEX(Config!$C$15:$C$18,MATCH($S897,Config!$B$15:$B$18,0)))*1440,0)),""))</f>
        <v/>
      </c>
      <c r="V897" s="5"/>
    </row>
    <row r="898" spans="1:22" x14ac:dyDescent="0.25">
      <c r="A898" s="11"/>
      <c r="B898" s="5"/>
      <c r="C898" s="6" t="str">
        <f>IFERROR(INDEX(Ejecutivos!$B$2:$B$100,MATCH(B898,Ejecutivos!$A$2:$A$100,0)),"")</f>
        <v/>
      </c>
      <c r="D898" s="12"/>
      <c r="E898" s="12"/>
      <c r="F898" s="12"/>
      <c r="G898" s="12"/>
      <c r="H898" s="5"/>
      <c r="I898" s="5"/>
      <c r="J898" s="5"/>
      <c r="K898" s="5"/>
      <c r="L898" s="18">
        <v>0</v>
      </c>
      <c r="M898" t="str">
        <f t="shared" si="59"/>
        <v/>
      </c>
      <c r="N898" t="str">
        <f>IF(OR($D898="",$S898=""),"",IFERROR(MAX(0,ROUND(($D898-INDEX(Config!$C$15:$C$18,MATCH($S898,Config!$B$15:$B$18,0)))*24*60,0)),""))</f>
        <v/>
      </c>
      <c r="O898" t="str">
        <f t="shared" si="60"/>
        <v/>
      </c>
      <c r="P898" t="str">
        <f t="shared" si="61"/>
        <v/>
      </c>
      <c r="Q898" t="str">
        <f>IF(OR($P898="",$S898=""),"",IFERROR($P898-INDEX(Config!$E$15:$E$18,MATCH($S898,Config!$B$15:$B$18,0)),""))</f>
        <v/>
      </c>
      <c r="R898" t="str">
        <f t="shared" si="62"/>
        <v/>
      </c>
      <c r="S898" s="6" t="str">
        <f>IF(OR($A898="",$C898=""),"",IFERROR(INDEX(Turno!$C$3:$V$32,MATCH($C898,Turno!$B$3:$B$32,0),MATCH(DAY($A898),Turno!$C$1:$V$1,0)),""))</f>
        <v/>
      </c>
      <c r="T898" t="str">
        <f>IF(OR($E898="",$S898=""),"",IFERROR(MAX(0,ROUND((INDEX(Config!$D$15:$D$18,MATCH($S898,Config!$B$15:$B$18,0))-$E898)*1440,0)),""))</f>
        <v/>
      </c>
      <c r="U898" s="13" t="str">
        <f>IF(OR($N898="",$T898=""),"",IFERROR(MAX(0,1-($N898+$T898+MAX(0,N($Q898)))/ROUND((INDEX(Config!$D$15:$D$18,MATCH($S898,Config!$B$15:$B$18,0))-INDEX(Config!$C$15:$C$18,MATCH($S898,Config!$B$15:$B$18,0)))*1440,0)),""))</f>
        <v/>
      </c>
      <c r="V898" s="5"/>
    </row>
    <row r="899" spans="1:22" x14ac:dyDescent="0.25">
      <c r="A899" s="11"/>
      <c r="B899" s="5"/>
      <c r="C899" s="6" t="str">
        <f>IFERROR(INDEX(Ejecutivos!$B$2:$B$100,MATCH(B899,Ejecutivos!$A$2:$A$100,0)),"")</f>
        <v/>
      </c>
      <c r="D899" s="12"/>
      <c r="E899" s="12"/>
      <c r="F899" s="12"/>
      <c r="G899" s="12"/>
      <c r="H899" s="5"/>
      <c r="I899" s="5"/>
      <c r="J899" s="5"/>
      <c r="K899" s="5"/>
      <c r="L899" s="18">
        <v>0</v>
      </c>
      <c r="M899" t="str">
        <f t="shared" si="59"/>
        <v/>
      </c>
      <c r="N899" t="str">
        <f>IF(OR($D899="",$S899=""),"",IFERROR(MAX(0,ROUND(($D899-INDEX(Config!$C$15:$C$18,MATCH($S899,Config!$B$15:$B$18,0)))*24*60,0)),""))</f>
        <v/>
      </c>
      <c r="O899" t="str">
        <f t="shared" si="60"/>
        <v/>
      </c>
      <c r="P899" t="str">
        <f t="shared" si="61"/>
        <v/>
      </c>
      <c r="Q899" t="str">
        <f>IF(OR($P899="",$S899=""),"",IFERROR($P899-INDEX(Config!$E$15:$E$18,MATCH($S899,Config!$B$15:$B$18,0)),""))</f>
        <v/>
      </c>
      <c r="R899" t="str">
        <f t="shared" si="62"/>
        <v/>
      </c>
      <c r="S899" s="6" t="str">
        <f>IF(OR($A899="",$C899=""),"",IFERROR(INDEX(Turno!$C$3:$V$32,MATCH($C899,Turno!$B$3:$B$32,0),MATCH(DAY($A899),Turno!$C$1:$V$1,0)),""))</f>
        <v/>
      </c>
      <c r="T899" t="str">
        <f>IF(OR($E899="",$S899=""),"",IFERROR(MAX(0,ROUND((INDEX(Config!$D$15:$D$18,MATCH($S899,Config!$B$15:$B$18,0))-$E899)*1440,0)),""))</f>
        <v/>
      </c>
      <c r="U899" s="13" t="str">
        <f>IF(OR($N899="",$T899=""),"",IFERROR(MAX(0,1-($N899+$T899+MAX(0,N($Q899)))/ROUND((INDEX(Config!$D$15:$D$18,MATCH($S899,Config!$B$15:$B$18,0))-INDEX(Config!$C$15:$C$18,MATCH($S899,Config!$B$15:$B$18,0)))*1440,0)),""))</f>
        <v/>
      </c>
      <c r="V899" s="5"/>
    </row>
    <row r="900" spans="1:22" x14ac:dyDescent="0.25">
      <c r="A900" s="11"/>
      <c r="B900" s="5"/>
      <c r="C900" s="6" t="str">
        <f>IFERROR(INDEX(Ejecutivos!$B$2:$B$100,MATCH(B900,Ejecutivos!$A$2:$A$100,0)),"")</f>
        <v/>
      </c>
      <c r="D900" s="12"/>
      <c r="E900" s="12"/>
      <c r="F900" s="12"/>
      <c r="G900" s="12"/>
      <c r="H900" s="5"/>
      <c r="I900" s="5"/>
      <c r="J900" s="5"/>
      <c r="K900" s="5"/>
      <c r="L900" s="18">
        <v>0</v>
      </c>
      <c r="M900" t="str">
        <f t="shared" si="59"/>
        <v/>
      </c>
      <c r="N900" t="str">
        <f>IF(OR($D900="",$S900=""),"",IFERROR(MAX(0,ROUND(($D900-INDEX(Config!$C$15:$C$18,MATCH($S900,Config!$B$15:$B$18,0)))*24*60,0)),""))</f>
        <v/>
      </c>
      <c r="O900" t="str">
        <f t="shared" si="60"/>
        <v/>
      </c>
      <c r="P900" t="str">
        <f t="shared" si="61"/>
        <v/>
      </c>
      <c r="Q900" t="str">
        <f>IF(OR($P900="",$S900=""),"",IFERROR($P900-INDEX(Config!$E$15:$E$18,MATCH($S900,Config!$B$15:$B$18,0)),""))</f>
        <v/>
      </c>
      <c r="R900" t="str">
        <f t="shared" si="62"/>
        <v/>
      </c>
      <c r="S900" s="6" t="str">
        <f>IF(OR($A900="",$C900=""),"",IFERROR(INDEX(Turno!$C$3:$V$32,MATCH($C900,Turno!$B$3:$B$32,0),MATCH(DAY($A900),Turno!$C$1:$V$1,0)),""))</f>
        <v/>
      </c>
      <c r="T900" t="str">
        <f>IF(OR($E900="",$S900=""),"",IFERROR(MAX(0,ROUND((INDEX(Config!$D$15:$D$18,MATCH($S900,Config!$B$15:$B$18,0))-$E900)*1440,0)),""))</f>
        <v/>
      </c>
      <c r="U900" s="13" t="str">
        <f>IF(OR($N900="",$T900=""),"",IFERROR(MAX(0,1-($N900+$T900+MAX(0,N($Q900)))/ROUND((INDEX(Config!$D$15:$D$18,MATCH($S900,Config!$B$15:$B$18,0))-INDEX(Config!$C$15:$C$18,MATCH($S900,Config!$B$15:$B$18,0)))*1440,0)),""))</f>
        <v/>
      </c>
      <c r="V900" s="5"/>
    </row>
    <row r="901" spans="1:22" x14ac:dyDescent="0.25">
      <c r="A901" s="11"/>
      <c r="B901" s="5"/>
      <c r="C901" s="6" t="str">
        <f>IFERROR(INDEX(Ejecutivos!$B$2:$B$100,MATCH(B901,Ejecutivos!$A$2:$A$100,0)),"")</f>
        <v/>
      </c>
      <c r="D901" s="12"/>
      <c r="E901" s="12"/>
      <c r="F901" s="12"/>
      <c r="G901" s="12"/>
      <c r="H901" s="5"/>
      <c r="I901" s="5"/>
      <c r="J901" s="5"/>
      <c r="K901" s="5"/>
      <c r="L901" s="18">
        <v>0</v>
      </c>
      <c r="M901" t="str">
        <f t="shared" si="59"/>
        <v/>
      </c>
      <c r="N901" t="str">
        <f>IF(OR($D901="",$S901=""),"",IFERROR(MAX(0,ROUND(($D901-INDEX(Config!$C$15:$C$18,MATCH($S901,Config!$B$15:$B$18,0)))*24*60,0)),""))</f>
        <v/>
      </c>
      <c r="O901" t="str">
        <f t="shared" si="60"/>
        <v/>
      </c>
      <c r="P901" t="str">
        <f t="shared" si="61"/>
        <v/>
      </c>
      <c r="Q901" t="str">
        <f>IF(OR($P901="",$S901=""),"",IFERROR($P901-INDEX(Config!$E$15:$E$18,MATCH($S901,Config!$B$15:$B$18,0)),""))</f>
        <v/>
      </c>
      <c r="R901" t="str">
        <f t="shared" si="62"/>
        <v/>
      </c>
      <c r="S901" s="6" t="str">
        <f>IF(OR($A901="",$C901=""),"",IFERROR(INDEX(Turno!$C$3:$V$32,MATCH($C901,Turno!$B$3:$B$32,0),MATCH(DAY($A901),Turno!$C$1:$V$1,0)),""))</f>
        <v/>
      </c>
      <c r="T901" t="str">
        <f>IF(OR($E901="",$S901=""),"",IFERROR(MAX(0,ROUND((INDEX(Config!$D$15:$D$18,MATCH($S901,Config!$B$15:$B$18,0))-$E901)*1440,0)),""))</f>
        <v/>
      </c>
      <c r="U901" s="13" t="str">
        <f>IF(OR($N901="",$T901=""),"",IFERROR(MAX(0,1-($N901+$T901+MAX(0,N($Q901)))/ROUND((INDEX(Config!$D$15:$D$18,MATCH($S901,Config!$B$15:$B$18,0))-INDEX(Config!$C$15:$C$18,MATCH($S901,Config!$B$15:$B$18,0)))*1440,0)),""))</f>
        <v/>
      </c>
      <c r="V901" s="5"/>
    </row>
    <row r="902" spans="1:22" x14ac:dyDescent="0.25">
      <c r="A902" s="11"/>
      <c r="B902" s="5"/>
      <c r="C902" s="6" t="str">
        <f>IFERROR(INDEX(Ejecutivos!$B$2:$B$100,MATCH(B902,Ejecutivos!$A$2:$A$100,0)),"")</f>
        <v/>
      </c>
      <c r="D902" s="12"/>
      <c r="E902" s="12"/>
      <c r="F902" s="12"/>
      <c r="G902" s="12"/>
      <c r="H902" s="5"/>
      <c r="I902" s="5"/>
      <c r="J902" s="5"/>
      <c r="K902" s="5"/>
      <c r="L902" s="18">
        <v>0</v>
      </c>
      <c r="M902" t="str">
        <f t="shared" si="59"/>
        <v/>
      </c>
      <c r="N902" t="str">
        <f>IF(OR($D902="",$S902=""),"",IFERROR(MAX(0,ROUND(($D902-INDEX(Config!$C$15:$C$18,MATCH($S902,Config!$B$15:$B$18,0)))*24*60,0)),""))</f>
        <v/>
      </c>
      <c r="O902" t="str">
        <f t="shared" si="60"/>
        <v/>
      </c>
      <c r="P902" t="str">
        <f t="shared" si="61"/>
        <v/>
      </c>
      <c r="Q902" t="str">
        <f>IF(OR($P902="",$S902=""),"",IFERROR($P902-INDEX(Config!$E$15:$E$18,MATCH($S902,Config!$B$15:$B$18,0)),""))</f>
        <v/>
      </c>
      <c r="R902" t="str">
        <f t="shared" si="62"/>
        <v/>
      </c>
      <c r="S902" s="6" t="str">
        <f>IF(OR($A902="",$C902=""),"",IFERROR(INDEX(Turno!$C$3:$V$32,MATCH($C902,Turno!$B$3:$B$32,0),MATCH(DAY($A902),Turno!$C$1:$V$1,0)),""))</f>
        <v/>
      </c>
      <c r="T902" t="str">
        <f>IF(OR($E902="",$S902=""),"",IFERROR(MAX(0,ROUND((INDEX(Config!$D$15:$D$18,MATCH($S902,Config!$B$15:$B$18,0))-$E902)*1440,0)),""))</f>
        <v/>
      </c>
      <c r="U902" s="13" t="str">
        <f>IF(OR($N902="",$T902=""),"",IFERROR(MAX(0,1-($N902+$T902+MAX(0,N($Q902)))/ROUND((INDEX(Config!$D$15:$D$18,MATCH($S902,Config!$B$15:$B$18,0))-INDEX(Config!$C$15:$C$18,MATCH($S902,Config!$B$15:$B$18,0)))*1440,0)),""))</f>
        <v/>
      </c>
      <c r="V902" s="5"/>
    </row>
    <row r="903" spans="1:22" x14ac:dyDescent="0.25">
      <c r="A903" s="11"/>
      <c r="B903" s="5"/>
      <c r="C903" s="6" t="str">
        <f>IFERROR(INDEX(Ejecutivos!$B$2:$B$100,MATCH(B903,Ejecutivos!$A$2:$A$100,0)),"")</f>
        <v/>
      </c>
      <c r="D903" s="12"/>
      <c r="E903" s="12"/>
      <c r="F903" s="12"/>
      <c r="G903" s="12"/>
      <c r="H903" s="5"/>
      <c r="I903" s="5"/>
      <c r="J903" s="5"/>
      <c r="K903" s="5"/>
      <c r="L903" s="18">
        <v>0</v>
      </c>
      <c r="M903" t="str">
        <f t="shared" si="59"/>
        <v/>
      </c>
      <c r="N903" t="str">
        <f>IF(OR($D903="",$S903=""),"",IFERROR(MAX(0,ROUND(($D903-INDEX(Config!$C$15:$C$18,MATCH($S903,Config!$B$15:$B$18,0)))*24*60,0)),""))</f>
        <v/>
      </c>
      <c r="O903" t="str">
        <f t="shared" si="60"/>
        <v/>
      </c>
      <c r="P903" t="str">
        <f t="shared" si="61"/>
        <v/>
      </c>
      <c r="Q903" t="str">
        <f>IF(OR($P903="",$S903=""),"",IFERROR($P903-INDEX(Config!$E$15:$E$18,MATCH($S903,Config!$B$15:$B$18,0)),""))</f>
        <v/>
      </c>
      <c r="R903" t="str">
        <f t="shared" si="62"/>
        <v/>
      </c>
      <c r="S903" s="6" t="str">
        <f>IF(OR($A903="",$C903=""),"",IFERROR(INDEX(Turno!$C$3:$V$32,MATCH($C903,Turno!$B$3:$B$32,0),MATCH(DAY($A903),Turno!$C$1:$V$1,0)),""))</f>
        <v/>
      </c>
      <c r="T903" t="str">
        <f>IF(OR($E903="",$S903=""),"",IFERROR(MAX(0,ROUND((INDEX(Config!$D$15:$D$18,MATCH($S903,Config!$B$15:$B$18,0))-$E903)*1440,0)),""))</f>
        <v/>
      </c>
      <c r="U903" s="13" t="str">
        <f>IF(OR($N903="",$T903=""),"",IFERROR(MAX(0,1-($N903+$T903+MAX(0,N($Q903)))/ROUND((INDEX(Config!$D$15:$D$18,MATCH($S903,Config!$B$15:$B$18,0))-INDEX(Config!$C$15:$C$18,MATCH($S903,Config!$B$15:$B$18,0)))*1440,0)),""))</f>
        <v/>
      </c>
      <c r="V903" s="5"/>
    </row>
    <row r="904" spans="1:22" x14ac:dyDescent="0.25">
      <c r="A904" s="11"/>
      <c r="B904" s="5"/>
      <c r="C904" s="6" t="str">
        <f>IFERROR(INDEX(Ejecutivos!$B$2:$B$100,MATCH(B904,Ejecutivos!$A$2:$A$100,0)),"")</f>
        <v/>
      </c>
      <c r="D904" s="12"/>
      <c r="E904" s="12"/>
      <c r="F904" s="12"/>
      <c r="G904" s="12"/>
      <c r="H904" s="5"/>
      <c r="I904" s="5"/>
      <c r="J904" s="5"/>
      <c r="K904" s="5"/>
      <c r="L904" s="18">
        <v>0</v>
      </c>
      <c r="M904" t="str">
        <f t="shared" si="59"/>
        <v/>
      </c>
      <c r="N904" t="str">
        <f>IF(OR($D904="",$S904=""),"",IFERROR(MAX(0,ROUND(($D904-INDEX(Config!$C$15:$C$18,MATCH($S904,Config!$B$15:$B$18,0)))*24*60,0)),""))</f>
        <v/>
      </c>
      <c r="O904" t="str">
        <f t="shared" si="60"/>
        <v/>
      </c>
      <c r="P904" t="str">
        <f t="shared" si="61"/>
        <v/>
      </c>
      <c r="Q904" t="str">
        <f>IF(OR($P904="",$S904=""),"",IFERROR($P904-INDEX(Config!$E$15:$E$18,MATCH($S904,Config!$B$15:$B$18,0)),""))</f>
        <v/>
      </c>
      <c r="R904" t="str">
        <f t="shared" si="62"/>
        <v/>
      </c>
      <c r="S904" s="6" t="str">
        <f>IF(OR($A904="",$C904=""),"",IFERROR(INDEX(Turno!$C$3:$V$32,MATCH($C904,Turno!$B$3:$B$32,0),MATCH(DAY($A904),Turno!$C$1:$V$1,0)),""))</f>
        <v/>
      </c>
      <c r="T904" t="str">
        <f>IF(OR($E904="",$S904=""),"",IFERROR(MAX(0,ROUND((INDEX(Config!$D$15:$D$18,MATCH($S904,Config!$B$15:$B$18,0))-$E904)*1440,0)),""))</f>
        <v/>
      </c>
      <c r="U904" s="13" t="str">
        <f>IF(OR($N904="",$T904=""),"",IFERROR(MAX(0,1-($N904+$T904+MAX(0,N($Q904)))/ROUND((INDEX(Config!$D$15:$D$18,MATCH($S904,Config!$B$15:$B$18,0))-INDEX(Config!$C$15:$C$18,MATCH($S904,Config!$B$15:$B$18,0)))*1440,0)),""))</f>
        <v/>
      </c>
      <c r="V904" s="5"/>
    </row>
    <row r="905" spans="1:22" x14ac:dyDescent="0.25">
      <c r="A905" s="11"/>
      <c r="B905" s="5"/>
      <c r="C905" s="6" t="str">
        <f>IFERROR(INDEX(Ejecutivos!$B$2:$B$100,MATCH(B905,Ejecutivos!$A$2:$A$100,0)),"")</f>
        <v/>
      </c>
      <c r="D905" s="12"/>
      <c r="E905" s="12"/>
      <c r="F905" s="12"/>
      <c r="G905" s="12"/>
      <c r="H905" s="5"/>
      <c r="I905" s="5"/>
      <c r="J905" s="5"/>
      <c r="K905" s="5"/>
      <c r="L905" s="18">
        <v>0</v>
      </c>
      <c r="M905" t="str">
        <f t="shared" si="59"/>
        <v/>
      </c>
      <c r="N905" t="str">
        <f>IF(OR($D905="",$S905=""),"",IFERROR(MAX(0,ROUND(($D905-INDEX(Config!$C$15:$C$18,MATCH($S905,Config!$B$15:$B$18,0)))*24*60,0)),""))</f>
        <v/>
      </c>
      <c r="O905" t="str">
        <f t="shared" si="60"/>
        <v/>
      </c>
      <c r="P905" t="str">
        <f t="shared" si="61"/>
        <v/>
      </c>
      <c r="Q905" t="str">
        <f>IF(OR($P905="",$S905=""),"",IFERROR($P905-INDEX(Config!$E$15:$E$18,MATCH($S905,Config!$B$15:$B$18,0)),""))</f>
        <v/>
      </c>
      <c r="R905" t="str">
        <f t="shared" si="62"/>
        <v/>
      </c>
      <c r="S905" s="6" t="str">
        <f>IF(OR($A905="",$C905=""),"",IFERROR(INDEX(Turno!$C$3:$V$32,MATCH($C905,Turno!$B$3:$B$32,0),MATCH(DAY($A905),Turno!$C$1:$V$1,0)),""))</f>
        <v/>
      </c>
      <c r="T905" t="str">
        <f>IF(OR($E905="",$S905=""),"",IFERROR(MAX(0,ROUND((INDEX(Config!$D$15:$D$18,MATCH($S905,Config!$B$15:$B$18,0))-$E905)*1440,0)),""))</f>
        <v/>
      </c>
      <c r="U905" s="13" t="str">
        <f>IF(OR($N905="",$T905=""),"",IFERROR(MAX(0,1-($N905+$T905+MAX(0,N($Q905)))/ROUND((INDEX(Config!$D$15:$D$18,MATCH($S905,Config!$B$15:$B$18,0))-INDEX(Config!$C$15:$C$18,MATCH($S905,Config!$B$15:$B$18,0)))*1440,0)),""))</f>
        <v/>
      </c>
      <c r="V905" s="5"/>
    </row>
    <row r="906" spans="1:22" x14ac:dyDescent="0.25">
      <c r="A906" s="11"/>
      <c r="B906" s="5"/>
      <c r="C906" s="6" t="str">
        <f>IFERROR(INDEX(Ejecutivos!$B$2:$B$100,MATCH(B906,Ejecutivos!$A$2:$A$100,0)),"")</f>
        <v/>
      </c>
      <c r="D906" s="12"/>
      <c r="E906" s="12"/>
      <c r="F906" s="12"/>
      <c r="G906" s="12"/>
      <c r="H906" s="5"/>
      <c r="I906" s="5"/>
      <c r="J906" s="5"/>
      <c r="K906" s="5"/>
      <c r="L906" s="18">
        <v>0</v>
      </c>
      <c r="M906" t="str">
        <f t="shared" si="59"/>
        <v/>
      </c>
      <c r="N906" t="str">
        <f>IF(OR($D906="",$S906=""),"",IFERROR(MAX(0,ROUND(($D906-INDEX(Config!$C$15:$C$18,MATCH($S906,Config!$B$15:$B$18,0)))*24*60,0)),""))</f>
        <v/>
      </c>
      <c r="O906" t="str">
        <f t="shared" si="60"/>
        <v/>
      </c>
      <c r="P906" t="str">
        <f t="shared" si="61"/>
        <v/>
      </c>
      <c r="Q906" t="str">
        <f>IF(OR($P906="",$S906=""),"",IFERROR($P906-INDEX(Config!$E$15:$E$18,MATCH($S906,Config!$B$15:$B$18,0)),""))</f>
        <v/>
      </c>
      <c r="R906" t="str">
        <f t="shared" si="62"/>
        <v/>
      </c>
      <c r="S906" s="6" t="str">
        <f>IF(OR($A906="",$C906=""),"",IFERROR(INDEX(Turno!$C$3:$V$32,MATCH($C906,Turno!$B$3:$B$32,0),MATCH(DAY($A906),Turno!$C$1:$V$1,0)),""))</f>
        <v/>
      </c>
      <c r="T906" t="str">
        <f>IF(OR($E906="",$S906=""),"",IFERROR(MAX(0,ROUND((INDEX(Config!$D$15:$D$18,MATCH($S906,Config!$B$15:$B$18,0))-$E906)*1440,0)),""))</f>
        <v/>
      </c>
      <c r="U906" s="13" t="str">
        <f>IF(OR($N906="",$T906=""),"",IFERROR(MAX(0,1-($N906+$T906+MAX(0,N($Q906)))/ROUND((INDEX(Config!$D$15:$D$18,MATCH($S906,Config!$B$15:$B$18,0))-INDEX(Config!$C$15:$C$18,MATCH($S906,Config!$B$15:$B$18,0)))*1440,0)),""))</f>
        <v/>
      </c>
      <c r="V906" s="5"/>
    </row>
    <row r="907" spans="1:22" x14ac:dyDescent="0.25">
      <c r="A907" s="11"/>
      <c r="B907" s="5"/>
      <c r="C907" s="6" t="str">
        <f>IFERROR(INDEX(Ejecutivos!$B$2:$B$100,MATCH(B907,Ejecutivos!$A$2:$A$100,0)),"")</f>
        <v/>
      </c>
      <c r="D907" s="12"/>
      <c r="E907" s="12"/>
      <c r="F907" s="12"/>
      <c r="G907" s="12"/>
      <c r="H907" s="5"/>
      <c r="I907" s="5"/>
      <c r="J907" s="5"/>
      <c r="K907" s="5"/>
      <c r="L907" s="18">
        <v>0</v>
      </c>
      <c r="M907" t="str">
        <f t="shared" si="59"/>
        <v/>
      </c>
      <c r="N907" t="str">
        <f>IF(OR($D907="",$S907=""),"",IFERROR(MAX(0,ROUND(($D907-INDEX(Config!$C$15:$C$18,MATCH($S907,Config!$B$15:$B$18,0)))*24*60,0)),""))</f>
        <v/>
      </c>
      <c r="O907" t="str">
        <f t="shared" si="60"/>
        <v/>
      </c>
      <c r="P907" t="str">
        <f t="shared" si="61"/>
        <v/>
      </c>
      <c r="Q907" t="str">
        <f>IF(OR($P907="",$S907=""),"",IFERROR($P907-INDEX(Config!$E$15:$E$18,MATCH($S907,Config!$B$15:$B$18,0)),""))</f>
        <v/>
      </c>
      <c r="R907" t="str">
        <f t="shared" si="62"/>
        <v/>
      </c>
      <c r="S907" s="6" t="str">
        <f>IF(OR($A907="",$C907=""),"",IFERROR(INDEX(Turno!$C$3:$V$32,MATCH($C907,Turno!$B$3:$B$32,0),MATCH(DAY($A907),Turno!$C$1:$V$1,0)),""))</f>
        <v/>
      </c>
      <c r="T907" t="str">
        <f>IF(OR($E907="",$S907=""),"",IFERROR(MAX(0,ROUND((INDEX(Config!$D$15:$D$18,MATCH($S907,Config!$B$15:$B$18,0))-$E907)*1440,0)),""))</f>
        <v/>
      </c>
      <c r="U907" s="13" t="str">
        <f>IF(OR($N907="",$T907=""),"",IFERROR(MAX(0,1-($N907+$T907+MAX(0,N($Q907)))/ROUND((INDEX(Config!$D$15:$D$18,MATCH($S907,Config!$B$15:$B$18,0))-INDEX(Config!$C$15:$C$18,MATCH($S907,Config!$B$15:$B$18,0)))*1440,0)),""))</f>
        <v/>
      </c>
      <c r="V907" s="5"/>
    </row>
    <row r="908" spans="1:22" x14ac:dyDescent="0.25">
      <c r="A908" s="11"/>
      <c r="B908" s="5"/>
      <c r="C908" s="6" t="str">
        <f>IFERROR(INDEX(Ejecutivos!$B$2:$B$100,MATCH(B908,Ejecutivos!$A$2:$A$100,0)),"")</f>
        <v/>
      </c>
      <c r="D908" s="12"/>
      <c r="E908" s="12"/>
      <c r="F908" s="12"/>
      <c r="G908" s="12"/>
      <c r="H908" s="5"/>
      <c r="I908" s="5"/>
      <c r="J908" s="5"/>
      <c r="K908" s="5"/>
      <c r="L908" s="18">
        <v>0</v>
      </c>
      <c r="M908" t="str">
        <f t="shared" si="59"/>
        <v/>
      </c>
      <c r="N908" t="str">
        <f>IF(OR($D908="",$S908=""),"",IFERROR(MAX(0,ROUND(($D908-INDEX(Config!$C$15:$C$18,MATCH($S908,Config!$B$15:$B$18,0)))*24*60,0)),""))</f>
        <v/>
      </c>
      <c r="O908" t="str">
        <f t="shared" si="60"/>
        <v/>
      </c>
      <c r="P908" t="str">
        <f t="shared" si="61"/>
        <v/>
      </c>
      <c r="Q908" t="str">
        <f>IF(OR($P908="",$S908=""),"",IFERROR($P908-INDEX(Config!$E$15:$E$18,MATCH($S908,Config!$B$15:$B$18,0)),""))</f>
        <v/>
      </c>
      <c r="R908" t="str">
        <f t="shared" si="62"/>
        <v/>
      </c>
      <c r="S908" s="6" t="str">
        <f>IF(OR($A908="",$C908=""),"",IFERROR(INDEX(Turno!$C$3:$V$32,MATCH($C908,Turno!$B$3:$B$32,0),MATCH(DAY($A908),Turno!$C$1:$V$1,0)),""))</f>
        <v/>
      </c>
      <c r="T908" t="str">
        <f>IF(OR($E908="",$S908=""),"",IFERROR(MAX(0,ROUND((INDEX(Config!$D$15:$D$18,MATCH($S908,Config!$B$15:$B$18,0))-$E908)*1440,0)),""))</f>
        <v/>
      </c>
      <c r="U908" s="13" t="str">
        <f>IF(OR($N908="",$T908=""),"",IFERROR(MAX(0,1-($N908+$T908+MAX(0,N($Q908)))/ROUND((INDEX(Config!$D$15:$D$18,MATCH($S908,Config!$B$15:$B$18,0))-INDEX(Config!$C$15:$C$18,MATCH($S908,Config!$B$15:$B$18,0)))*1440,0)),""))</f>
        <v/>
      </c>
      <c r="V908" s="5"/>
    </row>
    <row r="909" spans="1:22" x14ac:dyDescent="0.25">
      <c r="A909" s="11"/>
      <c r="B909" s="5"/>
      <c r="C909" s="6" t="str">
        <f>IFERROR(INDEX(Ejecutivos!$B$2:$B$100,MATCH(B909,Ejecutivos!$A$2:$A$100,0)),"")</f>
        <v/>
      </c>
      <c r="D909" s="12"/>
      <c r="E909" s="12"/>
      <c r="F909" s="12"/>
      <c r="G909" s="12"/>
      <c r="H909" s="5"/>
      <c r="I909" s="5"/>
      <c r="J909" s="5"/>
      <c r="K909" s="5"/>
      <c r="L909" s="18">
        <v>0</v>
      </c>
      <c r="M909" t="str">
        <f t="shared" si="59"/>
        <v/>
      </c>
      <c r="N909" t="str">
        <f>IF(OR($D909="",$S909=""),"",IFERROR(MAX(0,ROUND(($D909-INDEX(Config!$C$15:$C$18,MATCH($S909,Config!$B$15:$B$18,0)))*24*60,0)),""))</f>
        <v/>
      </c>
      <c r="O909" t="str">
        <f t="shared" si="60"/>
        <v/>
      </c>
      <c r="P909" t="str">
        <f t="shared" si="61"/>
        <v/>
      </c>
      <c r="Q909" t="str">
        <f>IF(OR($P909="",$S909=""),"",IFERROR($P909-INDEX(Config!$E$15:$E$18,MATCH($S909,Config!$B$15:$B$18,0)),""))</f>
        <v/>
      </c>
      <c r="R909" t="str">
        <f t="shared" si="62"/>
        <v/>
      </c>
      <c r="S909" s="6" t="str">
        <f>IF(OR($A909="",$C909=""),"",IFERROR(INDEX(Turno!$C$3:$V$32,MATCH($C909,Turno!$B$3:$B$32,0),MATCH(DAY($A909),Turno!$C$1:$V$1,0)),""))</f>
        <v/>
      </c>
      <c r="T909" t="str">
        <f>IF(OR($E909="",$S909=""),"",IFERROR(MAX(0,ROUND((INDEX(Config!$D$15:$D$18,MATCH($S909,Config!$B$15:$B$18,0))-$E909)*1440,0)),""))</f>
        <v/>
      </c>
      <c r="U909" s="13" t="str">
        <f>IF(OR($N909="",$T909=""),"",IFERROR(MAX(0,1-($N909+$T909+MAX(0,N($Q909)))/ROUND((INDEX(Config!$D$15:$D$18,MATCH($S909,Config!$B$15:$B$18,0))-INDEX(Config!$C$15:$C$18,MATCH($S909,Config!$B$15:$B$18,0)))*1440,0)),""))</f>
        <v/>
      </c>
      <c r="V909" s="5"/>
    </row>
    <row r="910" spans="1:22" x14ac:dyDescent="0.25">
      <c r="A910" s="11"/>
      <c r="B910" s="5"/>
      <c r="C910" s="6" t="str">
        <f>IFERROR(INDEX(Ejecutivos!$B$2:$B$100,MATCH(B910,Ejecutivos!$A$2:$A$100,0)),"")</f>
        <v/>
      </c>
      <c r="D910" s="12"/>
      <c r="E910" s="12"/>
      <c r="F910" s="12"/>
      <c r="G910" s="12"/>
      <c r="H910" s="5"/>
      <c r="I910" s="5"/>
      <c r="J910" s="5"/>
      <c r="K910" s="5"/>
      <c r="L910" s="18">
        <v>0</v>
      </c>
      <c r="M910" t="str">
        <f t="shared" si="59"/>
        <v/>
      </c>
      <c r="N910" t="str">
        <f>IF(OR($D910="",$S910=""),"",IFERROR(MAX(0,ROUND(($D910-INDEX(Config!$C$15:$C$18,MATCH($S910,Config!$B$15:$B$18,0)))*24*60,0)),""))</f>
        <v/>
      </c>
      <c r="O910" t="str">
        <f t="shared" si="60"/>
        <v/>
      </c>
      <c r="P910" t="str">
        <f t="shared" si="61"/>
        <v/>
      </c>
      <c r="Q910" t="str">
        <f>IF(OR($P910="",$S910=""),"",IFERROR($P910-INDEX(Config!$E$15:$E$18,MATCH($S910,Config!$B$15:$B$18,0)),""))</f>
        <v/>
      </c>
      <c r="R910" t="str">
        <f t="shared" si="62"/>
        <v/>
      </c>
      <c r="S910" s="6" t="str">
        <f>IF(OR($A910="",$C910=""),"",IFERROR(INDEX(Turno!$C$3:$V$32,MATCH($C910,Turno!$B$3:$B$32,0),MATCH(DAY($A910),Turno!$C$1:$V$1,0)),""))</f>
        <v/>
      </c>
      <c r="T910" t="str">
        <f>IF(OR($E910="",$S910=""),"",IFERROR(MAX(0,ROUND((INDEX(Config!$D$15:$D$18,MATCH($S910,Config!$B$15:$B$18,0))-$E910)*1440,0)),""))</f>
        <v/>
      </c>
      <c r="U910" s="13" t="str">
        <f>IF(OR($N910="",$T910=""),"",IFERROR(MAX(0,1-($N910+$T910+MAX(0,N($Q910)))/ROUND((INDEX(Config!$D$15:$D$18,MATCH($S910,Config!$B$15:$B$18,0))-INDEX(Config!$C$15:$C$18,MATCH($S910,Config!$B$15:$B$18,0)))*1440,0)),""))</f>
        <v/>
      </c>
      <c r="V910" s="5"/>
    </row>
    <row r="911" spans="1:22" x14ac:dyDescent="0.25">
      <c r="A911" s="11"/>
      <c r="B911" s="5"/>
      <c r="C911" s="6" t="str">
        <f>IFERROR(INDEX(Ejecutivos!$B$2:$B$100,MATCH(B911,Ejecutivos!$A$2:$A$100,0)),"")</f>
        <v/>
      </c>
      <c r="D911" s="12"/>
      <c r="E911" s="12"/>
      <c r="F911" s="12"/>
      <c r="G911" s="12"/>
      <c r="H911" s="5"/>
      <c r="I911" s="5"/>
      <c r="J911" s="5"/>
      <c r="K911" s="5"/>
      <c r="L911" s="18">
        <v>0</v>
      </c>
      <c r="M911" t="str">
        <f t="shared" si="59"/>
        <v/>
      </c>
      <c r="N911" t="str">
        <f>IF(OR($D911="",$S911=""),"",IFERROR(MAX(0,ROUND(($D911-INDEX(Config!$C$15:$C$18,MATCH($S911,Config!$B$15:$B$18,0)))*24*60,0)),""))</f>
        <v/>
      </c>
      <c r="O911" t="str">
        <f t="shared" si="60"/>
        <v/>
      </c>
      <c r="P911" t="str">
        <f t="shared" si="61"/>
        <v/>
      </c>
      <c r="Q911" t="str">
        <f>IF(OR($P911="",$S911=""),"",IFERROR($P911-INDEX(Config!$E$15:$E$18,MATCH($S911,Config!$B$15:$B$18,0)),""))</f>
        <v/>
      </c>
      <c r="R911" t="str">
        <f t="shared" si="62"/>
        <v/>
      </c>
      <c r="S911" s="6" t="str">
        <f>IF(OR($A911="",$C911=""),"",IFERROR(INDEX(Turno!$C$3:$V$32,MATCH($C911,Turno!$B$3:$B$32,0),MATCH(DAY($A911),Turno!$C$1:$V$1,0)),""))</f>
        <v/>
      </c>
      <c r="T911" t="str">
        <f>IF(OR($E911="",$S911=""),"",IFERROR(MAX(0,ROUND((INDEX(Config!$D$15:$D$18,MATCH($S911,Config!$B$15:$B$18,0))-$E911)*1440,0)),""))</f>
        <v/>
      </c>
      <c r="U911" s="13" t="str">
        <f>IF(OR($N911="",$T911=""),"",IFERROR(MAX(0,1-($N911+$T911+MAX(0,N($Q911)))/ROUND((INDEX(Config!$D$15:$D$18,MATCH($S911,Config!$B$15:$B$18,0))-INDEX(Config!$C$15:$C$18,MATCH($S911,Config!$B$15:$B$18,0)))*1440,0)),""))</f>
        <v/>
      </c>
      <c r="V911" s="5"/>
    </row>
    <row r="912" spans="1:22" x14ac:dyDescent="0.25">
      <c r="A912" s="11"/>
      <c r="B912" s="5"/>
      <c r="C912" s="6" t="str">
        <f>IFERROR(INDEX(Ejecutivos!$B$2:$B$100,MATCH(B912,Ejecutivos!$A$2:$A$100,0)),"")</f>
        <v/>
      </c>
      <c r="D912" s="12"/>
      <c r="E912" s="12"/>
      <c r="F912" s="12"/>
      <c r="G912" s="12"/>
      <c r="H912" s="5"/>
      <c r="I912" s="5"/>
      <c r="J912" s="5"/>
      <c r="K912" s="5"/>
      <c r="L912" s="18">
        <v>0</v>
      </c>
      <c r="M912" t="str">
        <f t="shared" si="59"/>
        <v/>
      </c>
      <c r="N912" t="str">
        <f>IF(OR($D912="",$S912=""),"",IFERROR(MAX(0,ROUND(($D912-INDEX(Config!$C$15:$C$18,MATCH($S912,Config!$B$15:$B$18,0)))*24*60,0)),""))</f>
        <v/>
      </c>
      <c r="O912" t="str">
        <f t="shared" si="60"/>
        <v/>
      </c>
      <c r="P912" t="str">
        <f t="shared" si="61"/>
        <v/>
      </c>
      <c r="Q912" t="str">
        <f>IF(OR($P912="",$S912=""),"",IFERROR($P912-INDEX(Config!$E$15:$E$18,MATCH($S912,Config!$B$15:$B$18,0)),""))</f>
        <v/>
      </c>
      <c r="R912" t="str">
        <f t="shared" si="62"/>
        <v/>
      </c>
      <c r="S912" s="6" t="str">
        <f>IF(OR($A912="",$C912=""),"",IFERROR(INDEX(Turno!$C$3:$V$32,MATCH($C912,Turno!$B$3:$B$32,0),MATCH(DAY($A912),Turno!$C$1:$V$1,0)),""))</f>
        <v/>
      </c>
      <c r="T912" t="str">
        <f>IF(OR($E912="",$S912=""),"",IFERROR(MAX(0,ROUND((INDEX(Config!$D$15:$D$18,MATCH($S912,Config!$B$15:$B$18,0))-$E912)*1440,0)),""))</f>
        <v/>
      </c>
      <c r="U912" s="13" t="str">
        <f>IF(OR($N912="",$T912=""),"",IFERROR(MAX(0,1-($N912+$T912+MAX(0,N($Q912)))/ROUND((INDEX(Config!$D$15:$D$18,MATCH($S912,Config!$B$15:$B$18,0))-INDEX(Config!$C$15:$C$18,MATCH($S912,Config!$B$15:$B$18,0)))*1440,0)),""))</f>
        <v/>
      </c>
      <c r="V912" s="5"/>
    </row>
    <row r="913" spans="1:22" x14ac:dyDescent="0.25">
      <c r="A913" s="11"/>
      <c r="B913" s="5"/>
      <c r="C913" s="6" t="str">
        <f>IFERROR(INDEX(Ejecutivos!$B$2:$B$100,MATCH(B913,Ejecutivos!$A$2:$A$100,0)),"")</f>
        <v/>
      </c>
      <c r="D913" s="12"/>
      <c r="E913" s="12"/>
      <c r="F913" s="12"/>
      <c r="G913" s="12"/>
      <c r="H913" s="5"/>
      <c r="I913" s="5"/>
      <c r="J913" s="5"/>
      <c r="K913" s="5"/>
      <c r="L913" s="18">
        <v>0</v>
      </c>
      <c r="M913" t="str">
        <f t="shared" si="59"/>
        <v/>
      </c>
      <c r="N913" t="str">
        <f>IF(OR($D913="",$S913=""),"",IFERROR(MAX(0,ROUND(($D913-INDEX(Config!$C$15:$C$18,MATCH($S913,Config!$B$15:$B$18,0)))*24*60,0)),""))</f>
        <v/>
      </c>
      <c r="O913" t="str">
        <f t="shared" si="60"/>
        <v/>
      </c>
      <c r="P913" t="str">
        <f t="shared" si="61"/>
        <v/>
      </c>
      <c r="Q913" t="str">
        <f>IF(OR($P913="",$S913=""),"",IFERROR($P913-INDEX(Config!$E$15:$E$18,MATCH($S913,Config!$B$15:$B$18,0)),""))</f>
        <v/>
      </c>
      <c r="R913" t="str">
        <f t="shared" si="62"/>
        <v/>
      </c>
      <c r="S913" s="6" t="str">
        <f>IF(OR($A913="",$C913=""),"",IFERROR(INDEX(Turno!$C$3:$V$32,MATCH($C913,Turno!$B$3:$B$32,0),MATCH(DAY($A913),Turno!$C$1:$V$1,0)),""))</f>
        <v/>
      </c>
      <c r="T913" t="str">
        <f>IF(OR($E913="",$S913=""),"",IFERROR(MAX(0,ROUND((INDEX(Config!$D$15:$D$18,MATCH($S913,Config!$B$15:$B$18,0))-$E913)*1440,0)),""))</f>
        <v/>
      </c>
      <c r="U913" s="13" t="str">
        <f>IF(OR($N913="",$T913=""),"",IFERROR(MAX(0,1-($N913+$T913+MAX(0,N($Q913)))/ROUND((INDEX(Config!$D$15:$D$18,MATCH($S913,Config!$B$15:$B$18,0))-INDEX(Config!$C$15:$C$18,MATCH($S913,Config!$B$15:$B$18,0)))*1440,0)),""))</f>
        <v/>
      </c>
      <c r="V913" s="5"/>
    </row>
    <row r="914" spans="1:22" x14ac:dyDescent="0.25">
      <c r="A914" s="11"/>
      <c r="B914" s="5"/>
      <c r="C914" s="6" t="str">
        <f>IFERROR(INDEX(Ejecutivos!$B$2:$B$100,MATCH(B914,Ejecutivos!$A$2:$A$100,0)),"")</f>
        <v/>
      </c>
      <c r="D914" s="12"/>
      <c r="E914" s="12"/>
      <c r="F914" s="12"/>
      <c r="G914" s="12"/>
      <c r="H914" s="5"/>
      <c r="I914" s="5"/>
      <c r="J914" s="5"/>
      <c r="K914" s="5"/>
      <c r="L914" s="18">
        <v>0</v>
      </c>
      <c r="M914" t="str">
        <f t="shared" si="59"/>
        <v/>
      </c>
      <c r="N914" t="str">
        <f>IF(OR($D914="",$S914=""),"",IFERROR(MAX(0,ROUND(($D914-INDEX(Config!$C$15:$C$18,MATCH($S914,Config!$B$15:$B$18,0)))*24*60,0)),""))</f>
        <v/>
      </c>
      <c r="O914" t="str">
        <f t="shared" si="60"/>
        <v/>
      </c>
      <c r="P914" t="str">
        <f t="shared" si="61"/>
        <v/>
      </c>
      <c r="Q914" t="str">
        <f>IF(OR($P914="",$S914=""),"",IFERROR($P914-INDEX(Config!$E$15:$E$18,MATCH($S914,Config!$B$15:$B$18,0)),""))</f>
        <v/>
      </c>
      <c r="R914" t="str">
        <f t="shared" si="62"/>
        <v/>
      </c>
      <c r="S914" s="6" t="str">
        <f>IF(OR($A914="",$C914=""),"",IFERROR(INDEX(Turno!$C$3:$V$32,MATCH($C914,Turno!$B$3:$B$32,0),MATCH(DAY($A914),Turno!$C$1:$V$1,0)),""))</f>
        <v/>
      </c>
      <c r="T914" t="str">
        <f>IF(OR($E914="",$S914=""),"",IFERROR(MAX(0,ROUND((INDEX(Config!$D$15:$D$18,MATCH($S914,Config!$B$15:$B$18,0))-$E914)*1440,0)),""))</f>
        <v/>
      </c>
      <c r="U914" s="13" t="str">
        <f>IF(OR($N914="",$T914=""),"",IFERROR(MAX(0,1-($N914+$T914+MAX(0,N($Q914)))/ROUND((INDEX(Config!$D$15:$D$18,MATCH($S914,Config!$B$15:$B$18,0))-INDEX(Config!$C$15:$C$18,MATCH($S914,Config!$B$15:$B$18,0)))*1440,0)),""))</f>
        <v/>
      </c>
      <c r="V914" s="5"/>
    </row>
    <row r="915" spans="1:22" x14ac:dyDescent="0.25">
      <c r="A915" s="11"/>
      <c r="B915" s="5"/>
      <c r="C915" s="6" t="str">
        <f>IFERROR(INDEX(Ejecutivos!$B$2:$B$100,MATCH(B915,Ejecutivos!$A$2:$A$100,0)),"")</f>
        <v/>
      </c>
      <c r="D915" s="12"/>
      <c r="E915" s="12"/>
      <c r="F915" s="12"/>
      <c r="G915" s="12"/>
      <c r="H915" s="5"/>
      <c r="I915" s="5"/>
      <c r="J915" s="5"/>
      <c r="K915" s="5"/>
      <c r="L915" s="18">
        <v>0</v>
      </c>
      <c r="M915" t="str">
        <f t="shared" si="59"/>
        <v/>
      </c>
      <c r="N915" t="str">
        <f>IF(OR($D915="",$S915=""),"",IFERROR(MAX(0,ROUND(($D915-INDEX(Config!$C$15:$C$18,MATCH($S915,Config!$B$15:$B$18,0)))*24*60,0)),""))</f>
        <v/>
      </c>
      <c r="O915" t="str">
        <f t="shared" si="60"/>
        <v/>
      </c>
      <c r="P915" t="str">
        <f t="shared" si="61"/>
        <v/>
      </c>
      <c r="Q915" t="str">
        <f>IF(OR($P915="",$S915=""),"",IFERROR($P915-INDEX(Config!$E$15:$E$18,MATCH($S915,Config!$B$15:$B$18,0)),""))</f>
        <v/>
      </c>
      <c r="R915" t="str">
        <f t="shared" si="62"/>
        <v/>
      </c>
      <c r="S915" s="6" t="str">
        <f>IF(OR($A915="",$C915=""),"",IFERROR(INDEX(Turno!$C$3:$V$32,MATCH($C915,Turno!$B$3:$B$32,0),MATCH(DAY($A915),Turno!$C$1:$V$1,0)),""))</f>
        <v/>
      </c>
      <c r="T915" t="str">
        <f>IF(OR($E915="",$S915=""),"",IFERROR(MAX(0,ROUND((INDEX(Config!$D$15:$D$18,MATCH($S915,Config!$B$15:$B$18,0))-$E915)*1440,0)),""))</f>
        <v/>
      </c>
      <c r="U915" s="13" t="str">
        <f>IF(OR($N915="",$T915=""),"",IFERROR(MAX(0,1-($N915+$T915+MAX(0,N($Q915)))/ROUND((INDEX(Config!$D$15:$D$18,MATCH($S915,Config!$B$15:$B$18,0))-INDEX(Config!$C$15:$C$18,MATCH($S915,Config!$B$15:$B$18,0)))*1440,0)),""))</f>
        <v/>
      </c>
      <c r="V915" s="5"/>
    </row>
    <row r="916" spans="1:22" x14ac:dyDescent="0.25">
      <c r="A916" s="11"/>
      <c r="B916" s="5"/>
      <c r="C916" s="6" t="str">
        <f>IFERROR(INDEX(Ejecutivos!$B$2:$B$100,MATCH(B916,Ejecutivos!$A$2:$A$100,0)),"")</f>
        <v/>
      </c>
      <c r="D916" s="12"/>
      <c r="E916" s="12"/>
      <c r="F916" s="12"/>
      <c r="G916" s="12"/>
      <c r="H916" s="5"/>
      <c r="I916" s="5"/>
      <c r="J916" s="5"/>
      <c r="K916" s="5"/>
      <c r="L916" s="18">
        <v>0</v>
      </c>
      <c r="M916" t="str">
        <f t="shared" si="59"/>
        <v/>
      </c>
      <c r="N916" t="str">
        <f>IF(OR($D916="",$S916=""),"",IFERROR(MAX(0,ROUND(($D916-INDEX(Config!$C$15:$C$18,MATCH($S916,Config!$B$15:$B$18,0)))*24*60,0)),""))</f>
        <v/>
      </c>
      <c r="O916" t="str">
        <f t="shared" si="60"/>
        <v/>
      </c>
      <c r="P916" t="str">
        <f t="shared" si="61"/>
        <v/>
      </c>
      <c r="Q916" t="str">
        <f>IF(OR($P916="",$S916=""),"",IFERROR($P916-INDEX(Config!$E$15:$E$18,MATCH($S916,Config!$B$15:$B$18,0)),""))</f>
        <v/>
      </c>
      <c r="R916" t="str">
        <f t="shared" si="62"/>
        <v/>
      </c>
      <c r="S916" s="6" t="str">
        <f>IF(OR($A916="",$C916=""),"",IFERROR(INDEX(Turno!$C$3:$V$32,MATCH($C916,Turno!$B$3:$B$32,0),MATCH(DAY($A916),Turno!$C$1:$V$1,0)),""))</f>
        <v/>
      </c>
      <c r="T916" t="str">
        <f>IF(OR($E916="",$S916=""),"",IFERROR(MAX(0,ROUND((INDEX(Config!$D$15:$D$18,MATCH($S916,Config!$B$15:$B$18,0))-$E916)*1440,0)),""))</f>
        <v/>
      </c>
      <c r="U916" s="13" t="str">
        <f>IF(OR($N916="",$T916=""),"",IFERROR(MAX(0,1-($N916+$T916+MAX(0,N($Q916)))/ROUND((INDEX(Config!$D$15:$D$18,MATCH($S916,Config!$B$15:$B$18,0))-INDEX(Config!$C$15:$C$18,MATCH($S916,Config!$B$15:$B$18,0)))*1440,0)),""))</f>
        <v/>
      </c>
      <c r="V916" s="5"/>
    </row>
    <row r="917" spans="1:22" x14ac:dyDescent="0.25">
      <c r="A917" s="11"/>
      <c r="B917" s="5"/>
      <c r="C917" s="6" t="str">
        <f>IFERROR(INDEX(Ejecutivos!$B$2:$B$100,MATCH(B917,Ejecutivos!$A$2:$A$100,0)),"")</f>
        <v/>
      </c>
      <c r="D917" s="12"/>
      <c r="E917" s="12"/>
      <c r="F917" s="12"/>
      <c r="G917" s="12"/>
      <c r="H917" s="5"/>
      <c r="I917" s="5"/>
      <c r="J917" s="5"/>
      <c r="K917" s="5"/>
      <c r="L917" s="18">
        <v>0</v>
      </c>
      <c r="M917" t="str">
        <f t="shared" si="59"/>
        <v/>
      </c>
      <c r="N917" t="str">
        <f>IF(OR($D917="",$S917=""),"",IFERROR(MAX(0,ROUND(($D917-INDEX(Config!$C$15:$C$18,MATCH($S917,Config!$B$15:$B$18,0)))*24*60,0)),""))</f>
        <v/>
      </c>
      <c r="O917" t="str">
        <f t="shared" si="60"/>
        <v/>
      </c>
      <c r="P917" t="str">
        <f t="shared" si="61"/>
        <v/>
      </c>
      <c r="Q917" t="str">
        <f>IF(OR($P917="",$S917=""),"",IFERROR($P917-INDEX(Config!$E$15:$E$18,MATCH($S917,Config!$B$15:$B$18,0)),""))</f>
        <v/>
      </c>
      <c r="R917" t="str">
        <f t="shared" si="62"/>
        <v/>
      </c>
      <c r="S917" s="6" t="str">
        <f>IF(OR($A917="",$C917=""),"",IFERROR(INDEX(Turno!$C$3:$V$32,MATCH($C917,Turno!$B$3:$B$32,0),MATCH(DAY($A917),Turno!$C$1:$V$1,0)),""))</f>
        <v/>
      </c>
      <c r="T917" t="str">
        <f>IF(OR($E917="",$S917=""),"",IFERROR(MAX(0,ROUND((INDEX(Config!$D$15:$D$18,MATCH($S917,Config!$B$15:$B$18,0))-$E917)*1440,0)),""))</f>
        <v/>
      </c>
      <c r="U917" s="13" t="str">
        <f>IF(OR($N917="",$T917=""),"",IFERROR(MAX(0,1-($N917+$T917+MAX(0,N($Q917)))/ROUND((INDEX(Config!$D$15:$D$18,MATCH($S917,Config!$B$15:$B$18,0))-INDEX(Config!$C$15:$C$18,MATCH($S917,Config!$B$15:$B$18,0)))*1440,0)),""))</f>
        <v/>
      </c>
      <c r="V917" s="5"/>
    </row>
    <row r="918" spans="1:22" x14ac:dyDescent="0.25">
      <c r="A918" s="11"/>
      <c r="B918" s="5"/>
      <c r="C918" s="6" t="str">
        <f>IFERROR(INDEX(Ejecutivos!$B$2:$B$100,MATCH(B918,Ejecutivos!$A$2:$A$100,0)),"")</f>
        <v/>
      </c>
      <c r="D918" s="12"/>
      <c r="E918" s="12"/>
      <c r="F918" s="12"/>
      <c r="G918" s="12"/>
      <c r="H918" s="5"/>
      <c r="I918" s="5"/>
      <c r="J918" s="5"/>
      <c r="K918" s="5"/>
      <c r="L918" s="18">
        <v>0</v>
      </c>
      <c r="M918" t="str">
        <f t="shared" si="59"/>
        <v/>
      </c>
      <c r="N918" t="str">
        <f>IF(OR($D918="",$S918=""),"",IFERROR(MAX(0,ROUND(($D918-INDEX(Config!$C$15:$C$18,MATCH($S918,Config!$B$15:$B$18,0)))*24*60,0)),""))</f>
        <v/>
      </c>
      <c r="O918" t="str">
        <f t="shared" si="60"/>
        <v/>
      </c>
      <c r="P918" t="str">
        <f t="shared" si="61"/>
        <v/>
      </c>
      <c r="Q918" t="str">
        <f>IF(OR($P918="",$S918=""),"",IFERROR($P918-INDEX(Config!$E$15:$E$18,MATCH($S918,Config!$B$15:$B$18,0)),""))</f>
        <v/>
      </c>
      <c r="R918" t="str">
        <f t="shared" si="62"/>
        <v/>
      </c>
      <c r="S918" s="6" t="str">
        <f>IF(OR($A918="",$C918=""),"",IFERROR(INDEX(Turno!$C$3:$V$32,MATCH($C918,Turno!$B$3:$B$32,0),MATCH(DAY($A918),Turno!$C$1:$V$1,0)),""))</f>
        <v/>
      </c>
      <c r="T918" t="str">
        <f>IF(OR($E918="",$S918=""),"",IFERROR(MAX(0,ROUND((INDEX(Config!$D$15:$D$18,MATCH($S918,Config!$B$15:$B$18,0))-$E918)*1440,0)),""))</f>
        <v/>
      </c>
      <c r="U918" s="13" t="str">
        <f>IF(OR($N918="",$T918=""),"",IFERROR(MAX(0,1-($N918+$T918+MAX(0,N($Q918)))/ROUND((INDEX(Config!$D$15:$D$18,MATCH($S918,Config!$B$15:$B$18,0))-INDEX(Config!$C$15:$C$18,MATCH($S918,Config!$B$15:$B$18,0)))*1440,0)),""))</f>
        <v/>
      </c>
      <c r="V918" s="5"/>
    </row>
    <row r="919" spans="1:22" x14ac:dyDescent="0.25">
      <c r="A919" s="11"/>
      <c r="B919" s="5"/>
      <c r="C919" s="6" t="str">
        <f>IFERROR(INDEX(Ejecutivos!$B$2:$B$100,MATCH(B919,Ejecutivos!$A$2:$A$100,0)),"")</f>
        <v/>
      </c>
      <c r="D919" s="12"/>
      <c r="E919" s="12"/>
      <c r="F919" s="12"/>
      <c r="G919" s="12"/>
      <c r="H919" s="5"/>
      <c r="I919" s="5"/>
      <c r="J919" s="5"/>
      <c r="K919" s="5"/>
      <c r="L919" s="18">
        <v>0</v>
      </c>
      <c r="M919" t="str">
        <f t="shared" si="59"/>
        <v/>
      </c>
      <c r="N919" t="str">
        <f>IF(OR($D919="",$S919=""),"",IFERROR(MAX(0,ROUND(($D919-INDEX(Config!$C$15:$C$18,MATCH($S919,Config!$B$15:$B$18,0)))*24*60,0)),""))</f>
        <v/>
      </c>
      <c r="O919" t="str">
        <f t="shared" si="60"/>
        <v/>
      </c>
      <c r="P919" t="str">
        <f t="shared" si="61"/>
        <v/>
      </c>
      <c r="Q919" t="str">
        <f>IF(OR($P919="",$S919=""),"",IFERROR($P919-INDEX(Config!$E$15:$E$18,MATCH($S919,Config!$B$15:$B$18,0)),""))</f>
        <v/>
      </c>
      <c r="R919" t="str">
        <f t="shared" si="62"/>
        <v/>
      </c>
      <c r="S919" s="6" t="str">
        <f>IF(OR($A919="",$C919=""),"",IFERROR(INDEX(Turno!$C$3:$V$32,MATCH($C919,Turno!$B$3:$B$32,0),MATCH(DAY($A919),Turno!$C$1:$V$1,0)),""))</f>
        <v/>
      </c>
      <c r="T919" t="str">
        <f>IF(OR($E919="",$S919=""),"",IFERROR(MAX(0,ROUND((INDEX(Config!$D$15:$D$18,MATCH($S919,Config!$B$15:$B$18,0))-$E919)*1440,0)),""))</f>
        <v/>
      </c>
      <c r="U919" s="13" t="str">
        <f>IF(OR($N919="",$T919=""),"",IFERROR(MAX(0,1-($N919+$T919+MAX(0,N($Q919)))/ROUND((INDEX(Config!$D$15:$D$18,MATCH($S919,Config!$B$15:$B$18,0))-INDEX(Config!$C$15:$C$18,MATCH($S919,Config!$B$15:$B$18,0)))*1440,0)),""))</f>
        <v/>
      </c>
      <c r="V919" s="5"/>
    </row>
    <row r="920" spans="1:22" x14ac:dyDescent="0.25">
      <c r="A920" s="11"/>
      <c r="B920" s="5"/>
      <c r="C920" s="6" t="str">
        <f>IFERROR(INDEX(Ejecutivos!$B$2:$B$100,MATCH(B920,Ejecutivos!$A$2:$A$100,0)),"")</f>
        <v/>
      </c>
      <c r="D920" s="12"/>
      <c r="E920" s="12"/>
      <c r="F920" s="12"/>
      <c r="G920" s="12"/>
      <c r="H920" s="5"/>
      <c r="I920" s="5"/>
      <c r="J920" s="5"/>
      <c r="K920" s="5"/>
      <c r="L920" s="18">
        <v>0</v>
      </c>
      <c r="M920" t="str">
        <f t="shared" si="59"/>
        <v/>
      </c>
      <c r="N920" t="str">
        <f>IF(OR($D920="",$S920=""),"",IFERROR(MAX(0,ROUND(($D920-INDEX(Config!$C$15:$C$18,MATCH($S920,Config!$B$15:$B$18,0)))*24*60,0)),""))</f>
        <v/>
      </c>
      <c r="O920" t="str">
        <f t="shared" si="60"/>
        <v/>
      </c>
      <c r="P920" t="str">
        <f t="shared" si="61"/>
        <v/>
      </c>
      <c r="Q920" t="str">
        <f>IF(OR($P920="",$S920=""),"",IFERROR($P920-INDEX(Config!$E$15:$E$18,MATCH($S920,Config!$B$15:$B$18,0)),""))</f>
        <v/>
      </c>
      <c r="R920" t="str">
        <f t="shared" si="62"/>
        <v/>
      </c>
      <c r="S920" s="6" t="str">
        <f>IF(OR($A920="",$C920=""),"",IFERROR(INDEX(Turno!$C$3:$V$32,MATCH($C920,Turno!$B$3:$B$32,0),MATCH(DAY($A920),Turno!$C$1:$V$1,0)),""))</f>
        <v/>
      </c>
      <c r="T920" t="str">
        <f>IF(OR($E920="",$S920=""),"",IFERROR(MAX(0,ROUND((INDEX(Config!$D$15:$D$18,MATCH($S920,Config!$B$15:$B$18,0))-$E920)*1440,0)),""))</f>
        <v/>
      </c>
      <c r="U920" s="13" t="str">
        <f>IF(OR($N920="",$T920=""),"",IFERROR(MAX(0,1-($N920+$T920+MAX(0,N($Q920)))/ROUND((INDEX(Config!$D$15:$D$18,MATCH($S920,Config!$B$15:$B$18,0))-INDEX(Config!$C$15:$C$18,MATCH($S920,Config!$B$15:$B$18,0)))*1440,0)),""))</f>
        <v/>
      </c>
      <c r="V920" s="5"/>
    </row>
    <row r="921" spans="1:22" x14ac:dyDescent="0.25">
      <c r="A921" s="11"/>
      <c r="B921" s="5"/>
      <c r="C921" s="6" t="str">
        <f>IFERROR(INDEX(Ejecutivos!$B$2:$B$100,MATCH(B921,Ejecutivos!$A$2:$A$100,0)),"")</f>
        <v/>
      </c>
      <c r="D921" s="12"/>
      <c r="E921" s="12"/>
      <c r="F921" s="12"/>
      <c r="G921" s="12"/>
      <c r="H921" s="5"/>
      <c r="I921" s="5"/>
      <c r="J921" s="5"/>
      <c r="K921" s="5"/>
      <c r="L921" s="18">
        <v>0</v>
      </c>
      <c r="M921" t="str">
        <f t="shared" si="59"/>
        <v/>
      </c>
      <c r="N921" t="str">
        <f>IF(OR($D921="",$S921=""),"",IFERROR(MAX(0,ROUND(($D921-INDEX(Config!$C$15:$C$18,MATCH($S921,Config!$B$15:$B$18,0)))*24*60,0)),""))</f>
        <v/>
      </c>
      <c r="O921" t="str">
        <f t="shared" si="60"/>
        <v/>
      </c>
      <c r="P921" t="str">
        <f t="shared" si="61"/>
        <v/>
      </c>
      <c r="Q921" t="str">
        <f>IF(OR($P921="",$S921=""),"",IFERROR($P921-INDEX(Config!$E$15:$E$18,MATCH($S921,Config!$B$15:$B$18,0)),""))</f>
        <v/>
      </c>
      <c r="R921" t="str">
        <f t="shared" si="62"/>
        <v/>
      </c>
      <c r="S921" s="6" t="str">
        <f>IF(OR($A921="",$C921=""),"",IFERROR(INDEX(Turno!$C$3:$V$32,MATCH($C921,Turno!$B$3:$B$32,0),MATCH(DAY($A921),Turno!$C$1:$V$1,0)),""))</f>
        <v/>
      </c>
      <c r="T921" t="str">
        <f>IF(OR($E921="",$S921=""),"",IFERROR(MAX(0,ROUND((INDEX(Config!$D$15:$D$18,MATCH($S921,Config!$B$15:$B$18,0))-$E921)*1440,0)),""))</f>
        <v/>
      </c>
      <c r="U921" s="13" t="str">
        <f>IF(OR($N921="",$T921=""),"",IFERROR(MAX(0,1-($N921+$T921+MAX(0,N($Q921)))/ROUND((INDEX(Config!$D$15:$D$18,MATCH($S921,Config!$B$15:$B$18,0))-INDEX(Config!$C$15:$C$18,MATCH($S921,Config!$B$15:$B$18,0)))*1440,0)),""))</f>
        <v/>
      </c>
      <c r="V921" s="5"/>
    </row>
    <row r="922" spans="1:22" x14ac:dyDescent="0.25">
      <c r="A922" s="11"/>
      <c r="B922" s="5"/>
      <c r="C922" s="6" t="str">
        <f>IFERROR(INDEX(Ejecutivos!$B$2:$B$100,MATCH(B922,Ejecutivos!$A$2:$A$100,0)),"")</f>
        <v/>
      </c>
      <c r="D922" s="12"/>
      <c r="E922" s="12"/>
      <c r="F922" s="12"/>
      <c r="G922" s="12"/>
      <c r="H922" s="5"/>
      <c r="I922" s="5"/>
      <c r="J922" s="5"/>
      <c r="K922" s="5"/>
      <c r="L922" s="18">
        <v>0</v>
      </c>
      <c r="M922" t="str">
        <f t="shared" si="59"/>
        <v/>
      </c>
      <c r="N922" t="str">
        <f>IF(OR($D922="",$S922=""),"",IFERROR(MAX(0,ROUND(($D922-INDEX(Config!$C$15:$C$18,MATCH($S922,Config!$B$15:$B$18,0)))*24*60,0)),""))</f>
        <v/>
      </c>
      <c r="O922" t="str">
        <f t="shared" si="60"/>
        <v/>
      </c>
      <c r="P922" t="str">
        <f t="shared" si="61"/>
        <v/>
      </c>
      <c r="Q922" t="str">
        <f>IF(OR($P922="",$S922=""),"",IFERROR($P922-INDEX(Config!$E$15:$E$18,MATCH($S922,Config!$B$15:$B$18,0)),""))</f>
        <v/>
      </c>
      <c r="R922" t="str">
        <f t="shared" si="62"/>
        <v/>
      </c>
      <c r="S922" s="6" t="str">
        <f>IF(OR($A922="",$C922=""),"",IFERROR(INDEX(Turno!$C$3:$V$32,MATCH($C922,Turno!$B$3:$B$32,0),MATCH(DAY($A922),Turno!$C$1:$V$1,0)),""))</f>
        <v/>
      </c>
      <c r="T922" t="str">
        <f>IF(OR($E922="",$S922=""),"",IFERROR(MAX(0,ROUND((INDEX(Config!$D$15:$D$18,MATCH($S922,Config!$B$15:$B$18,0))-$E922)*1440,0)),""))</f>
        <v/>
      </c>
      <c r="U922" s="13" t="str">
        <f>IF(OR($N922="",$T922=""),"",IFERROR(MAX(0,1-($N922+$T922+MAX(0,N($Q922)))/ROUND((INDEX(Config!$D$15:$D$18,MATCH($S922,Config!$B$15:$B$18,0))-INDEX(Config!$C$15:$C$18,MATCH($S922,Config!$B$15:$B$18,0)))*1440,0)),""))</f>
        <v/>
      </c>
      <c r="V922" s="5"/>
    </row>
    <row r="923" spans="1:22" x14ac:dyDescent="0.25">
      <c r="A923" s="11"/>
      <c r="B923" s="5"/>
      <c r="C923" s="6" t="str">
        <f>IFERROR(INDEX(Ejecutivos!$B$2:$B$100,MATCH(B923,Ejecutivos!$A$2:$A$100,0)),"")</f>
        <v/>
      </c>
      <c r="D923" s="12"/>
      <c r="E923" s="12"/>
      <c r="F923" s="12"/>
      <c r="G923" s="12"/>
      <c r="H923" s="5"/>
      <c r="I923" s="5"/>
      <c r="J923" s="5"/>
      <c r="K923" s="5"/>
      <c r="L923" s="18">
        <v>0</v>
      </c>
      <c r="M923" t="str">
        <f t="shared" si="59"/>
        <v/>
      </c>
      <c r="N923" t="str">
        <f>IF(OR($D923="",$S923=""),"",IFERROR(MAX(0,ROUND(($D923-INDEX(Config!$C$15:$C$18,MATCH($S923,Config!$B$15:$B$18,0)))*24*60,0)),""))</f>
        <v/>
      </c>
      <c r="O923" t="str">
        <f t="shared" si="60"/>
        <v/>
      </c>
      <c r="P923" t="str">
        <f t="shared" si="61"/>
        <v/>
      </c>
      <c r="Q923" t="str">
        <f>IF(OR($P923="",$S923=""),"",IFERROR($P923-INDEX(Config!$E$15:$E$18,MATCH($S923,Config!$B$15:$B$18,0)),""))</f>
        <v/>
      </c>
      <c r="R923" t="str">
        <f t="shared" si="62"/>
        <v/>
      </c>
      <c r="S923" s="6" t="str">
        <f>IF(OR($A923="",$C923=""),"",IFERROR(INDEX(Turno!$C$3:$V$32,MATCH($C923,Turno!$B$3:$B$32,0),MATCH(DAY($A923),Turno!$C$1:$V$1,0)),""))</f>
        <v/>
      </c>
      <c r="T923" t="str">
        <f>IF(OR($E923="",$S923=""),"",IFERROR(MAX(0,ROUND((INDEX(Config!$D$15:$D$18,MATCH($S923,Config!$B$15:$B$18,0))-$E923)*1440,0)),""))</f>
        <v/>
      </c>
      <c r="U923" s="13" t="str">
        <f>IF(OR($N923="",$T923=""),"",IFERROR(MAX(0,1-($N923+$T923+MAX(0,N($Q923)))/ROUND((INDEX(Config!$D$15:$D$18,MATCH($S923,Config!$B$15:$B$18,0))-INDEX(Config!$C$15:$C$18,MATCH($S923,Config!$B$15:$B$18,0)))*1440,0)),""))</f>
        <v/>
      </c>
      <c r="V923" s="5"/>
    </row>
    <row r="924" spans="1:22" x14ac:dyDescent="0.25">
      <c r="A924" s="11"/>
      <c r="B924" s="5"/>
      <c r="C924" s="6" t="str">
        <f>IFERROR(INDEX(Ejecutivos!$B$2:$B$100,MATCH(B924,Ejecutivos!$A$2:$A$100,0)),"")</f>
        <v/>
      </c>
      <c r="D924" s="12"/>
      <c r="E924" s="12"/>
      <c r="F924" s="12"/>
      <c r="G924" s="12"/>
      <c r="H924" s="5"/>
      <c r="I924" s="5"/>
      <c r="J924" s="5"/>
      <c r="K924" s="5"/>
      <c r="L924" s="18">
        <v>0</v>
      </c>
      <c r="M924" t="str">
        <f t="shared" si="59"/>
        <v/>
      </c>
      <c r="N924" t="str">
        <f>IF(OR($D924="",$S924=""),"",IFERROR(MAX(0,ROUND(($D924-INDEX(Config!$C$15:$C$18,MATCH($S924,Config!$B$15:$B$18,0)))*24*60,0)),""))</f>
        <v/>
      </c>
      <c r="O924" t="str">
        <f t="shared" si="60"/>
        <v/>
      </c>
      <c r="P924" t="str">
        <f t="shared" si="61"/>
        <v/>
      </c>
      <c r="Q924" t="str">
        <f>IF(OR($P924="",$S924=""),"",IFERROR($P924-INDEX(Config!$E$15:$E$18,MATCH($S924,Config!$B$15:$B$18,0)),""))</f>
        <v/>
      </c>
      <c r="R924" t="str">
        <f t="shared" si="62"/>
        <v/>
      </c>
      <c r="S924" s="6" t="str">
        <f>IF(OR($A924="",$C924=""),"",IFERROR(INDEX(Turno!$C$3:$V$32,MATCH($C924,Turno!$B$3:$B$32,0),MATCH(DAY($A924),Turno!$C$1:$V$1,0)),""))</f>
        <v/>
      </c>
      <c r="T924" t="str">
        <f>IF(OR($E924="",$S924=""),"",IFERROR(MAX(0,ROUND((INDEX(Config!$D$15:$D$18,MATCH($S924,Config!$B$15:$B$18,0))-$E924)*1440,0)),""))</f>
        <v/>
      </c>
      <c r="U924" s="13" t="str">
        <f>IF(OR($N924="",$T924=""),"",IFERROR(MAX(0,1-($N924+$T924+MAX(0,N($Q924)))/ROUND((INDEX(Config!$D$15:$D$18,MATCH($S924,Config!$B$15:$B$18,0))-INDEX(Config!$C$15:$C$18,MATCH($S924,Config!$B$15:$B$18,0)))*1440,0)),""))</f>
        <v/>
      </c>
      <c r="V924" s="5"/>
    </row>
    <row r="925" spans="1:22" x14ac:dyDescent="0.25">
      <c r="A925" s="11"/>
      <c r="B925" s="5"/>
      <c r="C925" s="6" t="str">
        <f>IFERROR(INDEX(Ejecutivos!$B$2:$B$100,MATCH(B925,Ejecutivos!$A$2:$A$100,0)),"")</f>
        <v/>
      </c>
      <c r="D925" s="12"/>
      <c r="E925" s="12"/>
      <c r="F925" s="12"/>
      <c r="G925" s="12"/>
      <c r="H925" s="5"/>
      <c r="I925" s="5"/>
      <c r="J925" s="5"/>
      <c r="K925" s="5"/>
      <c r="L925" s="18">
        <v>0</v>
      </c>
      <c r="M925" t="str">
        <f t="shared" si="59"/>
        <v/>
      </c>
      <c r="N925" t="str">
        <f>IF(OR($D925="",$S925=""),"",IFERROR(MAX(0,ROUND(($D925-INDEX(Config!$C$15:$C$18,MATCH($S925,Config!$B$15:$B$18,0)))*24*60,0)),""))</f>
        <v/>
      </c>
      <c r="O925" t="str">
        <f t="shared" si="60"/>
        <v/>
      </c>
      <c r="P925" t="str">
        <f t="shared" si="61"/>
        <v/>
      </c>
      <c r="Q925" t="str">
        <f>IF(OR($P925="",$S925=""),"",IFERROR($P925-INDEX(Config!$E$15:$E$18,MATCH($S925,Config!$B$15:$B$18,0)),""))</f>
        <v/>
      </c>
      <c r="R925" t="str">
        <f t="shared" si="62"/>
        <v/>
      </c>
      <c r="S925" s="6" t="str">
        <f>IF(OR($A925="",$C925=""),"",IFERROR(INDEX(Turno!$C$3:$V$32,MATCH($C925,Turno!$B$3:$B$32,0),MATCH(DAY($A925),Turno!$C$1:$V$1,0)),""))</f>
        <v/>
      </c>
      <c r="T925" t="str">
        <f>IF(OR($E925="",$S925=""),"",IFERROR(MAX(0,ROUND((INDEX(Config!$D$15:$D$18,MATCH($S925,Config!$B$15:$B$18,0))-$E925)*1440,0)),""))</f>
        <v/>
      </c>
      <c r="U925" s="13" t="str">
        <f>IF(OR($N925="",$T925=""),"",IFERROR(MAX(0,1-($N925+$T925+MAX(0,N($Q925)))/ROUND((INDEX(Config!$D$15:$D$18,MATCH($S925,Config!$B$15:$B$18,0))-INDEX(Config!$C$15:$C$18,MATCH($S925,Config!$B$15:$B$18,0)))*1440,0)),""))</f>
        <v/>
      </c>
      <c r="V925" s="5"/>
    </row>
    <row r="926" spans="1:22" x14ac:dyDescent="0.25">
      <c r="A926" s="11"/>
      <c r="B926" s="5"/>
      <c r="C926" s="6" t="str">
        <f>IFERROR(INDEX(Ejecutivos!$B$2:$B$100,MATCH(B926,Ejecutivos!$A$2:$A$100,0)),"")</f>
        <v/>
      </c>
      <c r="D926" s="12"/>
      <c r="E926" s="12"/>
      <c r="F926" s="12"/>
      <c r="G926" s="12"/>
      <c r="H926" s="5"/>
      <c r="I926" s="5"/>
      <c r="J926" s="5"/>
      <c r="K926" s="5"/>
      <c r="L926" s="18">
        <v>0</v>
      </c>
      <c r="M926" t="str">
        <f t="shared" si="59"/>
        <v/>
      </c>
      <c r="N926" t="str">
        <f>IF(OR($D926="",$S926=""),"",IFERROR(MAX(0,ROUND(($D926-INDEX(Config!$C$15:$C$18,MATCH($S926,Config!$B$15:$B$18,0)))*24*60,0)),""))</f>
        <v/>
      </c>
      <c r="O926" t="str">
        <f t="shared" si="60"/>
        <v/>
      </c>
      <c r="P926" t="str">
        <f t="shared" si="61"/>
        <v/>
      </c>
      <c r="Q926" t="str">
        <f>IF(OR($P926="",$S926=""),"",IFERROR($P926-INDEX(Config!$E$15:$E$18,MATCH($S926,Config!$B$15:$B$18,0)),""))</f>
        <v/>
      </c>
      <c r="R926" t="str">
        <f t="shared" si="62"/>
        <v/>
      </c>
      <c r="S926" s="6" t="str">
        <f>IF(OR($A926="",$C926=""),"",IFERROR(INDEX(Turno!$C$3:$V$32,MATCH($C926,Turno!$B$3:$B$32,0),MATCH(DAY($A926),Turno!$C$1:$V$1,0)),""))</f>
        <v/>
      </c>
      <c r="T926" t="str">
        <f>IF(OR($E926="",$S926=""),"",IFERROR(MAX(0,ROUND((INDEX(Config!$D$15:$D$18,MATCH($S926,Config!$B$15:$B$18,0))-$E926)*1440,0)),""))</f>
        <v/>
      </c>
      <c r="U926" s="13" t="str">
        <f>IF(OR($N926="",$T926=""),"",IFERROR(MAX(0,1-($N926+$T926+MAX(0,N($Q926)))/ROUND((INDEX(Config!$D$15:$D$18,MATCH($S926,Config!$B$15:$B$18,0))-INDEX(Config!$C$15:$C$18,MATCH($S926,Config!$B$15:$B$18,0)))*1440,0)),""))</f>
        <v/>
      </c>
      <c r="V926" s="5"/>
    </row>
    <row r="927" spans="1:22" x14ac:dyDescent="0.25">
      <c r="A927" s="11"/>
      <c r="B927" s="5"/>
      <c r="C927" s="6" t="str">
        <f>IFERROR(INDEX(Ejecutivos!$B$2:$B$100,MATCH(B927,Ejecutivos!$A$2:$A$100,0)),"")</f>
        <v/>
      </c>
      <c r="D927" s="12"/>
      <c r="E927" s="12"/>
      <c r="F927" s="12"/>
      <c r="G927" s="12"/>
      <c r="H927" s="5"/>
      <c r="I927" s="5"/>
      <c r="J927" s="5"/>
      <c r="K927" s="5"/>
      <c r="L927" s="18">
        <v>0</v>
      </c>
      <c r="M927" t="str">
        <f t="shared" si="59"/>
        <v/>
      </c>
      <c r="N927" t="str">
        <f>IF(OR($D927="",$S927=""),"",IFERROR(MAX(0,ROUND(($D927-INDEX(Config!$C$15:$C$18,MATCH($S927,Config!$B$15:$B$18,0)))*24*60,0)),""))</f>
        <v/>
      </c>
      <c r="O927" t="str">
        <f t="shared" si="60"/>
        <v/>
      </c>
      <c r="P927" t="str">
        <f t="shared" si="61"/>
        <v/>
      </c>
      <c r="Q927" t="str">
        <f>IF(OR($P927="",$S927=""),"",IFERROR($P927-INDEX(Config!$E$15:$E$18,MATCH($S927,Config!$B$15:$B$18,0)),""))</f>
        <v/>
      </c>
      <c r="R927" t="str">
        <f t="shared" si="62"/>
        <v/>
      </c>
      <c r="S927" s="6" t="str">
        <f>IF(OR($A927="",$C927=""),"",IFERROR(INDEX(Turno!$C$3:$V$32,MATCH($C927,Turno!$B$3:$B$32,0),MATCH(DAY($A927),Turno!$C$1:$V$1,0)),""))</f>
        <v/>
      </c>
      <c r="T927" t="str">
        <f>IF(OR($E927="",$S927=""),"",IFERROR(MAX(0,ROUND((INDEX(Config!$D$15:$D$18,MATCH($S927,Config!$B$15:$B$18,0))-$E927)*1440,0)),""))</f>
        <v/>
      </c>
      <c r="U927" s="13" t="str">
        <f>IF(OR($N927="",$T927=""),"",IFERROR(MAX(0,1-($N927+$T927+MAX(0,N($Q927)))/ROUND((INDEX(Config!$D$15:$D$18,MATCH($S927,Config!$B$15:$B$18,0))-INDEX(Config!$C$15:$C$18,MATCH($S927,Config!$B$15:$B$18,0)))*1440,0)),""))</f>
        <v/>
      </c>
      <c r="V927" s="5"/>
    </row>
    <row r="928" spans="1:22" x14ac:dyDescent="0.25">
      <c r="A928" s="11"/>
      <c r="B928" s="5"/>
      <c r="C928" s="6" t="str">
        <f>IFERROR(INDEX(Ejecutivos!$B$2:$B$100,MATCH(B928,Ejecutivos!$A$2:$A$100,0)),"")</f>
        <v/>
      </c>
      <c r="D928" s="12"/>
      <c r="E928" s="12"/>
      <c r="F928" s="12"/>
      <c r="G928" s="12"/>
      <c r="H928" s="5"/>
      <c r="I928" s="5"/>
      <c r="J928" s="5"/>
      <c r="K928" s="5"/>
      <c r="L928" s="18">
        <v>0</v>
      </c>
      <c r="M928" t="str">
        <f t="shared" si="59"/>
        <v/>
      </c>
      <c r="N928" t="str">
        <f>IF(OR($D928="",$S928=""),"",IFERROR(MAX(0,ROUND(($D928-INDEX(Config!$C$15:$C$18,MATCH($S928,Config!$B$15:$B$18,0)))*24*60,0)),""))</f>
        <v/>
      </c>
      <c r="O928" t="str">
        <f t="shared" si="60"/>
        <v/>
      </c>
      <c r="P928" t="str">
        <f t="shared" si="61"/>
        <v/>
      </c>
      <c r="Q928" t="str">
        <f>IF(OR($P928="",$S928=""),"",IFERROR($P928-INDEX(Config!$E$15:$E$18,MATCH($S928,Config!$B$15:$B$18,0)),""))</f>
        <v/>
      </c>
      <c r="R928" t="str">
        <f t="shared" si="62"/>
        <v/>
      </c>
      <c r="S928" s="6" t="str">
        <f>IF(OR($A928="",$C928=""),"",IFERROR(INDEX(Turno!$C$3:$V$32,MATCH($C928,Turno!$B$3:$B$32,0),MATCH(DAY($A928),Turno!$C$1:$V$1,0)),""))</f>
        <v/>
      </c>
      <c r="T928" t="str">
        <f>IF(OR($E928="",$S928=""),"",IFERROR(MAX(0,ROUND((INDEX(Config!$D$15:$D$18,MATCH($S928,Config!$B$15:$B$18,0))-$E928)*1440,0)),""))</f>
        <v/>
      </c>
      <c r="U928" s="13" t="str">
        <f>IF(OR($N928="",$T928=""),"",IFERROR(MAX(0,1-($N928+$T928+MAX(0,N($Q928)))/ROUND((INDEX(Config!$D$15:$D$18,MATCH($S928,Config!$B$15:$B$18,0))-INDEX(Config!$C$15:$C$18,MATCH($S928,Config!$B$15:$B$18,0)))*1440,0)),""))</f>
        <v/>
      </c>
      <c r="V928" s="5"/>
    </row>
    <row r="929" spans="1:22" x14ac:dyDescent="0.25">
      <c r="A929" s="11"/>
      <c r="B929" s="5"/>
      <c r="C929" s="6" t="str">
        <f>IFERROR(INDEX(Ejecutivos!$B$2:$B$100,MATCH(B929,Ejecutivos!$A$2:$A$100,0)),"")</f>
        <v/>
      </c>
      <c r="D929" s="12"/>
      <c r="E929" s="12"/>
      <c r="F929" s="12"/>
      <c r="G929" s="12"/>
      <c r="H929" s="5"/>
      <c r="I929" s="5"/>
      <c r="J929" s="5"/>
      <c r="K929" s="5"/>
      <c r="L929" s="18">
        <v>0</v>
      </c>
      <c r="M929" t="str">
        <f t="shared" si="59"/>
        <v/>
      </c>
      <c r="N929" t="str">
        <f>IF(OR($D929="",$S929=""),"",IFERROR(MAX(0,ROUND(($D929-INDEX(Config!$C$15:$C$18,MATCH($S929,Config!$B$15:$B$18,0)))*24*60,0)),""))</f>
        <v/>
      </c>
      <c r="O929" t="str">
        <f t="shared" si="60"/>
        <v/>
      </c>
      <c r="P929" t="str">
        <f t="shared" si="61"/>
        <v/>
      </c>
      <c r="Q929" t="str">
        <f>IF(OR($P929="",$S929=""),"",IFERROR($P929-INDEX(Config!$E$15:$E$18,MATCH($S929,Config!$B$15:$B$18,0)),""))</f>
        <v/>
      </c>
      <c r="R929" t="str">
        <f t="shared" si="62"/>
        <v/>
      </c>
      <c r="S929" s="6" t="str">
        <f>IF(OR($A929="",$C929=""),"",IFERROR(INDEX(Turno!$C$3:$V$32,MATCH($C929,Turno!$B$3:$B$32,0),MATCH(DAY($A929),Turno!$C$1:$V$1,0)),""))</f>
        <v/>
      </c>
      <c r="T929" t="str">
        <f>IF(OR($E929="",$S929=""),"",IFERROR(MAX(0,ROUND((INDEX(Config!$D$15:$D$18,MATCH($S929,Config!$B$15:$B$18,0))-$E929)*1440,0)),""))</f>
        <v/>
      </c>
      <c r="U929" s="13" t="str">
        <f>IF(OR($N929="",$T929=""),"",IFERROR(MAX(0,1-($N929+$T929+MAX(0,N($Q929)))/ROUND((INDEX(Config!$D$15:$D$18,MATCH($S929,Config!$B$15:$B$18,0))-INDEX(Config!$C$15:$C$18,MATCH($S929,Config!$B$15:$B$18,0)))*1440,0)),""))</f>
        <v/>
      </c>
      <c r="V929" s="5"/>
    </row>
    <row r="930" spans="1:22" x14ac:dyDescent="0.25">
      <c r="A930" s="11"/>
      <c r="B930" s="5"/>
      <c r="C930" s="6" t="str">
        <f>IFERROR(INDEX(Ejecutivos!$B$2:$B$100,MATCH(B930,Ejecutivos!$A$2:$A$100,0)),"")</f>
        <v/>
      </c>
      <c r="D930" s="12"/>
      <c r="E930" s="12"/>
      <c r="F930" s="12"/>
      <c r="G930" s="12"/>
      <c r="H930" s="5"/>
      <c r="I930" s="5"/>
      <c r="J930" s="5"/>
      <c r="K930" s="5"/>
      <c r="L930" s="18">
        <v>0</v>
      </c>
      <c r="M930" t="str">
        <f t="shared" si="59"/>
        <v/>
      </c>
      <c r="N930" t="str">
        <f>IF(OR($D930="",$S930=""),"",IFERROR(MAX(0,ROUND(($D930-INDEX(Config!$C$15:$C$18,MATCH($S930,Config!$B$15:$B$18,0)))*24*60,0)),""))</f>
        <v/>
      </c>
      <c r="O930" t="str">
        <f t="shared" si="60"/>
        <v/>
      </c>
      <c r="P930" t="str">
        <f t="shared" si="61"/>
        <v/>
      </c>
      <c r="Q930" t="str">
        <f>IF(OR($P930="",$S930=""),"",IFERROR($P930-INDEX(Config!$E$15:$E$18,MATCH($S930,Config!$B$15:$B$18,0)),""))</f>
        <v/>
      </c>
      <c r="R930" t="str">
        <f t="shared" si="62"/>
        <v/>
      </c>
      <c r="S930" s="6" t="str">
        <f>IF(OR($A930="",$C930=""),"",IFERROR(INDEX(Turno!$C$3:$V$32,MATCH($C930,Turno!$B$3:$B$32,0),MATCH(DAY($A930),Turno!$C$1:$V$1,0)),""))</f>
        <v/>
      </c>
      <c r="T930" t="str">
        <f>IF(OR($E930="",$S930=""),"",IFERROR(MAX(0,ROUND((INDEX(Config!$D$15:$D$18,MATCH($S930,Config!$B$15:$B$18,0))-$E930)*1440,0)),""))</f>
        <v/>
      </c>
      <c r="U930" s="13" t="str">
        <f>IF(OR($N930="",$T930=""),"",IFERROR(MAX(0,1-($N930+$T930+MAX(0,N($Q930)))/ROUND((INDEX(Config!$D$15:$D$18,MATCH($S930,Config!$B$15:$B$18,0))-INDEX(Config!$C$15:$C$18,MATCH($S930,Config!$B$15:$B$18,0)))*1440,0)),""))</f>
        <v/>
      </c>
      <c r="V930" s="5"/>
    </row>
    <row r="931" spans="1:22" x14ac:dyDescent="0.25">
      <c r="A931" s="11"/>
      <c r="B931" s="5"/>
      <c r="C931" s="6" t="str">
        <f>IFERROR(INDEX(Ejecutivos!$B$2:$B$100,MATCH(B931,Ejecutivos!$A$2:$A$100,0)),"")</f>
        <v/>
      </c>
      <c r="D931" s="12"/>
      <c r="E931" s="12"/>
      <c r="F931" s="12"/>
      <c r="G931" s="12"/>
      <c r="H931" s="5"/>
      <c r="I931" s="5"/>
      <c r="J931" s="5"/>
      <c r="K931" s="5"/>
      <c r="L931" s="18">
        <v>0</v>
      </c>
      <c r="M931" t="str">
        <f t="shared" si="59"/>
        <v/>
      </c>
      <c r="N931" t="str">
        <f>IF(OR($D931="",$S931=""),"",IFERROR(MAX(0,ROUND(($D931-INDEX(Config!$C$15:$C$18,MATCH($S931,Config!$B$15:$B$18,0)))*24*60,0)),""))</f>
        <v/>
      </c>
      <c r="O931" t="str">
        <f t="shared" si="60"/>
        <v/>
      </c>
      <c r="P931" t="str">
        <f t="shared" si="61"/>
        <v/>
      </c>
      <c r="Q931" t="str">
        <f>IF(OR($P931="",$S931=""),"",IFERROR($P931-INDEX(Config!$E$15:$E$18,MATCH($S931,Config!$B$15:$B$18,0)),""))</f>
        <v/>
      </c>
      <c r="R931" t="str">
        <f t="shared" si="62"/>
        <v/>
      </c>
      <c r="S931" s="6" t="str">
        <f>IF(OR($A931="",$C931=""),"",IFERROR(INDEX(Turno!$C$3:$V$32,MATCH($C931,Turno!$B$3:$B$32,0),MATCH(DAY($A931),Turno!$C$1:$V$1,0)),""))</f>
        <v/>
      </c>
      <c r="T931" t="str">
        <f>IF(OR($E931="",$S931=""),"",IFERROR(MAX(0,ROUND((INDEX(Config!$D$15:$D$18,MATCH($S931,Config!$B$15:$B$18,0))-$E931)*1440,0)),""))</f>
        <v/>
      </c>
      <c r="U931" s="13" t="str">
        <f>IF(OR($N931="",$T931=""),"",IFERROR(MAX(0,1-($N931+$T931+MAX(0,N($Q931)))/ROUND((INDEX(Config!$D$15:$D$18,MATCH($S931,Config!$B$15:$B$18,0))-INDEX(Config!$C$15:$C$18,MATCH($S931,Config!$B$15:$B$18,0)))*1440,0)),""))</f>
        <v/>
      </c>
      <c r="V931" s="5"/>
    </row>
    <row r="932" spans="1:22" x14ac:dyDescent="0.25">
      <c r="A932" s="11"/>
      <c r="B932" s="5"/>
      <c r="C932" s="6" t="str">
        <f>IFERROR(INDEX(Ejecutivos!$B$2:$B$100,MATCH(B932,Ejecutivos!$A$2:$A$100,0)),"")</f>
        <v/>
      </c>
      <c r="D932" s="12"/>
      <c r="E932" s="12"/>
      <c r="F932" s="12"/>
      <c r="G932" s="12"/>
      <c r="H932" s="5"/>
      <c r="I932" s="5"/>
      <c r="J932" s="5"/>
      <c r="K932" s="5"/>
      <c r="L932" s="18">
        <v>0</v>
      </c>
      <c r="M932" t="str">
        <f t="shared" si="59"/>
        <v/>
      </c>
      <c r="N932" t="str">
        <f>IF(OR($D932="",$S932=""),"",IFERROR(MAX(0,ROUND(($D932-INDEX(Config!$C$15:$C$18,MATCH($S932,Config!$B$15:$B$18,0)))*24*60,0)),""))</f>
        <v/>
      </c>
      <c r="O932" t="str">
        <f t="shared" si="60"/>
        <v/>
      </c>
      <c r="P932" t="str">
        <f t="shared" si="61"/>
        <v/>
      </c>
      <c r="Q932" t="str">
        <f>IF(OR($P932="",$S932=""),"",IFERROR($P932-INDEX(Config!$E$15:$E$18,MATCH($S932,Config!$B$15:$B$18,0)),""))</f>
        <v/>
      </c>
      <c r="R932" t="str">
        <f t="shared" si="62"/>
        <v/>
      </c>
      <c r="S932" s="6" t="str">
        <f>IF(OR($A932="",$C932=""),"",IFERROR(INDEX(Turno!$C$3:$V$32,MATCH($C932,Turno!$B$3:$B$32,0),MATCH(DAY($A932),Turno!$C$1:$V$1,0)),""))</f>
        <v/>
      </c>
      <c r="T932" t="str">
        <f>IF(OR($E932="",$S932=""),"",IFERROR(MAX(0,ROUND((INDEX(Config!$D$15:$D$18,MATCH($S932,Config!$B$15:$B$18,0))-$E932)*1440,0)),""))</f>
        <v/>
      </c>
      <c r="U932" s="13" t="str">
        <f>IF(OR($N932="",$T932=""),"",IFERROR(MAX(0,1-($N932+$T932+MAX(0,N($Q932)))/ROUND((INDEX(Config!$D$15:$D$18,MATCH($S932,Config!$B$15:$B$18,0))-INDEX(Config!$C$15:$C$18,MATCH($S932,Config!$B$15:$B$18,0)))*1440,0)),""))</f>
        <v/>
      </c>
      <c r="V932" s="5"/>
    </row>
    <row r="933" spans="1:22" x14ac:dyDescent="0.25">
      <c r="A933" s="11"/>
      <c r="B933" s="5"/>
      <c r="C933" s="6" t="str">
        <f>IFERROR(INDEX(Ejecutivos!$B$2:$B$100,MATCH(B933,Ejecutivos!$A$2:$A$100,0)),"")</f>
        <v/>
      </c>
      <c r="D933" s="12"/>
      <c r="E933" s="12"/>
      <c r="F933" s="12"/>
      <c r="G933" s="12"/>
      <c r="H933" s="5"/>
      <c r="I933" s="5"/>
      <c r="J933" s="5"/>
      <c r="K933" s="5"/>
      <c r="L933" s="18">
        <v>0</v>
      </c>
      <c r="M933" t="str">
        <f t="shared" si="59"/>
        <v/>
      </c>
      <c r="N933" t="str">
        <f>IF(OR($D933="",$S933=""),"",IFERROR(MAX(0,ROUND(($D933-INDEX(Config!$C$15:$C$18,MATCH($S933,Config!$B$15:$B$18,0)))*24*60,0)),""))</f>
        <v/>
      </c>
      <c r="O933" t="str">
        <f t="shared" si="60"/>
        <v/>
      </c>
      <c r="P933" t="str">
        <f t="shared" si="61"/>
        <v/>
      </c>
      <c r="Q933" t="str">
        <f>IF(OR($P933="",$S933=""),"",IFERROR($P933-INDEX(Config!$E$15:$E$18,MATCH($S933,Config!$B$15:$B$18,0)),""))</f>
        <v/>
      </c>
      <c r="R933" t="str">
        <f t="shared" si="62"/>
        <v/>
      </c>
      <c r="S933" s="6" t="str">
        <f>IF(OR($A933="",$C933=""),"",IFERROR(INDEX(Turno!$C$3:$V$32,MATCH($C933,Turno!$B$3:$B$32,0),MATCH(DAY($A933),Turno!$C$1:$V$1,0)),""))</f>
        <v/>
      </c>
      <c r="T933" t="str">
        <f>IF(OR($E933="",$S933=""),"",IFERROR(MAX(0,ROUND((INDEX(Config!$D$15:$D$18,MATCH($S933,Config!$B$15:$B$18,0))-$E933)*1440,0)),""))</f>
        <v/>
      </c>
      <c r="U933" s="13" t="str">
        <f>IF(OR($N933="",$T933=""),"",IFERROR(MAX(0,1-($N933+$T933+MAX(0,N($Q933)))/ROUND((INDEX(Config!$D$15:$D$18,MATCH($S933,Config!$B$15:$B$18,0))-INDEX(Config!$C$15:$C$18,MATCH($S933,Config!$B$15:$B$18,0)))*1440,0)),""))</f>
        <v/>
      </c>
      <c r="V933" s="5"/>
    </row>
    <row r="934" spans="1:22" x14ac:dyDescent="0.25">
      <c r="A934" s="11"/>
      <c r="B934" s="5"/>
      <c r="C934" s="6" t="str">
        <f>IFERROR(INDEX(Ejecutivos!$B$2:$B$100,MATCH(B934,Ejecutivos!$A$2:$A$100,0)),"")</f>
        <v/>
      </c>
      <c r="D934" s="12"/>
      <c r="E934" s="12"/>
      <c r="F934" s="12"/>
      <c r="G934" s="12"/>
      <c r="H934" s="5"/>
      <c r="I934" s="5"/>
      <c r="J934" s="5"/>
      <c r="K934" s="5"/>
      <c r="L934" s="18">
        <v>0</v>
      </c>
      <c r="M934" t="str">
        <f t="shared" si="59"/>
        <v/>
      </c>
      <c r="N934" t="str">
        <f>IF(OR($D934="",$S934=""),"",IFERROR(MAX(0,ROUND(($D934-INDEX(Config!$C$15:$C$18,MATCH($S934,Config!$B$15:$B$18,0)))*24*60,0)),""))</f>
        <v/>
      </c>
      <c r="O934" t="str">
        <f t="shared" si="60"/>
        <v/>
      </c>
      <c r="P934" t="str">
        <f t="shared" si="61"/>
        <v/>
      </c>
      <c r="Q934" t="str">
        <f>IF(OR($P934="",$S934=""),"",IFERROR($P934-INDEX(Config!$E$15:$E$18,MATCH($S934,Config!$B$15:$B$18,0)),""))</f>
        <v/>
      </c>
      <c r="R934" t="str">
        <f t="shared" si="62"/>
        <v/>
      </c>
      <c r="S934" s="6" t="str">
        <f>IF(OR($A934="",$C934=""),"",IFERROR(INDEX(Turno!$C$3:$V$32,MATCH($C934,Turno!$B$3:$B$32,0),MATCH(DAY($A934),Turno!$C$1:$V$1,0)),""))</f>
        <v/>
      </c>
      <c r="T934" t="str">
        <f>IF(OR($E934="",$S934=""),"",IFERROR(MAX(0,ROUND((INDEX(Config!$D$15:$D$18,MATCH($S934,Config!$B$15:$B$18,0))-$E934)*1440,0)),""))</f>
        <v/>
      </c>
      <c r="U934" s="13" t="str">
        <f>IF(OR($N934="",$T934=""),"",IFERROR(MAX(0,1-($N934+$T934+MAX(0,N($Q934)))/ROUND((INDEX(Config!$D$15:$D$18,MATCH($S934,Config!$B$15:$B$18,0))-INDEX(Config!$C$15:$C$18,MATCH($S934,Config!$B$15:$B$18,0)))*1440,0)),""))</f>
        <v/>
      </c>
      <c r="V934" s="5"/>
    </row>
    <row r="935" spans="1:22" x14ac:dyDescent="0.25">
      <c r="A935" s="11"/>
      <c r="B935" s="5"/>
      <c r="C935" s="6" t="str">
        <f>IFERROR(INDEX(Ejecutivos!$B$2:$B$100,MATCH(B935,Ejecutivos!$A$2:$A$100,0)),"")</f>
        <v/>
      </c>
      <c r="D935" s="12"/>
      <c r="E935" s="12"/>
      <c r="F935" s="12"/>
      <c r="G935" s="12"/>
      <c r="H935" s="5"/>
      <c r="I935" s="5"/>
      <c r="J935" s="5"/>
      <c r="K935" s="5"/>
      <c r="L935" s="18">
        <v>0</v>
      </c>
      <c r="M935" t="str">
        <f t="shared" si="59"/>
        <v/>
      </c>
      <c r="N935" t="str">
        <f>IF(OR($D935="",$S935=""),"",IFERROR(MAX(0,ROUND(($D935-INDEX(Config!$C$15:$C$18,MATCH($S935,Config!$B$15:$B$18,0)))*24*60,0)),""))</f>
        <v/>
      </c>
      <c r="O935" t="str">
        <f t="shared" si="60"/>
        <v/>
      </c>
      <c r="P935" t="str">
        <f t="shared" si="61"/>
        <v/>
      </c>
      <c r="Q935" t="str">
        <f>IF(OR($P935="",$S935=""),"",IFERROR($P935-INDEX(Config!$E$15:$E$18,MATCH($S935,Config!$B$15:$B$18,0)),""))</f>
        <v/>
      </c>
      <c r="R935" t="str">
        <f t="shared" si="62"/>
        <v/>
      </c>
      <c r="S935" s="6" t="str">
        <f>IF(OR($A935="",$C935=""),"",IFERROR(INDEX(Turno!$C$3:$V$32,MATCH($C935,Turno!$B$3:$B$32,0),MATCH(DAY($A935),Turno!$C$1:$V$1,0)),""))</f>
        <v/>
      </c>
      <c r="T935" t="str">
        <f>IF(OR($E935="",$S935=""),"",IFERROR(MAX(0,ROUND((INDEX(Config!$D$15:$D$18,MATCH($S935,Config!$B$15:$B$18,0))-$E935)*1440,0)),""))</f>
        <v/>
      </c>
      <c r="U935" s="13" t="str">
        <f>IF(OR($N935="",$T935=""),"",IFERROR(MAX(0,1-($N935+$T935+MAX(0,N($Q935)))/ROUND((INDEX(Config!$D$15:$D$18,MATCH($S935,Config!$B$15:$B$18,0))-INDEX(Config!$C$15:$C$18,MATCH($S935,Config!$B$15:$B$18,0)))*1440,0)),""))</f>
        <v/>
      </c>
      <c r="V935" s="5"/>
    </row>
    <row r="936" spans="1:22" x14ac:dyDescent="0.25">
      <c r="A936" s="11"/>
      <c r="B936" s="5"/>
      <c r="C936" s="6" t="str">
        <f>IFERROR(INDEX(Ejecutivos!$B$2:$B$100,MATCH(B936,Ejecutivos!$A$2:$A$100,0)),"")</f>
        <v/>
      </c>
      <c r="D936" s="12"/>
      <c r="E936" s="12"/>
      <c r="F936" s="12"/>
      <c r="G936" s="12"/>
      <c r="H936" s="5"/>
      <c r="I936" s="5"/>
      <c r="J936" s="5"/>
      <c r="K936" s="5"/>
      <c r="L936" s="18">
        <v>0</v>
      </c>
      <c r="M936" t="str">
        <f t="shared" si="59"/>
        <v/>
      </c>
      <c r="N936" t="str">
        <f>IF(OR($D936="",$S936=""),"",IFERROR(MAX(0,ROUND(($D936-INDEX(Config!$C$15:$C$18,MATCH($S936,Config!$B$15:$B$18,0)))*24*60,0)),""))</f>
        <v/>
      </c>
      <c r="O936" t="str">
        <f t="shared" si="60"/>
        <v/>
      </c>
      <c r="P936" t="str">
        <f t="shared" si="61"/>
        <v/>
      </c>
      <c r="Q936" t="str">
        <f>IF(OR($P936="",$S936=""),"",IFERROR($P936-INDEX(Config!$E$15:$E$18,MATCH($S936,Config!$B$15:$B$18,0)),""))</f>
        <v/>
      </c>
      <c r="R936" t="str">
        <f t="shared" si="62"/>
        <v/>
      </c>
      <c r="S936" s="6" t="str">
        <f>IF(OR($A936="",$C936=""),"",IFERROR(INDEX(Turno!$C$3:$V$32,MATCH($C936,Turno!$B$3:$B$32,0),MATCH(DAY($A936),Turno!$C$1:$V$1,0)),""))</f>
        <v/>
      </c>
      <c r="T936" t="str">
        <f>IF(OR($E936="",$S936=""),"",IFERROR(MAX(0,ROUND((INDEX(Config!$D$15:$D$18,MATCH($S936,Config!$B$15:$B$18,0))-$E936)*1440,0)),""))</f>
        <v/>
      </c>
      <c r="U936" s="13" t="str">
        <f>IF(OR($N936="",$T936=""),"",IFERROR(MAX(0,1-($N936+$T936+MAX(0,N($Q936)))/ROUND((INDEX(Config!$D$15:$D$18,MATCH($S936,Config!$B$15:$B$18,0))-INDEX(Config!$C$15:$C$18,MATCH($S936,Config!$B$15:$B$18,0)))*1440,0)),""))</f>
        <v/>
      </c>
      <c r="V936" s="5"/>
    </row>
    <row r="937" spans="1:22" x14ac:dyDescent="0.25">
      <c r="A937" s="11"/>
      <c r="B937" s="5"/>
      <c r="C937" s="6" t="str">
        <f>IFERROR(INDEX(Ejecutivos!$B$2:$B$100,MATCH(B937,Ejecutivos!$A$2:$A$100,0)),"")</f>
        <v/>
      </c>
      <c r="D937" s="12"/>
      <c r="E937" s="12"/>
      <c r="F937" s="12"/>
      <c r="G937" s="12"/>
      <c r="H937" s="5"/>
      <c r="I937" s="5"/>
      <c r="J937" s="5"/>
      <c r="K937" s="5"/>
      <c r="L937" s="18">
        <v>0</v>
      </c>
      <c r="M937" t="str">
        <f t="shared" si="59"/>
        <v/>
      </c>
      <c r="N937" t="str">
        <f>IF(OR($D937="",$S937=""),"",IFERROR(MAX(0,ROUND(($D937-INDEX(Config!$C$15:$C$18,MATCH($S937,Config!$B$15:$B$18,0)))*24*60,0)),""))</f>
        <v/>
      </c>
      <c r="O937" t="str">
        <f t="shared" si="60"/>
        <v/>
      </c>
      <c r="P937" t="str">
        <f t="shared" si="61"/>
        <v/>
      </c>
      <c r="Q937" t="str">
        <f>IF(OR($P937="",$S937=""),"",IFERROR($P937-INDEX(Config!$E$15:$E$18,MATCH($S937,Config!$B$15:$B$18,0)),""))</f>
        <v/>
      </c>
      <c r="R937" t="str">
        <f t="shared" si="62"/>
        <v/>
      </c>
      <c r="S937" s="6" t="str">
        <f>IF(OR($A937="",$C937=""),"",IFERROR(INDEX(Turno!$C$3:$V$32,MATCH($C937,Turno!$B$3:$B$32,0),MATCH(DAY($A937),Turno!$C$1:$V$1,0)),""))</f>
        <v/>
      </c>
      <c r="T937" t="str">
        <f>IF(OR($E937="",$S937=""),"",IFERROR(MAX(0,ROUND((INDEX(Config!$D$15:$D$18,MATCH($S937,Config!$B$15:$B$18,0))-$E937)*1440,0)),""))</f>
        <v/>
      </c>
      <c r="U937" s="13" t="str">
        <f>IF(OR($N937="",$T937=""),"",IFERROR(MAX(0,1-($N937+$T937+MAX(0,N($Q937)))/ROUND((INDEX(Config!$D$15:$D$18,MATCH($S937,Config!$B$15:$B$18,0))-INDEX(Config!$C$15:$C$18,MATCH($S937,Config!$B$15:$B$18,0)))*1440,0)),""))</f>
        <v/>
      </c>
      <c r="V937" s="5"/>
    </row>
    <row r="938" spans="1:22" x14ac:dyDescent="0.25">
      <c r="A938" s="11"/>
      <c r="B938" s="5"/>
      <c r="C938" s="6" t="str">
        <f>IFERROR(INDEX(Ejecutivos!$B$2:$B$100,MATCH(B938,Ejecutivos!$A$2:$A$100,0)),"")</f>
        <v/>
      </c>
      <c r="D938" s="12"/>
      <c r="E938" s="12"/>
      <c r="F938" s="12"/>
      <c r="G938" s="12"/>
      <c r="H938" s="5"/>
      <c r="I938" s="5"/>
      <c r="J938" s="5"/>
      <c r="K938" s="5"/>
      <c r="L938" s="18">
        <v>0</v>
      </c>
      <c r="M938" t="str">
        <f t="shared" si="59"/>
        <v/>
      </c>
      <c r="N938" t="str">
        <f>IF(OR($D938="",$S938=""),"",IFERROR(MAX(0,ROUND(($D938-INDEX(Config!$C$15:$C$18,MATCH($S938,Config!$B$15:$B$18,0)))*24*60,0)),""))</f>
        <v/>
      </c>
      <c r="O938" t="str">
        <f t="shared" si="60"/>
        <v/>
      </c>
      <c r="P938" t="str">
        <f t="shared" si="61"/>
        <v/>
      </c>
      <c r="Q938" t="str">
        <f>IF(OR($P938="",$S938=""),"",IFERROR($P938-INDEX(Config!$E$15:$E$18,MATCH($S938,Config!$B$15:$B$18,0)),""))</f>
        <v/>
      </c>
      <c r="R938" t="str">
        <f t="shared" si="62"/>
        <v/>
      </c>
      <c r="S938" s="6" t="str">
        <f>IF(OR($A938="",$C938=""),"",IFERROR(INDEX(Turno!$C$3:$V$32,MATCH($C938,Turno!$B$3:$B$32,0),MATCH(DAY($A938),Turno!$C$1:$V$1,0)),""))</f>
        <v/>
      </c>
      <c r="T938" t="str">
        <f>IF(OR($E938="",$S938=""),"",IFERROR(MAX(0,ROUND((INDEX(Config!$D$15:$D$18,MATCH($S938,Config!$B$15:$B$18,0))-$E938)*1440,0)),""))</f>
        <v/>
      </c>
      <c r="U938" s="13" t="str">
        <f>IF(OR($N938="",$T938=""),"",IFERROR(MAX(0,1-($N938+$T938+MAX(0,N($Q938)))/ROUND((INDEX(Config!$D$15:$D$18,MATCH($S938,Config!$B$15:$B$18,0))-INDEX(Config!$C$15:$C$18,MATCH($S938,Config!$B$15:$B$18,0)))*1440,0)),""))</f>
        <v/>
      </c>
      <c r="V938" s="5"/>
    </row>
    <row r="939" spans="1:22" x14ac:dyDescent="0.25">
      <c r="A939" s="11"/>
      <c r="B939" s="5"/>
      <c r="C939" s="6" t="str">
        <f>IFERROR(INDEX(Ejecutivos!$B$2:$B$100,MATCH(B939,Ejecutivos!$A$2:$A$100,0)),"")</f>
        <v/>
      </c>
      <c r="D939" s="12"/>
      <c r="E939" s="12"/>
      <c r="F939" s="12"/>
      <c r="G939" s="12"/>
      <c r="H939" s="5"/>
      <c r="I939" s="5"/>
      <c r="J939" s="5"/>
      <c r="K939" s="5"/>
      <c r="L939" s="18">
        <v>0</v>
      </c>
      <c r="M939" t="str">
        <f t="shared" si="59"/>
        <v/>
      </c>
      <c r="N939" t="str">
        <f>IF(OR($D939="",$S939=""),"",IFERROR(MAX(0,ROUND(($D939-INDEX(Config!$C$15:$C$18,MATCH($S939,Config!$B$15:$B$18,0)))*24*60,0)),""))</f>
        <v/>
      </c>
      <c r="O939" t="str">
        <f t="shared" si="60"/>
        <v/>
      </c>
      <c r="P939" t="str">
        <f t="shared" si="61"/>
        <v/>
      </c>
      <c r="Q939" t="str">
        <f>IF(OR($P939="",$S939=""),"",IFERROR($P939-INDEX(Config!$E$15:$E$18,MATCH($S939,Config!$B$15:$B$18,0)),""))</f>
        <v/>
      </c>
      <c r="R939" t="str">
        <f t="shared" si="62"/>
        <v/>
      </c>
      <c r="S939" s="6" t="str">
        <f>IF(OR($A939="",$C939=""),"",IFERROR(INDEX(Turno!$C$3:$V$32,MATCH($C939,Turno!$B$3:$B$32,0),MATCH(DAY($A939),Turno!$C$1:$V$1,0)),""))</f>
        <v/>
      </c>
      <c r="T939" t="str">
        <f>IF(OR($E939="",$S939=""),"",IFERROR(MAX(0,ROUND((INDEX(Config!$D$15:$D$18,MATCH($S939,Config!$B$15:$B$18,0))-$E939)*1440,0)),""))</f>
        <v/>
      </c>
      <c r="U939" s="13" t="str">
        <f>IF(OR($N939="",$T939=""),"",IFERROR(MAX(0,1-($N939+$T939+MAX(0,N($Q939)))/ROUND((INDEX(Config!$D$15:$D$18,MATCH($S939,Config!$B$15:$B$18,0))-INDEX(Config!$C$15:$C$18,MATCH($S939,Config!$B$15:$B$18,0)))*1440,0)),""))</f>
        <v/>
      </c>
      <c r="V939" s="5"/>
    </row>
    <row r="940" spans="1:22" x14ac:dyDescent="0.25">
      <c r="A940" s="11"/>
      <c r="B940" s="5"/>
      <c r="C940" s="6" t="str">
        <f>IFERROR(INDEX(Ejecutivos!$B$2:$B$100,MATCH(B940,Ejecutivos!$A$2:$A$100,0)),"")</f>
        <v/>
      </c>
      <c r="D940" s="12"/>
      <c r="E940" s="12"/>
      <c r="F940" s="12"/>
      <c r="G940" s="12"/>
      <c r="H940" s="5"/>
      <c r="I940" s="5"/>
      <c r="J940" s="5"/>
      <c r="K940" s="5"/>
      <c r="L940" s="18">
        <v>0</v>
      </c>
      <c r="M940" t="str">
        <f t="shared" si="59"/>
        <v/>
      </c>
      <c r="N940" t="str">
        <f>IF(OR($D940="",$S940=""),"",IFERROR(MAX(0,ROUND(($D940-INDEX(Config!$C$15:$C$18,MATCH($S940,Config!$B$15:$B$18,0)))*24*60,0)),""))</f>
        <v/>
      </c>
      <c r="O940" t="str">
        <f t="shared" si="60"/>
        <v/>
      </c>
      <c r="P940" t="str">
        <f t="shared" si="61"/>
        <v/>
      </c>
      <c r="Q940" t="str">
        <f>IF(OR($P940="",$S940=""),"",IFERROR($P940-INDEX(Config!$E$15:$E$18,MATCH($S940,Config!$B$15:$B$18,0)),""))</f>
        <v/>
      </c>
      <c r="R940" t="str">
        <f t="shared" si="62"/>
        <v/>
      </c>
      <c r="S940" s="6" t="str">
        <f>IF(OR($A940="",$C940=""),"",IFERROR(INDEX(Turno!$C$3:$V$32,MATCH($C940,Turno!$B$3:$B$32,0),MATCH(DAY($A940),Turno!$C$1:$V$1,0)),""))</f>
        <v/>
      </c>
      <c r="T940" t="str">
        <f>IF(OR($E940="",$S940=""),"",IFERROR(MAX(0,ROUND((INDEX(Config!$D$15:$D$18,MATCH($S940,Config!$B$15:$B$18,0))-$E940)*1440,0)),""))</f>
        <v/>
      </c>
      <c r="U940" s="13" t="str">
        <f>IF(OR($N940="",$T940=""),"",IFERROR(MAX(0,1-($N940+$T940+MAX(0,N($Q940)))/ROUND((INDEX(Config!$D$15:$D$18,MATCH($S940,Config!$B$15:$B$18,0))-INDEX(Config!$C$15:$C$18,MATCH($S940,Config!$B$15:$B$18,0)))*1440,0)),""))</f>
        <v/>
      </c>
      <c r="V940" s="5"/>
    </row>
    <row r="941" spans="1:22" x14ac:dyDescent="0.25">
      <c r="A941" s="11"/>
      <c r="B941" s="5"/>
      <c r="C941" s="6" t="str">
        <f>IFERROR(INDEX(Ejecutivos!$B$2:$B$100,MATCH(B941,Ejecutivos!$A$2:$A$100,0)),"")</f>
        <v/>
      </c>
      <c r="D941" s="12"/>
      <c r="E941" s="12"/>
      <c r="F941" s="12"/>
      <c r="G941" s="12"/>
      <c r="H941" s="5"/>
      <c r="I941" s="5"/>
      <c r="J941" s="5"/>
      <c r="K941" s="5"/>
      <c r="L941" s="18">
        <v>0</v>
      </c>
      <c r="M941" t="str">
        <f t="shared" si="59"/>
        <v/>
      </c>
      <c r="N941" t="str">
        <f>IF(OR($D941="",$S941=""),"",IFERROR(MAX(0,ROUND(($D941-INDEX(Config!$C$15:$C$18,MATCH($S941,Config!$B$15:$B$18,0)))*24*60,0)),""))</f>
        <v/>
      </c>
      <c r="O941" t="str">
        <f t="shared" si="60"/>
        <v/>
      </c>
      <c r="P941" t="str">
        <f t="shared" si="61"/>
        <v/>
      </c>
      <c r="Q941" t="str">
        <f>IF(OR($P941="",$S941=""),"",IFERROR($P941-INDEX(Config!$E$15:$E$18,MATCH($S941,Config!$B$15:$B$18,0)),""))</f>
        <v/>
      </c>
      <c r="R941" t="str">
        <f t="shared" si="62"/>
        <v/>
      </c>
      <c r="S941" s="6" t="str">
        <f>IF(OR($A941="",$C941=""),"",IFERROR(INDEX(Turno!$C$3:$V$32,MATCH($C941,Turno!$B$3:$B$32,0),MATCH(DAY($A941),Turno!$C$1:$V$1,0)),""))</f>
        <v/>
      </c>
      <c r="T941" t="str">
        <f>IF(OR($E941="",$S941=""),"",IFERROR(MAX(0,ROUND((INDEX(Config!$D$15:$D$18,MATCH($S941,Config!$B$15:$B$18,0))-$E941)*1440,0)),""))</f>
        <v/>
      </c>
      <c r="U941" s="13" t="str">
        <f>IF(OR($N941="",$T941=""),"",IFERROR(MAX(0,1-($N941+$T941+MAX(0,N($Q941)))/ROUND((INDEX(Config!$D$15:$D$18,MATCH($S941,Config!$B$15:$B$18,0))-INDEX(Config!$C$15:$C$18,MATCH($S941,Config!$B$15:$B$18,0)))*1440,0)),""))</f>
        <v/>
      </c>
      <c r="V941" s="5"/>
    </row>
    <row r="942" spans="1:22" x14ac:dyDescent="0.25">
      <c r="A942" s="11"/>
      <c r="B942" s="5"/>
      <c r="C942" s="6" t="str">
        <f>IFERROR(INDEX(Ejecutivos!$B$2:$B$100,MATCH(B942,Ejecutivos!$A$2:$A$100,0)),"")</f>
        <v/>
      </c>
      <c r="D942" s="12"/>
      <c r="E942" s="12"/>
      <c r="F942" s="12"/>
      <c r="G942" s="12"/>
      <c r="H942" s="5"/>
      <c r="I942" s="5"/>
      <c r="J942" s="5"/>
      <c r="K942" s="5"/>
      <c r="L942" s="18">
        <v>0</v>
      </c>
      <c r="M942" t="str">
        <f t="shared" si="59"/>
        <v/>
      </c>
      <c r="N942" t="str">
        <f>IF(OR($D942="",$S942=""),"",IFERROR(MAX(0,ROUND(($D942-INDEX(Config!$C$15:$C$18,MATCH($S942,Config!$B$15:$B$18,0)))*24*60,0)),""))</f>
        <v/>
      </c>
      <c r="O942" t="str">
        <f t="shared" si="60"/>
        <v/>
      </c>
      <c r="P942" t="str">
        <f t="shared" si="61"/>
        <v/>
      </c>
      <c r="Q942" t="str">
        <f>IF(OR($P942="",$S942=""),"",IFERROR($P942-INDEX(Config!$E$15:$E$18,MATCH($S942,Config!$B$15:$B$18,0)),""))</f>
        <v/>
      </c>
      <c r="R942" t="str">
        <f t="shared" si="62"/>
        <v/>
      </c>
      <c r="S942" s="6" t="str">
        <f>IF(OR($A942="",$C942=""),"",IFERROR(INDEX(Turno!$C$3:$V$32,MATCH($C942,Turno!$B$3:$B$32,0),MATCH(DAY($A942),Turno!$C$1:$V$1,0)),""))</f>
        <v/>
      </c>
      <c r="T942" t="str">
        <f>IF(OR($E942="",$S942=""),"",IFERROR(MAX(0,ROUND((INDEX(Config!$D$15:$D$18,MATCH($S942,Config!$B$15:$B$18,0))-$E942)*1440,0)),""))</f>
        <v/>
      </c>
      <c r="U942" s="13" t="str">
        <f>IF(OR($N942="",$T942=""),"",IFERROR(MAX(0,1-($N942+$T942+MAX(0,N($Q942)))/ROUND((INDEX(Config!$D$15:$D$18,MATCH($S942,Config!$B$15:$B$18,0))-INDEX(Config!$C$15:$C$18,MATCH($S942,Config!$B$15:$B$18,0)))*1440,0)),""))</f>
        <v/>
      </c>
      <c r="V942" s="5"/>
    </row>
    <row r="943" spans="1:22" x14ac:dyDescent="0.25">
      <c r="A943" s="11"/>
      <c r="B943" s="5"/>
      <c r="C943" s="6" t="str">
        <f>IFERROR(INDEX(Ejecutivos!$B$2:$B$100,MATCH(B943,Ejecutivos!$A$2:$A$100,0)),"")</f>
        <v/>
      </c>
      <c r="D943" s="12"/>
      <c r="E943" s="12"/>
      <c r="F943" s="12"/>
      <c r="G943" s="12"/>
      <c r="H943" s="5"/>
      <c r="I943" s="5"/>
      <c r="J943" s="5"/>
      <c r="K943" s="5"/>
      <c r="L943" s="18">
        <v>0</v>
      </c>
      <c r="M943" t="str">
        <f t="shared" si="59"/>
        <v/>
      </c>
      <c r="N943" t="str">
        <f>IF(OR($D943="",$S943=""),"",IFERROR(MAX(0,ROUND(($D943-INDEX(Config!$C$15:$C$18,MATCH($S943,Config!$B$15:$B$18,0)))*24*60,0)),""))</f>
        <v/>
      </c>
      <c r="O943" t="str">
        <f t="shared" si="60"/>
        <v/>
      </c>
      <c r="P943" t="str">
        <f t="shared" si="61"/>
        <v/>
      </c>
      <c r="Q943" t="str">
        <f>IF(OR($P943="",$S943=""),"",IFERROR($P943-INDEX(Config!$E$15:$E$18,MATCH($S943,Config!$B$15:$B$18,0)),""))</f>
        <v/>
      </c>
      <c r="R943" t="str">
        <f t="shared" si="62"/>
        <v/>
      </c>
      <c r="S943" s="6" t="str">
        <f>IF(OR($A943="",$C943=""),"",IFERROR(INDEX(Turno!$C$3:$V$32,MATCH($C943,Turno!$B$3:$B$32,0),MATCH(DAY($A943),Turno!$C$1:$V$1,0)),""))</f>
        <v/>
      </c>
      <c r="T943" t="str">
        <f>IF(OR($E943="",$S943=""),"",IFERROR(MAX(0,ROUND((INDEX(Config!$D$15:$D$18,MATCH($S943,Config!$B$15:$B$18,0))-$E943)*1440,0)),""))</f>
        <v/>
      </c>
      <c r="U943" s="13" t="str">
        <f>IF(OR($N943="",$T943=""),"",IFERROR(MAX(0,1-($N943+$T943+MAX(0,N($Q943)))/ROUND((INDEX(Config!$D$15:$D$18,MATCH($S943,Config!$B$15:$B$18,0))-INDEX(Config!$C$15:$C$18,MATCH($S943,Config!$B$15:$B$18,0)))*1440,0)),""))</f>
        <v/>
      </c>
      <c r="V943" s="5"/>
    </row>
    <row r="944" spans="1:22" x14ac:dyDescent="0.25">
      <c r="A944" s="11"/>
      <c r="B944" s="5"/>
      <c r="C944" s="6" t="str">
        <f>IFERROR(INDEX(Ejecutivos!$B$2:$B$100,MATCH(B944,Ejecutivos!$A$2:$A$100,0)),"")</f>
        <v/>
      </c>
      <c r="D944" s="12"/>
      <c r="E944" s="12"/>
      <c r="F944" s="12"/>
      <c r="G944" s="12"/>
      <c r="H944" s="5"/>
      <c r="I944" s="5"/>
      <c r="J944" s="5"/>
      <c r="K944" s="5"/>
      <c r="L944" s="18">
        <v>0</v>
      </c>
      <c r="M944" t="str">
        <f t="shared" si="59"/>
        <v/>
      </c>
      <c r="N944" t="str">
        <f>IF(OR($D944="",$S944=""),"",IFERROR(MAX(0,ROUND(($D944-INDEX(Config!$C$15:$C$18,MATCH($S944,Config!$B$15:$B$18,0)))*24*60,0)),""))</f>
        <v/>
      </c>
      <c r="O944" t="str">
        <f t="shared" si="60"/>
        <v/>
      </c>
      <c r="P944" t="str">
        <f t="shared" si="61"/>
        <v/>
      </c>
      <c r="Q944" t="str">
        <f>IF(OR($P944="",$S944=""),"",IFERROR($P944-INDEX(Config!$E$15:$E$18,MATCH($S944,Config!$B$15:$B$18,0)),""))</f>
        <v/>
      </c>
      <c r="R944" t="str">
        <f t="shared" si="62"/>
        <v/>
      </c>
      <c r="S944" s="6" t="str">
        <f>IF(OR($A944="",$C944=""),"",IFERROR(INDEX(Turno!$C$3:$V$32,MATCH($C944,Turno!$B$3:$B$32,0),MATCH(DAY($A944),Turno!$C$1:$V$1,0)),""))</f>
        <v/>
      </c>
      <c r="T944" t="str">
        <f>IF(OR($E944="",$S944=""),"",IFERROR(MAX(0,ROUND((INDEX(Config!$D$15:$D$18,MATCH($S944,Config!$B$15:$B$18,0))-$E944)*1440,0)),""))</f>
        <v/>
      </c>
      <c r="U944" s="13" t="str">
        <f>IF(OR($N944="",$T944=""),"",IFERROR(MAX(0,1-($N944+$T944+MAX(0,N($Q944)))/ROUND((INDEX(Config!$D$15:$D$18,MATCH($S944,Config!$B$15:$B$18,0))-INDEX(Config!$C$15:$C$18,MATCH($S944,Config!$B$15:$B$18,0)))*1440,0)),""))</f>
        <v/>
      </c>
      <c r="V944" s="5"/>
    </row>
    <row r="945" spans="1:22" x14ac:dyDescent="0.25">
      <c r="A945" s="11"/>
      <c r="B945" s="5"/>
      <c r="C945" s="6" t="str">
        <f>IFERROR(INDEX(Ejecutivos!$B$2:$B$100,MATCH(B945,Ejecutivos!$A$2:$A$100,0)),"")</f>
        <v/>
      </c>
      <c r="D945" s="12"/>
      <c r="E945" s="12"/>
      <c r="F945" s="12"/>
      <c r="G945" s="12"/>
      <c r="H945" s="5"/>
      <c r="I945" s="5"/>
      <c r="J945" s="5"/>
      <c r="K945" s="5"/>
      <c r="L945" s="18">
        <v>0</v>
      </c>
      <c r="M945" t="str">
        <f t="shared" si="59"/>
        <v/>
      </c>
      <c r="N945" t="str">
        <f>IF(OR($D945="",$S945=""),"",IFERROR(MAX(0,ROUND(($D945-INDEX(Config!$C$15:$C$18,MATCH($S945,Config!$B$15:$B$18,0)))*24*60,0)),""))</f>
        <v/>
      </c>
      <c r="O945" t="str">
        <f t="shared" si="60"/>
        <v/>
      </c>
      <c r="P945" t="str">
        <f t="shared" si="61"/>
        <v/>
      </c>
      <c r="Q945" t="str">
        <f>IF(OR($P945="",$S945=""),"",IFERROR($P945-INDEX(Config!$E$15:$E$18,MATCH($S945,Config!$B$15:$B$18,0)),""))</f>
        <v/>
      </c>
      <c r="R945" t="str">
        <f t="shared" si="62"/>
        <v/>
      </c>
      <c r="S945" s="6" t="str">
        <f>IF(OR($A945="",$C945=""),"",IFERROR(INDEX(Turno!$C$3:$V$32,MATCH($C945,Turno!$B$3:$B$32,0),MATCH(DAY($A945),Turno!$C$1:$V$1,0)),""))</f>
        <v/>
      </c>
      <c r="T945" t="str">
        <f>IF(OR($E945="",$S945=""),"",IFERROR(MAX(0,ROUND((INDEX(Config!$D$15:$D$18,MATCH($S945,Config!$B$15:$B$18,0))-$E945)*1440,0)),""))</f>
        <v/>
      </c>
      <c r="U945" s="13" t="str">
        <f>IF(OR($N945="",$T945=""),"",IFERROR(MAX(0,1-($N945+$T945+MAX(0,N($Q945)))/ROUND((INDEX(Config!$D$15:$D$18,MATCH($S945,Config!$B$15:$B$18,0))-INDEX(Config!$C$15:$C$18,MATCH($S945,Config!$B$15:$B$18,0)))*1440,0)),""))</f>
        <v/>
      </c>
      <c r="V945" s="5"/>
    </row>
    <row r="946" spans="1:22" x14ac:dyDescent="0.25">
      <c r="A946" s="11"/>
      <c r="B946" s="5"/>
      <c r="C946" s="6" t="str">
        <f>IFERROR(INDEX(Ejecutivos!$B$2:$B$100,MATCH(B946,Ejecutivos!$A$2:$A$100,0)),"")</f>
        <v/>
      </c>
      <c r="D946" s="12"/>
      <c r="E946" s="12"/>
      <c r="F946" s="12"/>
      <c r="G946" s="12"/>
      <c r="H946" s="5"/>
      <c r="I946" s="5"/>
      <c r="J946" s="5"/>
      <c r="K946" s="5"/>
      <c r="L946" s="18">
        <v>0</v>
      </c>
      <c r="M946" t="str">
        <f t="shared" si="59"/>
        <v/>
      </c>
      <c r="N946" t="str">
        <f>IF(OR($D946="",$S946=""),"",IFERROR(MAX(0,ROUND(($D946-INDEX(Config!$C$15:$C$18,MATCH($S946,Config!$B$15:$B$18,0)))*24*60,0)),""))</f>
        <v/>
      </c>
      <c r="O946" t="str">
        <f t="shared" si="60"/>
        <v/>
      </c>
      <c r="P946" t="str">
        <f t="shared" si="61"/>
        <v/>
      </c>
      <c r="Q946" t="str">
        <f>IF(OR($P946="",$S946=""),"",IFERROR($P946-INDEX(Config!$E$15:$E$18,MATCH($S946,Config!$B$15:$B$18,0)),""))</f>
        <v/>
      </c>
      <c r="R946" t="str">
        <f t="shared" si="62"/>
        <v/>
      </c>
      <c r="S946" s="6" t="str">
        <f>IF(OR($A946="",$C946=""),"",IFERROR(INDEX(Turno!$C$3:$V$32,MATCH($C946,Turno!$B$3:$B$32,0),MATCH(DAY($A946),Turno!$C$1:$V$1,0)),""))</f>
        <v/>
      </c>
      <c r="T946" t="str">
        <f>IF(OR($E946="",$S946=""),"",IFERROR(MAX(0,ROUND((INDEX(Config!$D$15:$D$18,MATCH($S946,Config!$B$15:$B$18,0))-$E946)*1440,0)),""))</f>
        <v/>
      </c>
      <c r="U946" s="13" t="str">
        <f>IF(OR($N946="",$T946=""),"",IFERROR(MAX(0,1-($N946+$T946+MAX(0,N($Q946)))/ROUND((INDEX(Config!$D$15:$D$18,MATCH($S946,Config!$B$15:$B$18,0))-INDEX(Config!$C$15:$C$18,MATCH($S946,Config!$B$15:$B$18,0)))*1440,0)),""))</f>
        <v/>
      </c>
      <c r="V946" s="5"/>
    </row>
    <row r="947" spans="1:22" x14ac:dyDescent="0.25">
      <c r="A947" s="11"/>
      <c r="B947" s="5"/>
      <c r="C947" s="6" t="str">
        <f>IFERROR(INDEX(Ejecutivos!$B$2:$B$100,MATCH(B947,Ejecutivos!$A$2:$A$100,0)),"")</f>
        <v/>
      </c>
      <c r="D947" s="12"/>
      <c r="E947" s="12"/>
      <c r="F947" s="12"/>
      <c r="G947" s="12"/>
      <c r="H947" s="5"/>
      <c r="I947" s="5"/>
      <c r="J947" s="5"/>
      <c r="K947" s="5"/>
      <c r="L947" s="18">
        <v>0</v>
      </c>
      <c r="M947" t="str">
        <f t="shared" si="59"/>
        <v/>
      </c>
      <c r="N947" t="str">
        <f>IF(OR($D947="",$S947=""),"",IFERROR(MAX(0,ROUND(($D947-INDEX(Config!$C$15:$C$18,MATCH($S947,Config!$B$15:$B$18,0)))*24*60,0)),""))</f>
        <v/>
      </c>
      <c r="O947" t="str">
        <f t="shared" si="60"/>
        <v/>
      </c>
      <c r="P947" t="str">
        <f t="shared" si="61"/>
        <v/>
      </c>
      <c r="Q947" t="str">
        <f>IF(OR($P947="",$S947=""),"",IFERROR($P947-INDEX(Config!$E$15:$E$18,MATCH($S947,Config!$B$15:$B$18,0)),""))</f>
        <v/>
      </c>
      <c r="R947" t="str">
        <f t="shared" si="62"/>
        <v/>
      </c>
      <c r="S947" s="6" t="str">
        <f>IF(OR($A947="",$C947=""),"",IFERROR(INDEX(Turno!$C$3:$V$32,MATCH($C947,Turno!$B$3:$B$32,0),MATCH(DAY($A947),Turno!$C$1:$V$1,0)),""))</f>
        <v/>
      </c>
      <c r="T947" t="str">
        <f>IF(OR($E947="",$S947=""),"",IFERROR(MAX(0,ROUND((INDEX(Config!$D$15:$D$18,MATCH($S947,Config!$B$15:$B$18,0))-$E947)*1440,0)),""))</f>
        <v/>
      </c>
      <c r="U947" s="13" t="str">
        <f>IF(OR($N947="",$T947=""),"",IFERROR(MAX(0,1-($N947+$T947+MAX(0,N($Q947)))/ROUND((INDEX(Config!$D$15:$D$18,MATCH($S947,Config!$B$15:$B$18,0))-INDEX(Config!$C$15:$C$18,MATCH($S947,Config!$B$15:$B$18,0)))*1440,0)),""))</f>
        <v/>
      </c>
      <c r="V947" s="5"/>
    </row>
    <row r="948" spans="1:22" x14ac:dyDescent="0.25">
      <c r="A948" s="11"/>
      <c r="B948" s="5"/>
      <c r="C948" s="6" t="str">
        <f>IFERROR(INDEX(Ejecutivos!$B$2:$B$100,MATCH(B948,Ejecutivos!$A$2:$A$100,0)),"")</f>
        <v/>
      </c>
      <c r="D948" s="12"/>
      <c r="E948" s="12"/>
      <c r="F948" s="12"/>
      <c r="G948" s="12"/>
      <c r="H948" s="5"/>
      <c r="I948" s="5"/>
      <c r="J948" s="5"/>
      <c r="K948" s="5"/>
      <c r="L948" s="18">
        <v>0</v>
      </c>
      <c r="M948" t="str">
        <f t="shared" si="59"/>
        <v/>
      </c>
      <c r="N948" t="str">
        <f>IF(OR($D948="",$S948=""),"",IFERROR(MAX(0,ROUND(($D948-INDEX(Config!$C$15:$C$18,MATCH($S948,Config!$B$15:$B$18,0)))*24*60,0)),""))</f>
        <v/>
      </c>
      <c r="O948" t="str">
        <f t="shared" si="60"/>
        <v/>
      </c>
      <c r="P948" t="str">
        <f t="shared" si="61"/>
        <v/>
      </c>
      <c r="Q948" t="str">
        <f>IF(OR($P948="",$S948=""),"",IFERROR($P948-INDEX(Config!$E$15:$E$18,MATCH($S948,Config!$B$15:$B$18,0)),""))</f>
        <v/>
      </c>
      <c r="R948" t="str">
        <f t="shared" si="62"/>
        <v/>
      </c>
      <c r="S948" s="6" t="str">
        <f>IF(OR($A948="",$C948=""),"",IFERROR(INDEX(Turno!$C$3:$V$32,MATCH($C948,Turno!$B$3:$B$32,0),MATCH(DAY($A948),Turno!$C$1:$V$1,0)),""))</f>
        <v/>
      </c>
      <c r="T948" t="str">
        <f>IF(OR($E948="",$S948=""),"",IFERROR(MAX(0,ROUND((INDEX(Config!$D$15:$D$18,MATCH($S948,Config!$B$15:$B$18,0))-$E948)*1440,0)),""))</f>
        <v/>
      </c>
      <c r="U948" s="13" t="str">
        <f>IF(OR($N948="",$T948=""),"",IFERROR(MAX(0,1-($N948+$T948+MAX(0,N($Q948)))/ROUND((INDEX(Config!$D$15:$D$18,MATCH($S948,Config!$B$15:$B$18,0))-INDEX(Config!$C$15:$C$18,MATCH($S948,Config!$B$15:$B$18,0)))*1440,0)),""))</f>
        <v/>
      </c>
      <c r="V948" s="5"/>
    </row>
    <row r="949" spans="1:22" x14ac:dyDescent="0.25">
      <c r="A949" s="11"/>
      <c r="B949" s="5"/>
      <c r="C949" s="6" t="str">
        <f>IFERROR(INDEX(Ejecutivos!$B$2:$B$100,MATCH(B949,Ejecutivos!$A$2:$A$100,0)),"")</f>
        <v/>
      </c>
      <c r="D949" s="12"/>
      <c r="E949" s="12"/>
      <c r="F949" s="12"/>
      <c r="G949" s="12"/>
      <c r="H949" s="5"/>
      <c r="I949" s="5"/>
      <c r="J949" s="5"/>
      <c r="K949" s="5"/>
      <c r="L949" s="18">
        <v>0</v>
      </c>
      <c r="M949" t="str">
        <f t="shared" ref="M949:M1012" si="63">IF(OR(D949="",E949=""),"",ROUND(((E949-D949)*24)-((G949-F949)*24)-((H949+I949)/60),2))</f>
        <v/>
      </c>
      <c r="N949" t="str">
        <f>IF(OR($D949="",$S949=""),"",IFERROR(MAX(0,ROUND(($D949-INDEX(Config!$C$15:$C$18,MATCH($S949,Config!$B$15:$B$18,0)))*24*60,0)),""))</f>
        <v/>
      </c>
      <c r="O949" t="str">
        <f t="shared" ref="O949:O1012" si="64">IF(OR(F949="",G949=""),"",ROUND((G949-F949)*24*60,0))</f>
        <v/>
      </c>
      <c r="P949" t="str">
        <f t="shared" ref="P949:P1012" si="65">IF(O949="","",O949+H949+I949)</f>
        <v/>
      </c>
      <c r="Q949" t="str">
        <f>IF(OR($P949="",$S949=""),"",IFERROR($P949-INDEX(Config!$E$15:$E$18,MATCH($S949,Config!$B$15:$B$18,0)),""))</f>
        <v/>
      </c>
      <c r="R949" t="str">
        <f t="shared" ref="R949:R1012" si="66">IF($A949="","",IF($D949="","Ausente",IF($N949="","",IF($N949&gt;0,"Atrasado","Puntual"))))</f>
        <v/>
      </c>
      <c r="S949" s="6" t="str">
        <f>IF(OR($A949="",$C949=""),"",IFERROR(INDEX(Turno!$C$3:$V$32,MATCH($C949,Turno!$B$3:$B$32,0),MATCH(DAY($A949),Turno!$C$1:$V$1,0)),""))</f>
        <v/>
      </c>
      <c r="T949" t="str">
        <f>IF(OR($E949="",$S949=""),"",IFERROR(MAX(0,ROUND((INDEX(Config!$D$15:$D$18,MATCH($S949,Config!$B$15:$B$18,0))-$E949)*1440,0)),""))</f>
        <v/>
      </c>
      <c r="U949" s="13" t="str">
        <f>IF(OR($N949="",$T949=""),"",IFERROR(MAX(0,1-($N949+$T949+MAX(0,N($Q949)))/ROUND((INDEX(Config!$D$15:$D$18,MATCH($S949,Config!$B$15:$B$18,0))-INDEX(Config!$C$15:$C$18,MATCH($S949,Config!$B$15:$B$18,0)))*1440,0)),""))</f>
        <v/>
      </c>
      <c r="V949" s="5"/>
    </row>
    <row r="950" spans="1:22" x14ac:dyDescent="0.25">
      <c r="A950" s="11"/>
      <c r="B950" s="5"/>
      <c r="C950" s="6" t="str">
        <f>IFERROR(INDEX(Ejecutivos!$B$2:$B$100,MATCH(B950,Ejecutivos!$A$2:$A$100,0)),"")</f>
        <v/>
      </c>
      <c r="D950" s="12"/>
      <c r="E950" s="12"/>
      <c r="F950" s="12"/>
      <c r="G950" s="12"/>
      <c r="H950" s="5"/>
      <c r="I950" s="5"/>
      <c r="J950" s="5"/>
      <c r="K950" s="5"/>
      <c r="L950" s="18">
        <v>0</v>
      </c>
      <c r="M950" t="str">
        <f t="shared" si="63"/>
        <v/>
      </c>
      <c r="N950" t="str">
        <f>IF(OR($D950="",$S950=""),"",IFERROR(MAX(0,ROUND(($D950-INDEX(Config!$C$15:$C$18,MATCH($S950,Config!$B$15:$B$18,0)))*24*60,0)),""))</f>
        <v/>
      </c>
      <c r="O950" t="str">
        <f t="shared" si="64"/>
        <v/>
      </c>
      <c r="P950" t="str">
        <f t="shared" si="65"/>
        <v/>
      </c>
      <c r="Q950" t="str">
        <f>IF(OR($P950="",$S950=""),"",IFERROR($P950-INDEX(Config!$E$15:$E$18,MATCH($S950,Config!$B$15:$B$18,0)),""))</f>
        <v/>
      </c>
      <c r="R950" t="str">
        <f t="shared" si="66"/>
        <v/>
      </c>
      <c r="S950" s="6" t="str">
        <f>IF(OR($A950="",$C950=""),"",IFERROR(INDEX(Turno!$C$3:$V$32,MATCH($C950,Turno!$B$3:$B$32,0),MATCH(DAY($A950),Turno!$C$1:$V$1,0)),""))</f>
        <v/>
      </c>
      <c r="T950" t="str">
        <f>IF(OR($E950="",$S950=""),"",IFERROR(MAX(0,ROUND((INDEX(Config!$D$15:$D$18,MATCH($S950,Config!$B$15:$B$18,0))-$E950)*1440,0)),""))</f>
        <v/>
      </c>
      <c r="U950" s="13" t="str">
        <f>IF(OR($N950="",$T950=""),"",IFERROR(MAX(0,1-($N950+$T950+MAX(0,N($Q950)))/ROUND((INDEX(Config!$D$15:$D$18,MATCH($S950,Config!$B$15:$B$18,0))-INDEX(Config!$C$15:$C$18,MATCH($S950,Config!$B$15:$B$18,0)))*1440,0)),""))</f>
        <v/>
      </c>
      <c r="V950" s="5"/>
    </row>
    <row r="951" spans="1:22" x14ac:dyDescent="0.25">
      <c r="A951" s="11"/>
      <c r="B951" s="5"/>
      <c r="C951" s="6" t="str">
        <f>IFERROR(INDEX(Ejecutivos!$B$2:$B$100,MATCH(B951,Ejecutivos!$A$2:$A$100,0)),"")</f>
        <v/>
      </c>
      <c r="D951" s="12"/>
      <c r="E951" s="12"/>
      <c r="F951" s="12"/>
      <c r="G951" s="12"/>
      <c r="H951" s="5"/>
      <c r="I951" s="5"/>
      <c r="J951" s="5"/>
      <c r="K951" s="5"/>
      <c r="L951" s="18">
        <v>0</v>
      </c>
      <c r="M951" t="str">
        <f t="shared" si="63"/>
        <v/>
      </c>
      <c r="N951" t="str">
        <f>IF(OR($D951="",$S951=""),"",IFERROR(MAX(0,ROUND(($D951-INDEX(Config!$C$15:$C$18,MATCH($S951,Config!$B$15:$B$18,0)))*24*60,0)),""))</f>
        <v/>
      </c>
      <c r="O951" t="str">
        <f t="shared" si="64"/>
        <v/>
      </c>
      <c r="P951" t="str">
        <f t="shared" si="65"/>
        <v/>
      </c>
      <c r="Q951" t="str">
        <f>IF(OR($P951="",$S951=""),"",IFERROR($P951-INDEX(Config!$E$15:$E$18,MATCH($S951,Config!$B$15:$B$18,0)),""))</f>
        <v/>
      </c>
      <c r="R951" t="str">
        <f t="shared" si="66"/>
        <v/>
      </c>
      <c r="S951" s="6" t="str">
        <f>IF(OR($A951="",$C951=""),"",IFERROR(INDEX(Turno!$C$3:$V$32,MATCH($C951,Turno!$B$3:$B$32,0),MATCH(DAY($A951),Turno!$C$1:$V$1,0)),""))</f>
        <v/>
      </c>
      <c r="T951" t="str">
        <f>IF(OR($E951="",$S951=""),"",IFERROR(MAX(0,ROUND((INDEX(Config!$D$15:$D$18,MATCH($S951,Config!$B$15:$B$18,0))-$E951)*1440,0)),""))</f>
        <v/>
      </c>
      <c r="U951" s="13" t="str">
        <f>IF(OR($N951="",$T951=""),"",IFERROR(MAX(0,1-($N951+$T951+MAX(0,N($Q951)))/ROUND((INDEX(Config!$D$15:$D$18,MATCH($S951,Config!$B$15:$B$18,0))-INDEX(Config!$C$15:$C$18,MATCH($S951,Config!$B$15:$B$18,0)))*1440,0)),""))</f>
        <v/>
      </c>
      <c r="V951" s="5"/>
    </row>
    <row r="952" spans="1:22" x14ac:dyDescent="0.25">
      <c r="A952" s="11"/>
      <c r="B952" s="5"/>
      <c r="C952" s="6" t="str">
        <f>IFERROR(INDEX(Ejecutivos!$B$2:$B$100,MATCH(B952,Ejecutivos!$A$2:$A$100,0)),"")</f>
        <v/>
      </c>
      <c r="D952" s="12"/>
      <c r="E952" s="12"/>
      <c r="F952" s="12"/>
      <c r="G952" s="12"/>
      <c r="H952" s="5"/>
      <c r="I952" s="5"/>
      <c r="J952" s="5"/>
      <c r="K952" s="5"/>
      <c r="L952" s="18">
        <v>0</v>
      </c>
      <c r="M952" t="str">
        <f t="shared" si="63"/>
        <v/>
      </c>
      <c r="N952" t="str">
        <f>IF(OR($D952="",$S952=""),"",IFERROR(MAX(0,ROUND(($D952-INDEX(Config!$C$15:$C$18,MATCH($S952,Config!$B$15:$B$18,0)))*24*60,0)),""))</f>
        <v/>
      </c>
      <c r="O952" t="str">
        <f t="shared" si="64"/>
        <v/>
      </c>
      <c r="P952" t="str">
        <f t="shared" si="65"/>
        <v/>
      </c>
      <c r="Q952" t="str">
        <f>IF(OR($P952="",$S952=""),"",IFERROR($P952-INDEX(Config!$E$15:$E$18,MATCH($S952,Config!$B$15:$B$18,0)),""))</f>
        <v/>
      </c>
      <c r="R952" t="str">
        <f t="shared" si="66"/>
        <v/>
      </c>
      <c r="S952" s="6" t="str">
        <f>IF(OR($A952="",$C952=""),"",IFERROR(INDEX(Turno!$C$3:$V$32,MATCH($C952,Turno!$B$3:$B$32,0),MATCH(DAY($A952),Turno!$C$1:$V$1,0)),""))</f>
        <v/>
      </c>
      <c r="T952" t="str">
        <f>IF(OR($E952="",$S952=""),"",IFERROR(MAX(0,ROUND((INDEX(Config!$D$15:$D$18,MATCH($S952,Config!$B$15:$B$18,0))-$E952)*1440,0)),""))</f>
        <v/>
      </c>
      <c r="U952" s="13" t="str">
        <f>IF(OR($N952="",$T952=""),"",IFERROR(MAX(0,1-($N952+$T952+MAX(0,N($Q952)))/ROUND((INDEX(Config!$D$15:$D$18,MATCH($S952,Config!$B$15:$B$18,0))-INDEX(Config!$C$15:$C$18,MATCH($S952,Config!$B$15:$B$18,0)))*1440,0)),""))</f>
        <v/>
      </c>
      <c r="V952" s="5"/>
    </row>
    <row r="953" spans="1:22" x14ac:dyDescent="0.25">
      <c r="A953" s="11"/>
      <c r="B953" s="5"/>
      <c r="C953" s="6" t="str">
        <f>IFERROR(INDEX(Ejecutivos!$B$2:$B$100,MATCH(B953,Ejecutivos!$A$2:$A$100,0)),"")</f>
        <v/>
      </c>
      <c r="D953" s="12"/>
      <c r="E953" s="12"/>
      <c r="F953" s="12"/>
      <c r="G953" s="12"/>
      <c r="H953" s="5"/>
      <c r="I953" s="5"/>
      <c r="J953" s="5"/>
      <c r="K953" s="5"/>
      <c r="L953" s="18">
        <v>0</v>
      </c>
      <c r="M953" t="str">
        <f t="shared" si="63"/>
        <v/>
      </c>
      <c r="N953" t="str">
        <f>IF(OR($D953="",$S953=""),"",IFERROR(MAX(0,ROUND(($D953-INDEX(Config!$C$15:$C$18,MATCH($S953,Config!$B$15:$B$18,0)))*24*60,0)),""))</f>
        <v/>
      </c>
      <c r="O953" t="str">
        <f t="shared" si="64"/>
        <v/>
      </c>
      <c r="P953" t="str">
        <f t="shared" si="65"/>
        <v/>
      </c>
      <c r="Q953" t="str">
        <f>IF(OR($P953="",$S953=""),"",IFERROR($P953-INDEX(Config!$E$15:$E$18,MATCH($S953,Config!$B$15:$B$18,0)),""))</f>
        <v/>
      </c>
      <c r="R953" t="str">
        <f t="shared" si="66"/>
        <v/>
      </c>
      <c r="S953" s="6" t="str">
        <f>IF(OR($A953="",$C953=""),"",IFERROR(INDEX(Turno!$C$3:$V$32,MATCH($C953,Turno!$B$3:$B$32,0),MATCH(DAY($A953),Turno!$C$1:$V$1,0)),""))</f>
        <v/>
      </c>
      <c r="T953" t="str">
        <f>IF(OR($E953="",$S953=""),"",IFERROR(MAX(0,ROUND((INDEX(Config!$D$15:$D$18,MATCH($S953,Config!$B$15:$B$18,0))-$E953)*1440,0)),""))</f>
        <v/>
      </c>
      <c r="U953" s="13" t="str">
        <f>IF(OR($N953="",$T953=""),"",IFERROR(MAX(0,1-($N953+$T953+MAX(0,N($Q953)))/ROUND((INDEX(Config!$D$15:$D$18,MATCH($S953,Config!$B$15:$B$18,0))-INDEX(Config!$C$15:$C$18,MATCH($S953,Config!$B$15:$B$18,0)))*1440,0)),""))</f>
        <v/>
      </c>
      <c r="V953" s="5"/>
    </row>
    <row r="954" spans="1:22" x14ac:dyDescent="0.25">
      <c r="A954" s="11"/>
      <c r="B954" s="5"/>
      <c r="C954" s="6" t="str">
        <f>IFERROR(INDEX(Ejecutivos!$B$2:$B$100,MATCH(B954,Ejecutivos!$A$2:$A$100,0)),"")</f>
        <v/>
      </c>
      <c r="D954" s="12"/>
      <c r="E954" s="12"/>
      <c r="F954" s="12"/>
      <c r="G954" s="12"/>
      <c r="H954" s="5"/>
      <c r="I954" s="5"/>
      <c r="J954" s="5"/>
      <c r="K954" s="5"/>
      <c r="L954" s="18">
        <v>0</v>
      </c>
      <c r="M954" t="str">
        <f t="shared" si="63"/>
        <v/>
      </c>
      <c r="N954" t="str">
        <f>IF(OR($D954="",$S954=""),"",IFERROR(MAX(0,ROUND(($D954-INDEX(Config!$C$15:$C$18,MATCH($S954,Config!$B$15:$B$18,0)))*24*60,0)),""))</f>
        <v/>
      </c>
      <c r="O954" t="str">
        <f t="shared" si="64"/>
        <v/>
      </c>
      <c r="P954" t="str">
        <f t="shared" si="65"/>
        <v/>
      </c>
      <c r="Q954" t="str">
        <f>IF(OR($P954="",$S954=""),"",IFERROR($P954-INDEX(Config!$E$15:$E$18,MATCH($S954,Config!$B$15:$B$18,0)),""))</f>
        <v/>
      </c>
      <c r="R954" t="str">
        <f t="shared" si="66"/>
        <v/>
      </c>
      <c r="S954" s="6" t="str">
        <f>IF(OR($A954="",$C954=""),"",IFERROR(INDEX(Turno!$C$3:$V$32,MATCH($C954,Turno!$B$3:$B$32,0),MATCH(DAY($A954),Turno!$C$1:$V$1,0)),""))</f>
        <v/>
      </c>
      <c r="T954" t="str">
        <f>IF(OR($E954="",$S954=""),"",IFERROR(MAX(0,ROUND((INDEX(Config!$D$15:$D$18,MATCH($S954,Config!$B$15:$B$18,0))-$E954)*1440,0)),""))</f>
        <v/>
      </c>
      <c r="U954" s="13" t="str">
        <f>IF(OR($N954="",$T954=""),"",IFERROR(MAX(0,1-($N954+$T954+MAX(0,N($Q954)))/ROUND((INDEX(Config!$D$15:$D$18,MATCH($S954,Config!$B$15:$B$18,0))-INDEX(Config!$C$15:$C$18,MATCH($S954,Config!$B$15:$B$18,0)))*1440,0)),""))</f>
        <v/>
      </c>
      <c r="V954" s="5"/>
    </row>
    <row r="955" spans="1:22" x14ac:dyDescent="0.25">
      <c r="A955" s="11"/>
      <c r="B955" s="5"/>
      <c r="C955" s="6" t="str">
        <f>IFERROR(INDEX(Ejecutivos!$B$2:$B$100,MATCH(B955,Ejecutivos!$A$2:$A$100,0)),"")</f>
        <v/>
      </c>
      <c r="D955" s="12"/>
      <c r="E955" s="12"/>
      <c r="F955" s="12"/>
      <c r="G955" s="12"/>
      <c r="H955" s="5"/>
      <c r="I955" s="5"/>
      <c r="J955" s="5"/>
      <c r="K955" s="5"/>
      <c r="L955" s="18">
        <v>0</v>
      </c>
      <c r="M955" t="str">
        <f t="shared" si="63"/>
        <v/>
      </c>
      <c r="N955" t="str">
        <f>IF(OR($D955="",$S955=""),"",IFERROR(MAX(0,ROUND(($D955-INDEX(Config!$C$15:$C$18,MATCH($S955,Config!$B$15:$B$18,0)))*24*60,0)),""))</f>
        <v/>
      </c>
      <c r="O955" t="str">
        <f t="shared" si="64"/>
        <v/>
      </c>
      <c r="P955" t="str">
        <f t="shared" si="65"/>
        <v/>
      </c>
      <c r="Q955" t="str">
        <f>IF(OR($P955="",$S955=""),"",IFERROR($P955-INDEX(Config!$E$15:$E$18,MATCH($S955,Config!$B$15:$B$18,0)),""))</f>
        <v/>
      </c>
      <c r="R955" t="str">
        <f t="shared" si="66"/>
        <v/>
      </c>
      <c r="S955" s="6" t="str">
        <f>IF(OR($A955="",$C955=""),"",IFERROR(INDEX(Turno!$C$3:$V$32,MATCH($C955,Turno!$B$3:$B$32,0),MATCH(DAY($A955),Turno!$C$1:$V$1,0)),""))</f>
        <v/>
      </c>
      <c r="T955" t="str">
        <f>IF(OR($E955="",$S955=""),"",IFERROR(MAX(0,ROUND((INDEX(Config!$D$15:$D$18,MATCH($S955,Config!$B$15:$B$18,0))-$E955)*1440,0)),""))</f>
        <v/>
      </c>
      <c r="U955" s="13" t="str">
        <f>IF(OR($N955="",$T955=""),"",IFERROR(MAX(0,1-($N955+$T955+MAX(0,N($Q955)))/ROUND((INDEX(Config!$D$15:$D$18,MATCH($S955,Config!$B$15:$B$18,0))-INDEX(Config!$C$15:$C$18,MATCH($S955,Config!$B$15:$B$18,0)))*1440,0)),""))</f>
        <v/>
      </c>
      <c r="V955" s="5"/>
    </row>
    <row r="956" spans="1:22" x14ac:dyDescent="0.25">
      <c r="A956" s="11"/>
      <c r="B956" s="5"/>
      <c r="C956" s="6" t="str">
        <f>IFERROR(INDEX(Ejecutivos!$B$2:$B$100,MATCH(B956,Ejecutivos!$A$2:$A$100,0)),"")</f>
        <v/>
      </c>
      <c r="D956" s="12"/>
      <c r="E956" s="12"/>
      <c r="F956" s="12"/>
      <c r="G956" s="12"/>
      <c r="H956" s="5"/>
      <c r="I956" s="5"/>
      <c r="J956" s="5"/>
      <c r="K956" s="5"/>
      <c r="L956" s="18">
        <v>0</v>
      </c>
      <c r="M956" t="str">
        <f t="shared" si="63"/>
        <v/>
      </c>
      <c r="N956" t="str">
        <f>IF(OR($D956="",$S956=""),"",IFERROR(MAX(0,ROUND(($D956-INDEX(Config!$C$15:$C$18,MATCH($S956,Config!$B$15:$B$18,0)))*24*60,0)),""))</f>
        <v/>
      </c>
      <c r="O956" t="str">
        <f t="shared" si="64"/>
        <v/>
      </c>
      <c r="P956" t="str">
        <f t="shared" si="65"/>
        <v/>
      </c>
      <c r="Q956" t="str">
        <f>IF(OR($P956="",$S956=""),"",IFERROR($P956-INDEX(Config!$E$15:$E$18,MATCH($S956,Config!$B$15:$B$18,0)),""))</f>
        <v/>
      </c>
      <c r="R956" t="str">
        <f t="shared" si="66"/>
        <v/>
      </c>
      <c r="S956" s="6" t="str">
        <f>IF(OR($A956="",$C956=""),"",IFERROR(INDEX(Turno!$C$3:$V$32,MATCH($C956,Turno!$B$3:$B$32,0),MATCH(DAY($A956),Turno!$C$1:$V$1,0)),""))</f>
        <v/>
      </c>
      <c r="T956" t="str">
        <f>IF(OR($E956="",$S956=""),"",IFERROR(MAX(0,ROUND((INDEX(Config!$D$15:$D$18,MATCH($S956,Config!$B$15:$B$18,0))-$E956)*1440,0)),""))</f>
        <v/>
      </c>
      <c r="U956" s="13" t="str">
        <f>IF(OR($N956="",$T956=""),"",IFERROR(MAX(0,1-($N956+$T956+MAX(0,N($Q956)))/ROUND((INDEX(Config!$D$15:$D$18,MATCH($S956,Config!$B$15:$B$18,0))-INDEX(Config!$C$15:$C$18,MATCH($S956,Config!$B$15:$B$18,0)))*1440,0)),""))</f>
        <v/>
      </c>
      <c r="V956" s="5"/>
    </row>
    <row r="957" spans="1:22" x14ac:dyDescent="0.25">
      <c r="A957" s="11"/>
      <c r="B957" s="5"/>
      <c r="C957" s="6" t="str">
        <f>IFERROR(INDEX(Ejecutivos!$B$2:$B$100,MATCH(B957,Ejecutivos!$A$2:$A$100,0)),"")</f>
        <v/>
      </c>
      <c r="D957" s="12"/>
      <c r="E957" s="12"/>
      <c r="F957" s="12"/>
      <c r="G957" s="12"/>
      <c r="H957" s="5"/>
      <c r="I957" s="5"/>
      <c r="J957" s="5"/>
      <c r="K957" s="5"/>
      <c r="L957" s="18">
        <v>0</v>
      </c>
      <c r="M957" t="str">
        <f t="shared" si="63"/>
        <v/>
      </c>
      <c r="N957" t="str">
        <f>IF(OR($D957="",$S957=""),"",IFERROR(MAX(0,ROUND(($D957-INDEX(Config!$C$15:$C$18,MATCH($S957,Config!$B$15:$B$18,0)))*24*60,0)),""))</f>
        <v/>
      </c>
      <c r="O957" t="str">
        <f t="shared" si="64"/>
        <v/>
      </c>
      <c r="P957" t="str">
        <f t="shared" si="65"/>
        <v/>
      </c>
      <c r="Q957" t="str">
        <f>IF(OR($P957="",$S957=""),"",IFERROR($P957-INDEX(Config!$E$15:$E$18,MATCH($S957,Config!$B$15:$B$18,0)),""))</f>
        <v/>
      </c>
      <c r="R957" t="str">
        <f t="shared" si="66"/>
        <v/>
      </c>
      <c r="S957" s="6" t="str">
        <f>IF(OR($A957="",$C957=""),"",IFERROR(INDEX(Turno!$C$3:$V$32,MATCH($C957,Turno!$B$3:$B$32,0),MATCH(DAY($A957),Turno!$C$1:$V$1,0)),""))</f>
        <v/>
      </c>
      <c r="T957" t="str">
        <f>IF(OR($E957="",$S957=""),"",IFERROR(MAX(0,ROUND((INDEX(Config!$D$15:$D$18,MATCH($S957,Config!$B$15:$B$18,0))-$E957)*1440,0)),""))</f>
        <v/>
      </c>
      <c r="U957" s="13" t="str">
        <f>IF(OR($N957="",$T957=""),"",IFERROR(MAX(0,1-($N957+$T957+MAX(0,N($Q957)))/ROUND((INDEX(Config!$D$15:$D$18,MATCH($S957,Config!$B$15:$B$18,0))-INDEX(Config!$C$15:$C$18,MATCH($S957,Config!$B$15:$B$18,0)))*1440,0)),""))</f>
        <v/>
      </c>
      <c r="V957" s="5"/>
    </row>
    <row r="958" spans="1:22" x14ac:dyDescent="0.25">
      <c r="A958" s="11"/>
      <c r="B958" s="5"/>
      <c r="C958" s="6" t="str">
        <f>IFERROR(INDEX(Ejecutivos!$B$2:$B$100,MATCH(B958,Ejecutivos!$A$2:$A$100,0)),"")</f>
        <v/>
      </c>
      <c r="D958" s="12"/>
      <c r="E958" s="12"/>
      <c r="F958" s="12"/>
      <c r="G958" s="12"/>
      <c r="H958" s="5"/>
      <c r="I958" s="5"/>
      <c r="J958" s="5"/>
      <c r="K958" s="5"/>
      <c r="L958" s="18">
        <v>0</v>
      </c>
      <c r="M958" t="str">
        <f t="shared" si="63"/>
        <v/>
      </c>
      <c r="N958" t="str">
        <f>IF(OR($D958="",$S958=""),"",IFERROR(MAX(0,ROUND(($D958-INDEX(Config!$C$15:$C$18,MATCH($S958,Config!$B$15:$B$18,0)))*24*60,0)),""))</f>
        <v/>
      </c>
      <c r="O958" t="str">
        <f t="shared" si="64"/>
        <v/>
      </c>
      <c r="P958" t="str">
        <f t="shared" si="65"/>
        <v/>
      </c>
      <c r="Q958" t="str">
        <f>IF(OR($P958="",$S958=""),"",IFERROR($P958-INDEX(Config!$E$15:$E$18,MATCH($S958,Config!$B$15:$B$18,0)),""))</f>
        <v/>
      </c>
      <c r="R958" t="str">
        <f t="shared" si="66"/>
        <v/>
      </c>
      <c r="S958" s="6" t="str">
        <f>IF(OR($A958="",$C958=""),"",IFERROR(INDEX(Turno!$C$3:$V$32,MATCH($C958,Turno!$B$3:$B$32,0),MATCH(DAY($A958),Turno!$C$1:$V$1,0)),""))</f>
        <v/>
      </c>
      <c r="T958" t="str">
        <f>IF(OR($E958="",$S958=""),"",IFERROR(MAX(0,ROUND((INDEX(Config!$D$15:$D$18,MATCH($S958,Config!$B$15:$B$18,0))-$E958)*1440,0)),""))</f>
        <v/>
      </c>
      <c r="U958" s="13" t="str">
        <f>IF(OR($N958="",$T958=""),"",IFERROR(MAX(0,1-($N958+$T958+MAX(0,N($Q958)))/ROUND((INDEX(Config!$D$15:$D$18,MATCH($S958,Config!$B$15:$B$18,0))-INDEX(Config!$C$15:$C$18,MATCH($S958,Config!$B$15:$B$18,0)))*1440,0)),""))</f>
        <v/>
      </c>
      <c r="V958" s="5"/>
    </row>
    <row r="959" spans="1:22" x14ac:dyDescent="0.25">
      <c r="A959" s="11"/>
      <c r="B959" s="5"/>
      <c r="C959" s="6" t="str">
        <f>IFERROR(INDEX(Ejecutivos!$B$2:$B$100,MATCH(B959,Ejecutivos!$A$2:$A$100,0)),"")</f>
        <v/>
      </c>
      <c r="D959" s="12"/>
      <c r="E959" s="12"/>
      <c r="F959" s="12"/>
      <c r="G959" s="12"/>
      <c r="H959" s="5"/>
      <c r="I959" s="5"/>
      <c r="J959" s="5"/>
      <c r="K959" s="5"/>
      <c r="L959" s="18">
        <v>0</v>
      </c>
      <c r="M959" t="str">
        <f t="shared" si="63"/>
        <v/>
      </c>
      <c r="N959" t="str">
        <f>IF(OR($D959="",$S959=""),"",IFERROR(MAX(0,ROUND(($D959-INDEX(Config!$C$15:$C$18,MATCH($S959,Config!$B$15:$B$18,0)))*24*60,0)),""))</f>
        <v/>
      </c>
      <c r="O959" t="str">
        <f t="shared" si="64"/>
        <v/>
      </c>
      <c r="P959" t="str">
        <f t="shared" si="65"/>
        <v/>
      </c>
      <c r="Q959" t="str">
        <f>IF(OR($P959="",$S959=""),"",IFERROR($P959-INDEX(Config!$E$15:$E$18,MATCH($S959,Config!$B$15:$B$18,0)),""))</f>
        <v/>
      </c>
      <c r="R959" t="str">
        <f t="shared" si="66"/>
        <v/>
      </c>
      <c r="S959" s="6" t="str">
        <f>IF(OR($A959="",$C959=""),"",IFERROR(INDEX(Turno!$C$3:$V$32,MATCH($C959,Turno!$B$3:$B$32,0),MATCH(DAY($A959),Turno!$C$1:$V$1,0)),""))</f>
        <v/>
      </c>
      <c r="T959" t="str">
        <f>IF(OR($E959="",$S959=""),"",IFERROR(MAX(0,ROUND((INDEX(Config!$D$15:$D$18,MATCH($S959,Config!$B$15:$B$18,0))-$E959)*1440,0)),""))</f>
        <v/>
      </c>
      <c r="U959" s="13" t="str">
        <f>IF(OR($N959="",$T959=""),"",IFERROR(MAX(0,1-($N959+$T959+MAX(0,N($Q959)))/ROUND((INDEX(Config!$D$15:$D$18,MATCH($S959,Config!$B$15:$B$18,0))-INDEX(Config!$C$15:$C$18,MATCH($S959,Config!$B$15:$B$18,0)))*1440,0)),""))</f>
        <v/>
      </c>
      <c r="V959" s="5"/>
    </row>
    <row r="960" spans="1:22" x14ac:dyDescent="0.25">
      <c r="A960" s="11"/>
      <c r="B960" s="5"/>
      <c r="C960" s="6" t="str">
        <f>IFERROR(INDEX(Ejecutivos!$B$2:$B$100,MATCH(B960,Ejecutivos!$A$2:$A$100,0)),"")</f>
        <v/>
      </c>
      <c r="D960" s="12"/>
      <c r="E960" s="12"/>
      <c r="F960" s="12"/>
      <c r="G960" s="12"/>
      <c r="H960" s="5"/>
      <c r="I960" s="5"/>
      <c r="J960" s="5"/>
      <c r="K960" s="5"/>
      <c r="L960" s="18">
        <v>0</v>
      </c>
      <c r="M960" t="str">
        <f t="shared" si="63"/>
        <v/>
      </c>
      <c r="N960" t="str">
        <f>IF(OR($D960="",$S960=""),"",IFERROR(MAX(0,ROUND(($D960-INDEX(Config!$C$15:$C$18,MATCH($S960,Config!$B$15:$B$18,0)))*24*60,0)),""))</f>
        <v/>
      </c>
      <c r="O960" t="str">
        <f t="shared" si="64"/>
        <v/>
      </c>
      <c r="P960" t="str">
        <f t="shared" si="65"/>
        <v/>
      </c>
      <c r="Q960" t="str">
        <f>IF(OR($P960="",$S960=""),"",IFERROR($P960-INDEX(Config!$E$15:$E$18,MATCH($S960,Config!$B$15:$B$18,0)),""))</f>
        <v/>
      </c>
      <c r="R960" t="str">
        <f t="shared" si="66"/>
        <v/>
      </c>
      <c r="S960" s="6" t="str">
        <f>IF(OR($A960="",$C960=""),"",IFERROR(INDEX(Turno!$C$3:$V$32,MATCH($C960,Turno!$B$3:$B$32,0),MATCH(DAY($A960),Turno!$C$1:$V$1,0)),""))</f>
        <v/>
      </c>
      <c r="T960" t="str">
        <f>IF(OR($E960="",$S960=""),"",IFERROR(MAX(0,ROUND((INDEX(Config!$D$15:$D$18,MATCH($S960,Config!$B$15:$B$18,0))-$E960)*1440,0)),""))</f>
        <v/>
      </c>
      <c r="U960" s="13" t="str">
        <f>IF(OR($N960="",$T960=""),"",IFERROR(MAX(0,1-($N960+$T960+MAX(0,N($Q960)))/ROUND((INDEX(Config!$D$15:$D$18,MATCH($S960,Config!$B$15:$B$18,0))-INDEX(Config!$C$15:$C$18,MATCH($S960,Config!$B$15:$B$18,0)))*1440,0)),""))</f>
        <v/>
      </c>
      <c r="V960" s="5"/>
    </row>
    <row r="961" spans="1:22" x14ac:dyDescent="0.25">
      <c r="A961" s="11"/>
      <c r="B961" s="5"/>
      <c r="C961" s="6" t="str">
        <f>IFERROR(INDEX(Ejecutivos!$B$2:$B$100,MATCH(B961,Ejecutivos!$A$2:$A$100,0)),"")</f>
        <v/>
      </c>
      <c r="D961" s="12"/>
      <c r="E961" s="12"/>
      <c r="F961" s="12"/>
      <c r="G961" s="12"/>
      <c r="H961" s="5"/>
      <c r="I961" s="5"/>
      <c r="J961" s="5"/>
      <c r="K961" s="5"/>
      <c r="L961" s="18">
        <v>0</v>
      </c>
      <c r="M961" t="str">
        <f t="shared" si="63"/>
        <v/>
      </c>
      <c r="N961" t="str">
        <f>IF(OR($D961="",$S961=""),"",IFERROR(MAX(0,ROUND(($D961-INDEX(Config!$C$15:$C$18,MATCH($S961,Config!$B$15:$B$18,0)))*24*60,0)),""))</f>
        <v/>
      </c>
      <c r="O961" t="str">
        <f t="shared" si="64"/>
        <v/>
      </c>
      <c r="P961" t="str">
        <f t="shared" si="65"/>
        <v/>
      </c>
      <c r="Q961" t="str">
        <f>IF(OR($P961="",$S961=""),"",IFERROR($P961-INDEX(Config!$E$15:$E$18,MATCH($S961,Config!$B$15:$B$18,0)),""))</f>
        <v/>
      </c>
      <c r="R961" t="str">
        <f t="shared" si="66"/>
        <v/>
      </c>
      <c r="S961" s="6" t="str">
        <f>IF(OR($A961="",$C961=""),"",IFERROR(INDEX(Turno!$C$3:$V$32,MATCH($C961,Turno!$B$3:$B$32,0),MATCH(DAY($A961),Turno!$C$1:$V$1,0)),""))</f>
        <v/>
      </c>
      <c r="T961" t="str">
        <f>IF(OR($E961="",$S961=""),"",IFERROR(MAX(0,ROUND((INDEX(Config!$D$15:$D$18,MATCH($S961,Config!$B$15:$B$18,0))-$E961)*1440,0)),""))</f>
        <v/>
      </c>
      <c r="U961" s="13" t="str">
        <f>IF(OR($N961="",$T961=""),"",IFERROR(MAX(0,1-($N961+$T961+MAX(0,N($Q961)))/ROUND((INDEX(Config!$D$15:$D$18,MATCH($S961,Config!$B$15:$B$18,0))-INDEX(Config!$C$15:$C$18,MATCH($S961,Config!$B$15:$B$18,0)))*1440,0)),""))</f>
        <v/>
      </c>
      <c r="V961" s="5"/>
    </row>
    <row r="962" spans="1:22" x14ac:dyDescent="0.25">
      <c r="A962" s="11"/>
      <c r="B962" s="5"/>
      <c r="C962" s="6" t="str">
        <f>IFERROR(INDEX(Ejecutivos!$B$2:$B$100,MATCH(B962,Ejecutivos!$A$2:$A$100,0)),"")</f>
        <v/>
      </c>
      <c r="D962" s="12"/>
      <c r="E962" s="12"/>
      <c r="F962" s="12"/>
      <c r="G962" s="12"/>
      <c r="H962" s="5"/>
      <c r="I962" s="5"/>
      <c r="J962" s="5"/>
      <c r="K962" s="5"/>
      <c r="L962" s="18">
        <v>0</v>
      </c>
      <c r="M962" t="str">
        <f t="shared" si="63"/>
        <v/>
      </c>
      <c r="N962" t="str">
        <f>IF(OR($D962="",$S962=""),"",IFERROR(MAX(0,ROUND(($D962-INDEX(Config!$C$15:$C$18,MATCH($S962,Config!$B$15:$B$18,0)))*24*60,0)),""))</f>
        <v/>
      </c>
      <c r="O962" t="str">
        <f t="shared" si="64"/>
        <v/>
      </c>
      <c r="P962" t="str">
        <f t="shared" si="65"/>
        <v/>
      </c>
      <c r="Q962" t="str">
        <f>IF(OR($P962="",$S962=""),"",IFERROR($P962-INDEX(Config!$E$15:$E$18,MATCH($S962,Config!$B$15:$B$18,0)),""))</f>
        <v/>
      </c>
      <c r="R962" t="str">
        <f t="shared" si="66"/>
        <v/>
      </c>
      <c r="S962" s="6" t="str">
        <f>IF(OR($A962="",$C962=""),"",IFERROR(INDEX(Turno!$C$3:$V$32,MATCH($C962,Turno!$B$3:$B$32,0),MATCH(DAY($A962),Turno!$C$1:$V$1,0)),""))</f>
        <v/>
      </c>
      <c r="T962" t="str">
        <f>IF(OR($E962="",$S962=""),"",IFERROR(MAX(0,ROUND((INDEX(Config!$D$15:$D$18,MATCH($S962,Config!$B$15:$B$18,0))-$E962)*1440,0)),""))</f>
        <v/>
      </c>
      <c r="U962" s="13" t="str">
        <f>IF(OR($N962="",$T962=""),"",IFERROR(MAX(0,1-($N962+$T962+MAX(0,N($Q962)))/ROUND((INDEX(Config!$D$15:$D$18,MATCH($S962,Config!$B$15:$B$18,0))-INDEX(Config!$C$15:$C$18,MATCH($S962,Config!$B$15:$B$18,0)))*1440,0)),""))</f>
        <v/>
      </c>
      <c r="V962" s="5"/>
    </row>
    <row r="963" spans="1:22" x14ac:dyDescent="0.25">
      <c r="A963" s="11"/>
      <c r="B963" s="5"/>
      <c r="C963" s="6" t="str">
        <f>IFERROR(INDEX(Ejecutivos!$B$2:$B$100,MATCH(B963,Ejecutivos!$A$2:$A$100,0)),"")</f>
        <v/>
      </c>
      <c r="D963" s="12"/>
      <c r="E963" s="12"/>
      <c r="F963" s="12"/>
      <c r="G963" s="12"/>
      <c r="H963" s="5"/>
      <c r="I963" s="5"/>
      <c r="J963" s="5"/>
      <c r="K963" s="5"/>
      <c r="L963" s="18">
        <v>0</v>
      </c>
      <c r="M963" t="str">
        <f t="shared" si="63"/>
        <v/>
      </c>
      <c r="N963" t="str">
        <f>IF(OR($D963="",$S963=""),"",IFERROR(MAX(0,ROUND(($D963-INDEX(Config!$C$15:$C$18,MATCH($S963,Config!$B$15:$B$18,0)))*24*60,0)),""))</f>
        <v/>
      </c>
      <c r="O963" t="str">
        <f t="shared" si="64"/>
        <v/>
      </c>
      <c r="P963" t="str">
        <f t="shared" si="65"/>
        <v/>
      </c>
      <c r="Q963" t="str">
        <f>IF(OR($P963="",$S963=""),"",IFERROR($P963-INDEX(Config!$E$15:$E$18,MATCH($S963,Config!$B$15:$B$18,0)),""))</f>
        <v/>
      </c>
      <c r="R963" t="str">
        <f t="shared" si="66"/>
        <v/>
      </c>
      <c r="S963" s="6" t="str">
        <f>IF(OR($A963="",$C963=""),"",IFERROR(INDEX(Turno!$C$3:$V$32,MATCH($C963,Turno!$B$3:$B$32,0),MATCH(DAY($A963),Turno!$C$1:$V$1,0)),""))</f>
        <v/>
      </c>
      <c r="T963" t="str">
        <f>IF(OR($E963="",$S963=""),"",IFERROR(MAX(0,ROUND((INDEX(Config!$D$15:$D$18,MATCH($S963,Config!$B$15:$B$18,0))-$E963)*1440,0)),""))</f>
        <v/>
      </c>
      <c r="U963" s="13" t="str">
        <f>IF(OR($N963="",$T963=""),"",IFERROR(MAX(0,1-($N963+$T963+MAX(0,N($Q963)))/ROUND((INDEX(Config!$D$15:$D$18,MATCH($S963,Config!$B$15:$B$18,0))-INDEX(Config!$C$15:$C$18,MATCH($S963,Config!$B$15:$B$18,0)))*1440,0)),""))</f>
        <v/>
      </c>
      <c r="V963" s="5"/>
    </row>
    <row r="964" spans="1:22" x14ac:dyDescent="0.25">
      <c r="A964" s="11"/>
      <c r="B964" s="5"/>
      <c r="C964" s="6" t="str">
        <f>IFERROR(INDEX(Ejecutivos!$B$2:$B$100,MATCH(B964,Ejecutivos!$A$2:$A$100,0)),"")</f>
        <v/>
      </c>
      <c r="D964" s="12"/>
      <c r="E964" s="12"/>
      <c r="F964" s="12"/>
      <c r="G964" s="12"/>
      <c r="H964" s="5"/>
      <c r="I964" s="5"/>
      <c r="J964" s="5"/>
      <c r="K964" s="5"/>
      <c r="L964" s="18">
        <v>0</v>
      </c>
      <c r="M964" t="str">
        <f t="shared" si="63"/>
        <v/>
      </c>
      <c r="N964" t="str">
        <f>IF(OR($D964="",$S964=""),"",IFERROR(MAX(0,ROUND(($D964-INDEX(Config!$C$15:$C$18,MATCH($S964,Config!$B$15:$B$18,0)))*24*60,0)),""))</f>
        <v/>
      </c>
      <c r="O964" t="str">
        <f t="shared" si="64"/>
        <v/>
      </c>
      <c r="P964" t="str">
        <f t="shared" si="65"/>
        <v/>
      </c>
      <c r="Q964" t="str">
        <f>IF(OR($P964="",$S964=""),"",IFERROR($P964-INDEX(Config!$E$15:$E$18,MATCH($S964,Config!$B$15:$B$18,0)),""))</f>
        <v/>
      </c>
      <c r="R964" t="str">
        <f t="shared" si="66"/>
        <v/>
      </c>
      <c r="S964" s="6" t="str">
        <f>IF(OR($A964="",$C964=""),"",IFERROR(INDEX(Turno!$C$3:$V$32,MATCH($C964,Turno!$B$3:$B$32,0),MATCH(DAY($A964),Turno!$C$1:$V$1,0)),""))</f>
        <v/>
      </c>
      <c r="T964" t="str">
        <f>IF(OR($E964="",$S964=""),"",IFERROR(MAX(0,ROUND((INDEX(Config!$D$15:$D$18,MATCH($S964,Config!$B$15:$B$18,0))-$E964)*1440,0)),""))</f>
        <v/>
      </c>
      <c r="U964" s="13" t="str">
        <f>IF(OR($N964="",$T964=""),"",IFERROR(MAX(0,1-($N964+$T964+MAX(0,N($Q964)))/ROUND((INDEX(Config!$D$15:$D$18,MATCH($S964,Config!$B$15:$B$18,0))-INDEX(Config!$C$15:$C$18,MATCH($S964,Config!$B$15:$B$18,0)))*1440,0)),""))</f>
        <v/>
      </c>
      <c r="V964" s="5"/>
    </row>
    <row r="965" spans="1:22" x14ac:dyDescent="0.25">
      <c r="A965" s="11"/>
      <c r="B965" s="5"/>
      <c r="C965" s="6" t="str">
        <f>IFERROR(INDEX(Ejecutivos!$B$2:$B$100,MATCH(B965,Ejecutivos!$A$2:$A$100,0)),"")</f>
        <v/>
      </c>
      <c r="D965" s="12"/>
      <c r="E965" s="12"/>
      <c r="F965" s="12"/>
      <c r="G965" s="12"/>
      <c r="H965" s="5"/>
      <c r="I965" s="5"/>
      <c r="J965" s="5"/>
      <c r="K965" s="5"/>
      <c r="L965" s="18">
        <v>0</v>
      </c>
      <c r="M965" t="str">
        <f t="shared" si="63"/>
        <v/>
      </c>
      <c r="N965" t="str">
        <f>IF(OR($D965="",$S965=""),"",IFERROR(MAX(0,ROUND(($D965-INDEX(Config!$C$15:$C$18,MATCH($S965,Config!$B$15:$B$18,0)))*24*60,0)),""))</f>
        <v/>
      </c>
      <c r="O965" t="str">
        <f t="shared" si="64"/>
        <v/>
      </c>
      <c r="P965" t="str">
        <f t="shared" si="65"/>
        <v/>
      </c>
      <c r="Q965" t="str">
        <f>IF(OR($P965="",$S965=""),"",IFERROR($P965-INDEX(Config!$E$15:$E$18,MATCH($S965,Config!$B$15:$B$18,0)),""))</f>
        <v/>
      </c>
      <c r="R965" t="str">
        <f t="shared" si="66"/>
        <v/>
      </c>
      <c r="S965" s="6" t="str">
        <f>IF(OR($A965="",$C965=""),"",IFERROR(INDEX(Turno!$C$3:$V$32,MATCH($C965,Turno!$B$3:$B$32,0),MATCH(DAY($A965),Turno!$C$1:$V$1,0)),""))</f>
        <v/>
      </c>
      <c r="T965" t="str">
        <f>IF(OR($E965="",$S965=""),"",IFERROR(MAX(0,ROUND((INDEX(Config!$D$15:$D$18,MATCH($S965,Config!$B$15:$B$18,0))-$E965)*1440,0)),""))</f>
        <v/>
      </c>
      <c r="U965" s="13" t="str">
        <f>IF(OR($N965="",$T965=""),"",IFERROR(MAX(0,1-($N965+$T965+MAX(0,N($Q965)))/ROUND((INDEX(Config!$D$15:$D$18,MATCH($S965,Config!$B$15:$B$18,0))-INDEX(Config!$C$15:$C$18,MATCH($S965,Config!$B$15:$B$18,0)))*1440,0)),""))</f>
        <v/>
      </c>
      <c r="V965" s="5"/>
    </row>
    <row r="966" spans="1:22" x14ac:dyDescent="0.25">
      <c r="A966" s="11"/>
      <c r="B966" s="5"/>
      <c r="C966" s="6" t="str">
        <f>IFERROR(INDEX(Ejecutivos!$B$2:$B$100,MATCH(B966,Ejecutivos!$A$2:$A$100,0)),"")</f>
        <v/>
      </c>
      <c r="D966" s="12"/>
      <c r="E966" s="12"/>
      <c r="F966" s="12"/>
      <c r="G966" s="12"/>
      <c r="H966" s="5"/>
      <c r="I966" s="5"/>
      <c r="J966" s="5"/>
      <c r="K966" s="5"/>
      <c r="L966" s="18">
        <v>0</v>
      </c>
      <c r="M966" t="str">
        <f t="shared" si="63"/>
        <v/>
      </c>
      <c r="N966" t="str">
        <f>IF(OR($D966="",$S966=""),"",IFERROR(MAX(0,ROUND(($D966-INDEX(Config!$C$15:$C$18,MATCH($S966,Config!$B$15:$B$18,0)))*24*60,0)),""))</f>
        <v/>
      </c>
      <c r="O966" t="str">
        <f t="shared" si="64"/>
        <v/>
      </c>
      <c r="P966" t="str">
        <f t="shared" si="65"/>
        <v/>
      </c>
      <c r="Q966" t="str">
        <f>IF(OR($P966="",$S966=""),"",IFERROR($P966-INDEX(Config!$E$15:$E$18,MATCH($S966,Config!$B$15:$B$18,0)),""))</f>
        <v/>
      </c>
      <c r="R966" t="str">
        <f t="shared" si="66"/>
        <v/>
      </c>
      <c r="S966" s="6" t="str">
        <f>IF(OR($A966="",$C966=""),"",IFERROR(INDEX(Turno!$C$3:$V$32,MATCH($C966,Turno!$B$3:$B$32,0),MATCH(DAY($A966),Turno!$C$1:$V$1,0)),""))</f>
        <v/>
      </c>
      <c r="T966" t="str">
        <f>IF(OR($E966="",$S966=""),"",IFERROR(MAX(0,ROUND((INDEX(Config!$D$15:$D$18,MATCH($S966,Config!$B$15:$B$18,0))-$E966)*1440,0)),""))</f>
        <v/>
      </c>
      <c r="U966" s="13" t="str">
        <f>IF(OR($N966="",$T966=""),"",IFERROR(MAX(0,1-($N966+$T966+MAX(0,N($Q966)))/ROUND((INDEX(Config!$D$15:$D$18,MATCH($S966,Config!$B$15:$B$18,0))-INDEX(Config!$C$15:$C$18,MATCH($S966,Config!$B$15:$B$18,0)))*1440,0)),""))</f>
        <v/>
      </c>
      <c r="V966" s="5"/>
    </row>
    <row r="967" spans="1:22" x14ac:dyDescent="0.25">
      <c r="A967" s="11"/>
      <c r="B967" s="5"/>
      <c r="C967" s="6" t="str">
        <f>IFERROR(INDEX(Ejecutivos!$B$2:$B$100,MATCH(B967,Ejecutivos!$A$2:$A$100,0)),"")</f>
        <v/>
      </c>
      <c r="D967" s="12"/>
      <c r="E967" s="12"/>
      <c r="F967" s="12"/>
      <c r="G967" s="12"/>
      <c r="H967" s="5"/>
      <c r="I967" s="5"/>
      <c r="J967" s="5"/>
      <c r="K967" s="5"/>
      <c r="L967" s="18">
        <v>0</v>
      </c>
      <c r="M967" t="str">
        <f t="shared" si="63"/>
        <v/>
      </c>
      <c r="N967" t="str">
        <f>IF(OR($D967="",$S967=""),"",IFERROR(MAX(0,ROUND(($D967-INDEX(Config!$C$15:$C$18,MATCH($S967,Config!$B$15:$B$18,0)))*24*60,0)),""))</f>
        <v/>
      </c>
      <c r="O967" t="str">
        <f t="shared" si="64"/>
        <v/>
      </c>
      <c r="P967" t="str">
        <f t="shared" si="65"/>
        <v/>
      </c>
      <c r="Q967" t="str">
        <f>IF(OR($P967="",$S967=""),"",IFERROR($P967-INDEX(Config!$E$15:$E$18,MATCH($S967,Config!$B$15:$B$18,0)),""))</f>
        <v/>
      </c>
      <c r="R967" t="str">
        <f t="shared" si="66"/>
        <v/>
      </c>
      <c r="S967" s="6" t="str">
        <f>IF(OR($A967="",$C967=""),"",IFERROR(INDEX(Turno!$C$3:$V$32,MATCH($C967,Turno!$B$3:$B$32,0),MATCH(DAY($A967),Turno!$C$1:$V$1,0)),""))</f>
        <v/>
      </c>
      <c r="T967" t="str">
        <f>IF(OR($E967="",$S967=""),"",IFERROR(MAX(0,ROUND((INDEX(Config!$D$15:$D$18,MATCH($S967,Config!$B$15:$B$18,0))-$E967)*1440,0)),""))</f>
        <v/>
      </c>
      <c r="U967" s="13" t="str">
        <f>IF(OR($N967="",$T967=""),"",IFERROR(MAX(0,1-($N967+$T967+MAX(0,N($Q967)))/ROUND((INDEX(Config!$D$15:$D$18,MATCH($S967,Config!$B$15:$B$18,0))-INDEX(Config!$C$15:$C$18,MATCH($S967,Config!$B$15:$B$18,0)))*1440,0)),""))</f>
        <v/>
      </c>
      <c r="V967" s="5"/>
    </row>
    <row r="968" spans="1:22" x14ac:dyDescent="0.25">
      <c r="A968" s="11"/>
      <c r="B968" s="5"/>
      <c r="C968" s="6" t="str">
        <f>IFERROR(INDEX(Ejecutivos!$B$2:$B$100,MATCH(B968,Ejecutivos!$A$2:$A$100,0)),"")</f>
        <v/>
      </c>
      <c r="D968" s="12"/>
      <c r="E968" s="12"/>
      <c r="F968" s="12"/>
      <c r="G968" s="12"/>
      <c r="H968" s="5"/>
      <c r="I968" s="5"/>
      <c r="J968" s="5"/>
      <c r="K968" s="5"/>
      <c r="L968" s="18">
        <v>0</v>
      </c>
      <c r="M968" t="str">
        <f t="shared" si="63"/>
        <v/>
      </c>
      <c r="N968" t="str">
        <f>IF(OR($D968="",$S968=""),"",IFERROR(MAX(0,ROUND(($D968-INDEX(Config!$C$15:$C$18,MATCH($S968,Config!$B$15:$B$18,0)))*24*60,0)),""))</f>
        <v/>
      </c>
      <c r="O968" t="str">
        <f t="shared" si="64"/>
        <v/>
      </c>
      <c r="P968" t="str">
        <f t="shared" si="65"/>
        <v/>
      </c>
      <c r="Q968" t="str">
        <f>IF(OR($P968="",$S968=""),"",IFERROR($P968-INDEX(Config!$E$15:$E$18,MATCH($S968,Config!$B$15:$B$18,0)),""))</f>
        <v/>
      </c>
      <c r="R968" t="str">
        <f t="shared" si="66"/>
        <v/>
      </c>
      <c r="S968" s="6" t="str">
        <f>IF(OR($A968="",$C968=""),"",IFERROR(INDEX(Turno!$C$3:$V$32,MATCH($C968,Turno!$B$3:$B$32,0),MATCH(DAY($A968),Turno!$C$1:$V$1,0)),""))</f>
        <v/>
      </c>
      <c r="T968" t="str">
        <f>IF(OR($E968="",$S968=""),"",IFERROR(MAX(0,ROUND((INDEX(Config!$D$15:$D$18,MATCH($S968,Config!$B$15:$B$18,0))-$E968)*1440,0)),""))</f>
        <v/>
      </c>
      <c r="U968" s="13" t="str">
        <f>IF(OR($N968="",$T968=""),"",IFERROR(MAX(0,1-($N968+$T968+MAX(0,N($Q968)))/ROUND((INDEX(Config!$D$15:$D$18,MATCH($S968,Config!$B$15:$B$18,0))-INDEX(Config!$C$15:$C$18,MATCH($S968,Config!$B$15:$B$18,0)))*1440,0)),""))</f>
        <v/>
      </c>
      <c r="V968" s="5"/>
    </row>
    <row r="969" spans="1:22" x14ac:dyDescent="0.25">
      <c r="A969" s="11"/>
      <c r="B969" s="5"/>
      <c r="C969" s="6" t="str">
        <f>IFERROR(INDEX(Ejecutivos!$B$2:$B$100,MATCH(B969,Ejecutivos!$A$2:$A$100,0)),"")</f>
        <v/>
      </c>
      <c r="D969" s="12"/>
      <c r="E969" s="12"/>
      <c r="F969" s="12"/>
      <c r="G969" s="12"/>
      <c r="H969" s="5"/>
      <c r="I969" s="5"/>
      <c r="J969" s="5"/>
      <c r="K969" s="5"/>
      <c r="L969" s="18">
        <v>0</v>
      </c>
      <c r="M969" t="str">
        <f t="shared" si="63"/>
        <v/>
      </c>
      <c r="N969" t="str">
        <f>IF(OR($D969="",$S969=""),"",IFERROR(MAX(0,ROUND(($D969-INDEX(Config!$C$15:$C$18,MATCH($S969,Config!$B$15:$B$18,0)))*24*60,0)),""))</f>
        <v/>
      </c>
      <c r="O969" t="str">
        <f t="shared" si="64"/>
        <v/>
      </c>
      <c r="P969" t="str">
        <f t="shared" si="65"/>
        <v/>
      </c>
      <c r="Q969" t="str">
        <f>IF(OR($P969="",$S969=""),"",IFERROR($P969-INDEX(Config!$E$15:$E$18,MATCH($S969,Config!$B$15:$B$18,0)),""))</f>
        <v/>
      </c>
      <c r="R969" t="str">
        <f t="shared" si="66"/>
        <v/>
      </c>
      <c r="S969" s="6" t="str">
        <f>IF(OR($A969="",$C969=""),"",IFERROR(INDEX(Turno!$C$3:$V$32,MATCH($C969,Turno!$B$3:$B$32,0),MATCH(DAY($A969),Turno!$C$1:$V$1,0)),""))</f>
        <v/>
      </c>
      <c r="T969" t="str">
        <f>IF(OR($E969="",$S969=""),"",IFERROR(MAX(0,ROUND((INDEX(Config!$D$15:$D$18,MATCH($S969,Config!$B$15:$B$18,0))-$E969)*1440,0)),""))</f>
        <v/>
      </c>
      <c r="U969" s="13" t="str">
        <f>IF(OR($N969="",$T969=""),"",IFERROR(MAX(0,1-($N969+$T969+MAX(0,N($Q969)))/ROUND((INDEX(Config!$D$15:$D$18,MATCH($S969,Config!$B$15:$B$18,0))-INDEX(Config!$C$15:$C$18,MATCH($S969,Config!$B$15:$B$18,0)))*1440,0)),""))</f>
        <v/>
      </c>
      <c r="V969" s="5"/>
    </row>
    <row r="970" spans="1:22" x14ac:dyDescent="0.25">
      <c r="A970" s="11"/>
      <c r="B970" s="5"/>
      <c r="C970" s="6" t="str">
        <f>IFERROR(INDEX(Ejecutivos!$B$2:$B$100,MATCH(B970,Ejecutivos!$A$2:$A$100,0)),"")</f>
        <v/>
      </c>
      <c r="D970" s="12"/>
      <c r="E970" s="12"/>
      <c r="F970" s="12"/>
      <c r="G970" s="12"/>
      <c r="H970" s="5"/>
      <c r="I970" s="5"/>
      <c r="J970" s="5"/>
      <c r="K970" s="5"/>
      <c r="L970" s="18">
        <v>0</v>
      </c>
      <c r="M970" t="str">
        <f t="shared" si="63"/>
        <v/>
      </c>
      <c r="N970" t="str">
        <f>IF(OR($D970="",$S970=""),"",IFERROR(MAX(0,ROUND(($D970-INDEX(Config!$C$15:$C$18,MATCH($S970,Config!$B$15:$B$18,0)))*24*60,0)),""))</f>
        <v/>
      </c>
      <c r="O970" t="str">
        <f t="shared" si="64"/>
        <v/>
      </c>
      <c r="P970" t="str">
        <f t="shared" si="65"/>
        <v/>
      </c>
      <c r="Q970" t="str">
        <f>IF(OR($P970="",$S970=""),"",IFERROR($P970-INDEX(Config!$E$15:$E$18,MATCH($S970,Config!$B$15:$B$18,0)),""))</f>
        <v/>
      </c>
      <c r="R970" t="str">
        <f t="shared" si="66"/>
        <v/>
      </c>
      <c r="S970" s="6" t="str">
        <f>IF(OR($A970="",$C970=""),"",IFERROR(INDEX(Turno!$C$3:$V$32,MATCH($C970,Turno!$B$3:$B$32,0),MATCH(DAY($A970),Turno!$C$1:$V$1,0)),""))</f>
        <v/>
      </c>
      <c r="T970" t="str">
        <f>IF(OR($E970="",$S970=""),"",IFERROR(MAX(0,ROUND((INDEX(Config!$D$15:$D$18,MATCH($S970,Config!$B$15:$B$18,0))-$E970)*1440,0)),""))</f>
        <v/>
      </c>
      <c r="U970" s="13" t="str">
        <f>IF(OR($N970="",$T970=""),"",IFERROR(MAX(0,1-($N970+$T970+MAX(0,N($Q970)))/ROUND((INDEX(Config!$D$15:$D$18,MATCH($S970,Config!$B$15:$B$18,0))-INDEX(Config!$C$15:$C$18,MATCH($S970,Config!$B$15:$B$18,0)))*1440,0)),""))</f>
        <v/>
      </c>
      <c r="V970" s="5"/>
    </row>
    <row r="971" spans="1:22" x14ac:dyDescent="0.25">
      <c r="A971" s="11"/>
      <c r="B971" s="5"/>
      <c r="C971" s="6" t="str">
        <f>IFERROR(INDEX(Ejecutivos!$B$2:$B$100,MATCH(B971,Ejecutivos!$A$2:$A$100,0)),"")</f>
        <v/>
      </c>
      <c r="D971" s="12"/>
      <c r="E971" s="12"/>
      <c r="F971" s="12"/>
      <c r="G971" s="12"/>
      <c r="H971" s="5"/>
      <c r="I971" s="5"/>
      <c r="J971" s="5"/>
      <c r="K971" s="5"/>
      <c r="L971" s="18">
        <v>0</v>
      </c>
      <c r="M971" t="str">
        <f t="shared" si="63"/>
        <v/>
      </c>
      <c r="N971" t="str">
        <f>IF(OR($D971="",$S971=""),"",IFERROR(MAX(0,ROUND(($D971-INDEX(Config!$C$15:$C$18,MATCH($S971,Config!$B$15:$B$18,0)))*24*60,0)),""))</f>
        <v/>
      </c>
      <c r="O971" t="str">
        <f t="shared" si="64"/>
        <v/>
      </c>
      <c r="P971" t="str">
        <f t="shared" si="65"/>
        <v/>
      </c>
      <c r="Q971" t="str">
        <f>IF(OR($P971="",$S971=""),"",IFERROR($P971-INDEX(Config!$E$15:$E$18,MATCH($S971,Config!$B$15:$B$18,0)),""))</f>
        <v/>
      </c>
      <c r="R971" t="str">
        <f t="shared" si="66"/>
        <v/>
      </c>
      <c r="S971" s="6" t="str">
        <f>IF(OR($A971="",$C971=""),"",IFERROR(INDEX(Turno!$C$3:$V$32,MATCH($C971,Turno!$B$3:$B$32,0),MATCH(DAY($A971),Turno!$C$1:$V$1,0)),""))</f>
        <v/>
      </c>
      <c r="T971" t="str">
        <f>IF(OR($E971="",$S971=""),"",IFERROR(MAX(0,ROUND((INDEX(Config!$D$15:$D$18,MATCH($S971,Config!$B$15:$B$18,0))-$E971)*1440,0)),""))</f>
        <v/>
      </c>
      <c r="U971" s="13" t="str">
        <f>IF(OR($N971="",$T971=""),"",IFERROR(MAX(0,1-($N971+$T971+MAX(0,N($Q971)))/ROUND((INDEX(Config!$D$15:$D$18,MATCH($S971,Config!$B$15:$B$18,0))-INDEX(Config!$C$15:$C$18,MATCH($S971,Config!$B$15:$B$18,0)))*1440,0)),""))</f>
        <v/>
      </c>
      <c r="V971" s="5"/>
    </row>
    <row r="972" spans="1:22" x14ac:dyDescent="0.25">
      <c r="A972" s="11"/>
      <c r="B972" s="5"/>
      <c r="C972" s="6" t="str">
        <f>IFERROR(INDEX(Ejecutivos!$B$2:$B$100,MATCH(B972,Ejecutivos!$A$2:$A$100,0)),"")</f>
        <v/>
      </c>
      <c r="D972" s="12"/>
      <c r="E972" s="12"/>
      <c r="F972" s="12"/>
      <c r="G972" s="12"/>
      <c r="H972" s="5"/>
      <c r="I972" s="5"/>
      <c r="J972" s="5"/>
      <c r="K972" s="5"/>
      <c r="L972" s="18">
        <v>0</v>
      </c>
      <c r="M972" t="str">
        <f t="shared" si="63"/>
        <v/>
      </c>
      <c r="N972" t="str">
        <f>IF(OR($D972="",$S972=""),"",IFERROR(MAX(0,ROUND(($D972-INDEX(Config!$C$15:$C$18,MATCH($S972,Config!$B$15:$B$18,0)))*24*60,0)),""))</f>
        <v/>
      </c>
      <c r="O972" t="str">
        <f t="shared" si="64"/>
        <v/>
      </c>
      <c r="P972" t="str">
        <f t="shared" si="65"/>
        <v/>
      </c>
      <c r="Q972" t="str">
        <f>IF(OR($P972="",$S972=""),"",IFERROR($P972-INDEX(Config!$E$15:$E$18,MATCH($S972,Config!$B$15:$B$18,0)),""))</f>
        <v/>
      </c>
      <c r="R972" t="str">
        <f t="shared" si="66"/>
        <v/>
      </c>
      <c r="S972" s="6" t="str">
        <f>IF(OR($A972="",$C972=""),"",IFERROR(INDEX(Turno!$C$3:$V$32,MATCH($C972,Turno!$B$3:$B$32,0),MATCH(DAY($A972),Turno!$C$1:$V$1,0)),""))</f>
        <v/>
      </c>
      <c r="T972" t="str">
        <f>IF(OR($E972="",$S972=""),"",IFERROR(MAX(0,ROUND((INDEX(Config!$D$15:$D$18,MATCH($S972,Config!$B$15:$B$18,0))-$E972)*1440,0)),""))</f>
        <v/>
      </c>
      <c r="U972" s="13" t="str">
        <f>IF(OR($N972="",$T972=""),"",IFERROR(MAX(0,1-($N972+$T972+MAX(0,N($Q972)))/ROUND((INDEX(Config!$D$15:$D$18,MATCH($S972,Config!$B$15:$B$18,0))-INDEX(Config!$C$15:$C$18,MATCH($S972,Config!$B$15:$B$18,0)))*1440,0)),""))</f>
        <v/>
      </c>
      <c r="V972" s="5"/>
    </row>
    <row r="973" spans="1:22" x14ac:dyDescent="0.25">
      <c r="A973" s="11"/>
      <c r="B973" s="5"/>
      <c r="C973" s="6" t="str">
        <f>IFERROR(INDEX(Ejecutivos!$B$2:$B$100,MATCH(B973,Ejecutivos!$A$2:$A$100,0)),"")</f>
        <v/>
      </c>
      <c r="D973" s="12"/>
      <c r="E973" s="12"/>
      <c r="F973" s="12"/>
      <c r="G973" s="12"/>
      <c r="H973" s="5"/>
      <c r="I973" s="5"/>
      <c r="J973" s="5"/>
      <c r="K973" s="5"/>
      <c r="L973" s="18">
        <v>0</v>
      </c>
      <c r="M973" t="str">
        <f t="shared" si="63"/>
        <v/>
      </c>
      <c r="N973" t="str">
        <f>IF(OR($D973="",$S973=""),"",IFERROR(MAX(0,ROUND(($D973-INDEX(Config!$C$15:$C$18,MATCH($S973,Config!$B$15:$B$18,0)))*24*60,0)),""))</f>
        <v/>
      </c>
      <c r="O973" t="str">
        <f t="shared" si="64"/>
        <v/>
      </c>
      <c r="P973" t="str">
        <f t="shared" si="65"/>
        <v/>
      </c>
      <c r="Q973" t="str">
        <f>IF(OR($P973="",$S973=""),"",IFERROR($P973-INDEX(Config!$E$15:$E$18,MATCH($S973,Config!$B$15:$B$18,0)),""))</f>
        <v/>
      </c>
      <c r="R973" t="str">
        <f t="shared" si="66"/>
        <v/>
      </c>
      <c r="S973" s="6" t="str">
        <f>IF(OR($A973="",$C973=""),"",IFERROR(INDEX(Turno!$C$3:$V$32,MATCH($C973,Turno!$B$3:$B$32,0),MATCH(DAY($A973),Turno!$C$1:$V$1,0)),""))</f>
        <v/>
      </c>
      <c r="T973" t="str">
        <f>IF(OR($E973="",$S973=""),"",IFERROR(MAX(0,ROUND((INDEX(Config!$D$15:$D$18,MATCH($S973,Config!$B$15:$B$18,0))-$E973)*1440,0)),""))</f>
        <v/>
      </c>
      <c r="U973" s="13" t="str">
        <f>IF(OR($N973="",$T973=""),"",IFERROR(MAX(0,1-($N973+$T973+MAX(0,N($Q973)))/ROUND((INDEX(Config!$D$15:$D$18,MATCH($S973,Config!$B$15:$B$18,0))-INDEX(Config!$C$15:$C$18,MATCH($S973,Config!$B$15:$B$18,0)))*1440,0)),""))</f>
        <v/>
      </c>
      <c r="V973" s="5"/>
    </row>
    <row r="974" spans="1:22" x14ac:dyDescent="0.25">
      <c r="A974" s="11"/>
      <c r="B974" s="5"/>
      <c r="C974" s="6" t="str">
        <f>IFERROR(INDEX(Ejecutivos!$B$2:$B$100,MATCH(B974,Ejecutivos!$A$2:$A$100,0)),"")</f>
        <v/>
      </c>
      <c r="D974" s="12"/>
      <c r="E974" s="12"/>
      <c r="F974" s="12"/>
      <c r="G974" s="12"/>
      <c r="H974" s="5"/>
      <c r="I974" s="5"/>
      <c r="J974" s="5"/>
      <c r="K974" s="5"/>
      <c r="L974" s="18">
        <v>0</v>
      </c>
      <c r="M974" t="str">
        <f t="shared" si="63"/>
        <v/>
      </c>
      <c r="N974" t="str">
        <f>IF(OR($D974="",$S974=""),"",IFERROR(MAX(0,ROUND(($D974-INDEX(Config!$C$15:$C$18,MATCH($S974,Config!$B$15:$B$18,0)))*24*60,0)),""))</f>
        <v/>
      </c>
      <c r="O974" t="str">
        <f t="shared" si="64"/>
        <v/>
      </c>
      <c r="P974" t="str">
        <f t="shared" si="65"/>
        <v/>
      </c>
      <c r="Q974" t="str">
        <f>IF(OR($P974="",$S974=""),"",IFERROR($P974-INDEX(Config!$E$15:$E$18,MATCH($S974,Config!$B$15:$B$18,0)),""))</f>
        <v/>
      </c>
      <c r="R974" t="str">
        <f t="shared" si="66"/>
        <v/>
      </c>
      <c r="S974" s="6" t="str">
        <f>IF(OR($A974="",$C974=""),"",IFERROR(INDEX(Turno!$C$3:$V$32,MATCH($C974,Turno!$B$3:$B$32,0),MATCH(DAY($A974),Turno!$C$1:$V$1,0)),""))</f>
        <v/>
      </c>
      <c r="T974" t="str">
        <f>IF(OR($E974="",$S974=""),"",IFERROR(MAX(0,ROUND((INDEX(Config!$D$15:$D$18,MATCH($S974,Config!$B$15:$B$18,0))-$E974)*1440,0)),""))</f>
        <v/>
      </c>
      <c r="U974" s="13" t="str">
        <f>IF(OR($N974="",$T974=""),"",IFERROR(MAX(0,1-($N974+$T974+MAX(0,N($Q974)))/ROUND((INDEX(Config!$D$15:$D$18,MATCH($S974,Config!$B$15:$B$18,0))-INDEX(Config!$C$15:$C$18,MATCH($S974,Config!$B$15:$B$18,0)))*1440,0)),""))</f>
        <v/>
      </c>
      <c r="V974" s="5"/>
    </row>
    <row r="975" spans="1:22" x14ac:dyDescent="0.25">
      <c r="A975" s="11"/>
      <c r="B975" s="5"/>
      <c r="C975" s="6" t="str">
        <f>IFERROR(INDEX(Ejecutivos!$B$2:$B$100,MATCH(B975,Ejecutivos!$A$2:$A$100,0)),"")</f>
        <v/>
      </c>
      <c r="D975" s="12"/>
      <c r="E975" s="12"/>
      <c r="F975" s="12"/>
      <c r="G975" s="12"/>
      <c r="H975" s="5"/>
      <c r="I975" s="5"/>
      <c r="J975" s="5"/>
      <c r="K975" s="5"/>
      <c r="L975" s="18">
        <v>0</v>
      </c>
      <c r="M975" t="str">
        <f t="shared" si="63"/>
        <v/>
      </c>
      <c r="N975" t="str">
        <f>IF(OR($D975="",$S975=""),"",IFERROR(MAX(0,ROUND(($D975-INDEX(Config!$C$15:$C$18,MATCH($S975,Config!$B$15:$B$18,0)))*24*60,0)),""))</f>
        <v/>
      </c>
      <c r="O975" t="str">
        <f t="shared" si="64"/>
        <v/>
      </c>
      <c r="P975" t="str">
        <f t="shared" si="65"/>
        <v/>
      </c>
      <c r="Q975" t="str">
        <f>IF(OR($P975="",$S975=""),"",IFERROR($P975-INDEX(Config!$E$15:$E$18,MATCH($S975,Config!$B$15:$B$18,0)),""))</f>
        <v/>
      </c>
      <c r="R975" t="str">
        <f t="shared" si="66"/>
        <v/>
      </c>
      <c r="S975" s="6" t="str">
        <f>IF(OR($A975="",$C975=""),"",IFERROR(INDEX(Turno!$C$3:$V$32,MATCH($C975,Turno!$B$3:$B$32,0),MATCH(DAY($A975),Turno!$C$1:$V$1,0)),""))</f>
        <v/>
      </c>
      <c r="T975" t="str">
        <f>IF(OR($E975="",$S975=""),"",IFERROR(MAX(0,ROUND((INDEX(Config!$D$15:$D$18,MATCH($S975,Config!$B$15:$B$18,0))-$E975)*1440,0)),""))</f>
        <v/>
      </c>
      <c r="U975" s="13" t="str">
        <f>IF(OR($N975="",$T975=""),"",IFERROR(MAX(0,1-($N975+$T975+MAX(0,N($Q975)))/ROUND((INDEX(Config!$D$15:$D$18,MATCH($S975,Config!$B$15:$B$18,0))-INDEX(Config!$C$15:$C$18,MATCH($S975,Config!$B$15:$B$18,0)))*1440,0)),""))</f>
        <v/>
      </c>
      <c r="V975" s="5"/>
    </row>
    <row r="976" spans="1:22" x14ac:dyDescent="0.25">
      <c r="A976" s="11"/>
      <c r="B976" s="5"/>
      <c r="C976" s="6" t="str">
        <f>IFERROR(INDEX(Ejecutivos!$B$2:$B$100,MATCH(B976,Ejecutivos!$A$2:$A$100,0)),"")</f>
        <v/>
      </c>
      <c r="D976" s="12"/>
      <c r="E976" s="12"/>
      <c r="F976" s="12"/>
      <c r="G976" s="12"/>
      <c r="H976" s="5"/>
      <c r="I976" s="5"/>
      <c r="J976" s="5"/>
      <c r="K976" s="5"/>
      <c r="L976" s="18">
        <v>0</v>
      </c>
      <c r="M976" t="str">
        <f t="shared" si="63"/>
        <v/>
      </c>
      <c r="N976" t="str">
        <f>IF(OR($D976="",$S976=""),"",IFERROR(MAX(0,ROUND(($D976-INDEX(Config!$C$15:$C$18,MATCH($S976,Config!$B$15:$B$18,0)))*24*60,0)),""))</f>
        <v/>
      </c>
      <c r="O976" t="str">
        <f t="shared" si="64"/>
        <v/>
      </c>
      <c r="P976" t="str">
        <f t="shared" si="65"/>
        <v/>
      </c>
      <c r="Q976" t="str">
        <f>IF(OR($P976="",$S976=""),"",IFERROR($P976-INDEX(Config!$E$15:$E$18,MATCH($S976,Config!$B$15:$B$18,0)),""))</f>
        <v/>
      </c>
      <c r="R976" t="str">
        <f t="shared" si="66"/>
        <v/>
      </c>
      <c r="S976" s="6" t="str">
        <f>IF(OR($A976="",$C976=""),"",IFERROR(INDEX(Turno!$C$3:$V$32,MATCH($C976,Turno!$B$3:$B$32,0),MATCH(DAY($A976),Turno!$C$1:$V$1,0)),""))</f>
        <v/>
      </c>
      <c r="T976" t="str">
        <f>IF(OR($E976="",$S976=""),"",IFERROR(MAX(0,ROUND((INDEX(Config!$D$15:$D$18,MATCH($S976,Config!$B$15:$B$18,0))-$E976)*1440,0)),""))</f>
        <v/>
      </c>
      <c r="U976" s="13" t="str">
        <f>IF(OR($N976="",$T976=""),"",IFERROR(MAX(0,1-($N976+$T976+MAX(0,N($Q976)))/ROUND((INDEX(Config!$D$15:$D$18,MATCH($S976,Config!$B$15:$B$18,0))-INDEX(Config!$C$15:$C$18,MATCH($S976,Config!$B$15:$B$18,0)))*1440,0)),""))</f>
        <v/>
      </c>
      <c r="V976" s="5"/>
    </row>
    <row r="977" spans="1:22" x14ac:dyDescent="0.25">
      <c r="A977" s="11"/>
      <c r="B977" s="5"/>
      <c r="C977" s="6" t="str">
        <f>IFERROR(INDEX(Ejecutivos!$B$2:$B$100,MATCH(B977,Ejecutivos!$A$2:$A$100,0)),"")</f>
        <v/>
      </c>
      <c r="D977" s="12"/>
      <c r="E977" s="12"/>
      <c r="F977" s="12"/>
      <c r="G977" s="12"/>
      <c r="H977" s="5"/>
      <c r="I977" s="5"/>
      <c r="J977" s="5"/>
      <c r="K977" s="5"/>
      <c r="L977" s="18">
        <v>0</v>
      </c>
      <c r="M977" t="str">
        <f t="shared" si="63"/>
        <v/>
      </c>
      <c r="N977" t="str">
        <f>IF(OR($D977="",$S977=""),"",IFERROR(MAX(0,ROUND(($D977-INDEX(Config!$C$15:$C$18,MATCH($S977,Config!$B$15:$B$18,0)))*24*60,0)),""))</f>
        <v/>
      </c>
      <c r="O977" t="str">
        <f t="shared" si="64"/>
        <v/>
      </c>
      <c r="P977" t="str">
        <f t="shared" si="65"/>
        <v/>
      </c>
      <c r="Q977" t="str">
        <f>IF(OR($P977="",$S977=""),"",IFERROR($P977-INDEX(Config!$E$15:$E$18,MATCH($S977,Config!$B$15:$B$18,0)),""))</f>
        <v/>
      </c>
      <c r="R977" t="str">
        <f t="shared" si="66"/>
        <v/>
      </c>
      <c r="S977" s="6" t="str">
        <f>IF(OR($A977="",$C977=""),"",IFERROR(INDEX(Turno!$C$3:$V$32,MATCH($C977,Turno!$B$3:$B$32,0),MATCH(DAY($A977),Turno!$C$1:$V$1,0)),""))</f>
        <v/>
      </c>
      <c r="T977" t="str">
        <f>IF(OR($E977="",$S977=""),"",IFERROR(MAX(0,ROUND((INDEX(Config!$D$15:$D$18,MATCH($S977,Config!$B$15:$B$18,0))-$E977)*1440,0)),""))</f>
        <v/>
      </c>
      <c r="U977" s="13" t="str">
        <f>IF(OR($N977="",$T977=""),"",IFERROR(MAX(0,1-($N977+$T977+MAX(0,N($Q977)))/ROUND((INDEX(Config!$D$15:$D$18,MATCH($S977,Config!$B$15:$B$18,0))-INDEX(Config!$C$15:$C$18,MATCH($S977,Config!$B$15:$B$18,0)))*1440,0)),""))</f>
        <v/>
      </c>
      <c r="V977" s="5"/>
    </row>
    <row r="978" spans="1:22" x14ac:dyDescent="0.25">
      <c r="A978" s="11"/>
      <c r="B978" s="5"/>
      <c r="C978" s="6" t="str">
        <f>IFERROR(INDEX(Ejecutivos!$B$2:$B$100,MATCH(B978,Ejecutivos!$A$2:$A$100,0)),"")</f>
        <v/>
      </c>
      <c r="D978" s="12"/>
      <c r="E978" s="12"/>
      <c r="F978" s="12"/>
      <c r="G978" s="12"/>
      <c r="H978" s="5"/>
      <c r="I978" s="5"/>
      <c r="J978" s="5"/>
      <c r="K978" s="5"/>
      <c r="L978" s="18">
        <v>0</v>
      </c>
      <c r="M978" t="str">
        <f t="shared" si="63"/>
        <v/>
      </c>
      <c r="N978" t="str">
        <f>IF(OR($D978="",$S978=""),"",IFERROR(MAX(0,ROUND(($D978-INDEX(Config!$C$15:$C$18,MATCH($S978,Config!$B$15:$B$18,0)))*24*60,0)),""))</f>
        <v/>
      </c>
      <c r="O978" t="str">
        <f t="shared" si="64"/>
        <v/>
      </c>
      <c r="P978" t="str">
        <f t="shared" si="65"/>
        <v/>
      </c>
      <c r="Q978" t="str">
        <f>IF(OR($P978="",$S978=""),"",IFERROR($P978-INDEX(Config!$E$15:$E$18,MATCH($S978,Config!$B$15:$B$18,0)),""))</f>
        <v/>
      </c>
      <c r="R978" t="str">
        <f t="shared" si="66"/>
        <v/>
      </c>
      <c r="S978" s="6" t="str">
        <f>IF(OR($A978="",$C978=""),"",IFERROR(INDEX(Turno!$C$3:$V$32,MATCH($C978,Turno!$B$3:$B$32,0),MATCH(DAY($A978),Turno!$C$1:$V$1,0)),""))</f>
        <v/>
      </c>
      <c r="T978" t="str">
        <f>IF(OR($E978="",$S978=""),"",IFERROR(MAX(0,ROUND((INDEX(Config!$D$15:$D$18,MATCH($S978,Config!$B$15:$B$18,0))-$E978)*1440,0)),""))</f>
        <v/>
      </c>
      <c r="U978" s="13" t="str">
        <f>IF(OR($N978="",$T978=""),"",IFERROR(MAX(0,1-($N978+$T978+MAX(0,N($Q978)))/ROUND((INDEX(Config!$D$15:$D$18,MATCH($S978,Config!$B$15:$B$18,0))-INDEX(Config!$C$15:$C$18,MATCH($S978,Config!$B$15:$B$18,0)))*1440,0)),""))</f>
        <v/>
      </c>
      <c r="V978" s="5"/>
    </row>
    <row r="979" spans="1:22" x14ac:dyDescent="0.25">
      <c r="A979" s="11"/>
      <c r="B979" s="5"/>
      <c r="C979" s="6" t="str">
        <f>IFERROR(INDEX(Ejecutivos!$B$2:$B$100,MATCH(B979,Ejecutivos!$A$2:$A$100,0)),"")</f>
        <v/>
      </c>
      <c r="D979" s="12"/>
      <c r="E979" s="12"/>
      <c r="F979" s="12"/>
      <c r="G979" s="12"/>
      <c r="H979" s="5"/>
      <c r="I979" s="5"/>
      <c r="J979" s="5"/>
      <c r="K979" s="5"/>
      <c r="L979" s="18">
        <v>0</v>
      </c>
      <c r="M979" t="str">
        <f t="shared" si="63"/>
        <v/>
      </c>
      <c r="N979" t="str">
        <f>IF(OR($D979="",$S979=""),"",IFERROR(MAX(0,ROUND(($D979-INDEX(Config!$C$15:$C$18,MATCH($S979,Config!$B$15:$B$18,0)))*24*60,0)),""))</f>
        <v/>
      </c>
      <c r="O979" t="str">
        <f t="shared" si="64"/>
        <v/>
      </c>
      <c r="P979" t="str">
        <f t="shared" si="65"/>
        <v/>
      </c>
      <c r="Q979" t="str">
        <f>IF(OR($P979="",$S979=""),"",IFERROR($P979-INDEX(Config!$E$15:$E$18,MATCH($S979,Config!$B$15:$B$18,0)),""))</f>
        <v/>
      </c>
      <c r="R979" t="str">
        <f t="shared" si="66"/>
        <v/>
      </c>
      <c r="S979" s="6" t="str">
        <f>IF(OR($A979="",$C979=""),"",IFERROR(INDEX(Turno!$C$3:$V$32,MATCH($C979,Turno!$B$3:$B$32,0),MATCH(DAY($A979),Turno!$C$1:$V$1,0)),""))</f>
        <v/>
      </c>
      <c r="T979" t="str">
        <f>IF(OR($E979="",$S979=""),"",IFERROR(MAX(0,ROUND((INDEX(Config!$D$15:$D$18,MATCH($S979,Config!$B$15:$B$18,0))-$E979)*1440,0)),""))</f>
        <v/>
      </c>
      <c r="U979" s="13" t="str">
        <f>IF(OR($N979="",$T979=""),"",IFERROR(MAX(0,1-($N979+$T979+MAX(0,N($Q979)))/ROUND((INDEX(Config!$D$15:$D$18,MATCH($S979,Config!$B$15:$B$18,0))-INDEX(Config!$C$15:$C$18,MATCH($S979,Config!$B$15:$B$18,0)))*1440,0)),""))</f>
        <v/>
      </c>
      <c r="V979" s="5"/>
    </row>
    <row r="980" spans="1:22" x14ac:dyDescent="0.25">
      <c r="A980" s="11"/>
      <c r="B980" s="5"/>
      <c r="C980" s="6" t="str">
        <f>IFERROR(INDEX(Ejecutivos!$B$2:$B$100,MATCH(B980,Ejecutivos!$A$2:$A$100,0)),"")</f>
        <v/>
      </c>
      <c r="D980" s="12"/>
      <c r="E980" s="12"/>
      <c r="F980" s="12"/>
      <c r="G980" s="12"/>
      <c r="H980" s="5"/>
      <c r="I980" s="5"/>
      <c r="J980" s="5"/>
      <c r="K980" s="5"/>
      <c r="L980" s="18">
        <v>0</v>
      </c>
      <c r="M980" t="str">
        <f t="shared" si="63"/>
        <v/>
      </c>
      <c r="N980" t="str">
        <f>IF(OR($D980="",$S980=""),"",IFERROR(MAX(0,ROUND(($D980-INDEX(Config!$C$15:$C$18,MATCH($S980,Config!$B$15:$B$18,0)))*24*60,0)),""))</f>
        <v/>
      </c>
      <c r="O980" t="str">
        <f t="shared" si="64"/>
        <v/>
      </c>
      <c r="P980" t="str">
        <f t="shared" si="65"/>
        <v/>
      </c>
      <c r="Q980" t="str">
        <f>IF(OR($P980="",$S980=""),"",IFERROR($P980-INDEX(Config!$E$15:$E$18,MATCH($S980,Config!$B$15:$B$18,0)),""))</f>
        <v/>
      </c>
      <c r="R980" t="str">
        <f t="shared" si="66"/>
        <v/>
      </c>
      <c r="S980" s="6" t="str">
        <f>IF(OR($A980="",$C980=""),"",IFERROR(INDEX(Turno!$C$3:$V$32,MATCH($C980,Turno!$B$3:$B$32,0),MATCH(DAY($A980),Turno!$C$1:$V$1,0)),""))</f>
        <v/>
      </c>
      <c r="T980" t="str">
        <f>IF(OR($E980="",$S980=""),"",IFERROR(MAX(0,ROUND((INDEX(Config!$D$15:$D$18,MATCH($S980,Config!$B$15:$B$18,0))-$E980)*1440,0)),""))</f>
        <v/>
      </c>
      <c r="U980" s="13" t="str">
        <f>IF(OR($N980="",$T980=""),"",IFERROR(MAX(0,1-($N980+$T980+MAX(0,N($Q980)))/ROUND((INDEX(Config!$D$15:$D$18,MATCH($S980,Config!$B$15:$B$18,0))-INDEX(Config!$C$15:$C$18,MATCH($S980,Config!$B$15:$B$18,0)))*1440,0)),""))</f>
        <v/>
      </c>
      <c r="V980" s="5"/>
    </row>
    <row r="981" spans="1:22" x14ac:dyDescent="0.25">
      <c r="A981" s="11"/>
      <c r="B981" s="5"/>
      <c r="C981" s="6" t="str">
        <f>IFERROR(INDEX(Ejecutivos!$B$2:$B$100,MATCH(B981,Ejecutivos!$A$2:$A$100,0)),"")</f>
        <v/>
      </c>
      <c r="D981" s="12"/>
      <c r="E981" s="12"/>
      <c r="F981" s="12"/>
      <c r="G981" s="12"/>
      <c r="H981" s="5"/>
      <c r="I981" s="5"/>
      <c r="J981" s="5"/>
      <c r="K981" s="5"/>
      <c r="L981" s="18">
        <v>0</v>
      </c>
      <c r="M981" t="str">
        <f t="shared" si="63"/>
        <v/>
      </c>
      <c r="N981" t="str">
        <f>IF(OR($D981="",$S981=""),"",IFERROR(MAX(0,ROUND(($D981-INDEX(Config!$C$15:$C$18,MATCH($S981,Config!$B$15:$B$18,0)))*24*60,0)),""))</f>
        <v/>
      </c>
      <c r="O981" t="str">
        <f t="shared" si="64"/>
        <v/>
      </c>
      <c r="P981" t="str">
        <f t="shared" si="65"/>
        <v/>
      </c>
      <c r="Q981" t="str">
        <f>IF(OR($P981="",$S981=""),"",IFERROR($P981-INDEX(Config!$E$15:$E$18,MATCH($S981,Config!$B$15:$B$18,0)),""))</f>
        <v/>
      </c>
      <c r="R981" t="str">
        <f t="shared" si="66"/>
        <v/>
      </c>
      <c r="S981" s="6" t="str">
        <f>IF(OR($A981="",$C981=""),"",IFERROR(INDEX(Turno!$C$3:$V$32,MATCH($C981,Turno!$B$3:$B$32,0),MATCH(DAY($A981),Turno!$C$1:$V$1,0)),""))</f>
        <v/>
      </c>
      <c r="T981" t="str">
        <f>IF(OR($E981="",$S981=""),"",IFERROR(MAX(0,ROUND((INDEX(Config!$D$15:$D$18,MATCH($S981,Config!$B$15:$B$18,0))-$E981)*1440,0)),""))</f>
        <v/>
      </c>
      <c r="U981" s="13" t="str">
        <f>IF(OR($N981="",$T981=""),"",IFERROR(MAX(0,1-($N981+$T981+MAX(0,N($Q981)))/ROUND((INDEX(Config!$D$15:$D$18,MATCH($S981,Config!$B$15:$B$18,0))-INDEX(Config!$C$15:$C$18,MATCH($S981,Config!$B$15:$B$18,0)))*1440,0)),""))</f>
        <v/>
      </c>
      <c r="V981" s="5"/>
    </row>
    <row r="982" spans="1:22" x14ac:dyDescent="0.25">
      <c r="A982" s="11"/>
      <c r="B982" s="5"/>
      <c r="C982" s="6" t="str">
        <f>IFERROR(INDEX(Ejecutivos!$B$2:$B$100,MATCH(B982,Ejecutivos!$A$2:$A$100,0)),"")</f>
        <v/>
      </c>
      <c r="D982" s="12"/>
      <c r="E982" s="12"/>
      <c r="F982" s="12"/>
      <c r="G982" s="12"/>
      <c r="H982" s="5"/>
      <c r="I982" s="5"/>
      <c r="J982" s="5"/>
      <c r="K982" s="5"/>
      <c r="L982" s="18">
        <v>0</v>
      </c>
      <c r="M982" t="str">
        <f t="shared" si="63"/>
        <v/>
      </c>
      <c r="N982" t="str">
        <f>IF(OR($D982="",$S982=""),"",IFERROR(MAX(0,ROUND(($D982-INDEX(Config!$C$15:$C$18,MATCH($S982,Config!$B$15:$B$18,0)))*24*60,0)),""))</f>
        <v/>
      </c>
      <c r="O982" t="str">
        <f t="shared" si="64"/>
        <v/>
      </c>
      <c r="P982" t="str">
        <f t="shared" si="65"/>
        <v/>
      </c>
      <c r="Q982" t="str">
        <f>IF(OR($P982="",$S982=""),"",IFERROR($P982-INDEX(Config!$E$15:$E$18,MATCH($S982,Config!$B$15:$B$18,0)),""))</f>
        <v/>
      </c>
      <c r="R982" t="str">
        <f t="shared" si="66"/>
        <v/>
      </c>
      <c r="S982" s="6" t="str">
        <f>IF(OR($A982="",$C982=""),"",IFERROR(INDEX(Turno!$C$3:$V$32,MATCH($C982,Turno!$B$3:$B$32,0),MATCH(DAY($A982),Turno!$C$1:$V$1,0)),""))</f>
        <v/>
      </c>
      <c r="T982" t="str">
        <f>IF(OR($E982="",$S982=""),"",IFERROR(MAX(0,ROUND((INDEX(Config!$D$15:$D$18,MATCH($S982,Config!$B$15:$B$18,0))-$E982)*1440,0)),""))</f>
        <v/>
      </c>
      <c r="U982" s="13" t="str">
        <f>IF(OR($N982="",$T982=""),"",IFERROR(MAX(0,1-($N982+$T982+MAX(0,N($Q982)))/ROUND((INDEX(Config!$D$15:$D$18,MATCH($S982,Config!$B$15:$B$18,0))-INDEX(Config!$C$15:$C$18,MATCH($S982,Config!$B$15:$B$18,0)))*1440,0)),""))</f>
        <v/>
      </c>
      <c r="V982" s="5"/>
    </row>
    <row r="983" spans="1:22" x14ac:dyDescent="0.25">
      <c r="A983" s="11"/>
      <c r="B983" s="5"/>
      <c r="C983" s="6" t="str">
        <f>IFERROR(INDEX(Ejecutivos!$B$2:$B$100,MATCH(B983,Ejecutivos!$A$2:$A$100,0)),"")</f>
        <v/>
      </c>
      <c r="D983" s="12"/>
      <c r="E983" s="12"/>
      <c r="F983" s="12"/>
      <c r="G983" s="12"/>
      <c r="H983" s="5"/>
      <c r="I983" s="5"/>
      <c r="J983" s="5"/>
      <c r="K983" s="5"/>
      <c r="L983" s="18">
        <v>0</v>
      </c>
      <c r="M983" t="str">
        <f t="shared" si="63"/>
        <v/>
      </c>
      <c r="N983" t="str">
        <f>IF(OR($D983="",$S983=""),"",IFERROR(MAX(0,ROUND(($D983-INDEX(Config!$C$15:$C$18,MATCH($S983,Config!$B$15:$B$18,0)))*24*60,0)),""))</f>
        <v/>
      </c>
      <c r="O983" t="str">
        <f t="shared" si="64"/>
        <v/>
      </c>
      <c r="P983" t="str">
        <f t="shared" si="65"/>
        <v/>
      </c>
      <c r="Q983" t="str">
        <f>IF(OR($P983="",$S983=""),"",IFERROR($P983-INDEX(Config!$E$15:$E$18,MATCH($S983,Config!$B$15:$B$18,0)),""))</f>
        <v/>
      </c>
      <c r="R983" t="str">
        <f t="shared" si="66"/>
        <v/>
      </c>
      <c r="S983" s="6" t="str">
        <f>IF(OR($A983="",$C983=""),"",IFERROR(INDEX(Turno!$C$3:$V$32,MATCH($C983,Turno!$B$3:$B$32,0),MATCH(DAY($A983),Turno!$C$1:$V$1,0)),""))</f>
        <v/>
      </c>
      <c r="T983" t="str">
        <f>IF(OR($E983="",$S983=""),"",IFERROR(MAX(0,ROUND((INDEX(Config!$D$15:$D$18,MATCH($S983,Config!$B$15:$B$18,0))-$E983)*1440,0)),""))</f>
        <v/>
      </c>
      <c r="U983" s="13" t="str">
        <f>IF(OR($N983="",$T983=""),"",IFERROR(MAX(0,1-($N983+$T983+MAX(0,N($Q983)))/ROUND((INDEX(Config!$D$15:$D$18,MATCH($S983,Config!$B$15:$B$18,0))-INDEX(Config!$C$15:$C$18,MATCH($S983,Config!$B$15:$B$18,0)))*1440,0)),""))</f>
        <v/>
      </c>
      <c r="V983" s="5"/>
    </row>
    <row r="984" spans="1:22" x14ac:dyDescent="0.25">
      <c r="A984" s="11"/>
      <c r="B984" s="5"/>
      <c r="C984" s="6" t="str">
        <f>IFERROR(INDEX(Ejecutivos!$B$2:$B$100,MATCH(B984,Ejecutivos!$A$2:$A$100,0)),"")</f>
        <v/>
      </c>
      <c r="D984" s="12"/>
      <c r="E984" s="12"/>
      <c r="F984" s="12"/>
      <c r="G984" s="12"/>
      <c r="H984" s="5"/>
      <c r="I984" s="5"/>
      <c r="J984" s="5"/>
      <c r="K984" s="5"/>
      <c r="L984" s="18">
        <v>0</v>
      </c>
      <c r="M984" t="str">
        <f t="shared" si="63"/>
        <v/>
      </c>
      <c r="N984" t="str">
        <f>IF(OR($D984="",$S984=""),"",IFERROR(MAX(0,ROUND(($D984-INDEX(Config!$C$15:$C$18,MATCH($S984,Config!$B$15:$B$18,0)))*24*60,0)),""))</f>
        <v/>
      </c>
      <c r="O984" t="str">
        <f t="shared" si="64"/>
        <v/>
      </c>
      <c r="P984" t="str">
        <f t="shared" si="65"/>
        <v/>
      </c>
      <c r="Q984" t="str">
        <f>IF(OR($P984="",$S984=""),"",IFERROR($P984-INDEX(Config!$E$15:$E$18,MATCH($S984,Config!$B$15:$B$18,0)),""))</f>
        <v/>
      </c>
      <c r="R984" t="str">
        <f t="shared" si="66"/>
        <v/>
      </c>
      <c r="S984" s="6" t="str">
        <f>IF(OR($A984="",$C984=""),"",IFERROR(INDEX(Turno!$C$3:$V$32,MATCH($C984,Turno!$B$3:$B$32,0),MATCH(DAY($A984),Turno!$C$1:$V$1,0)),""))</f>
        <v/>
      </c>
      <c r="T984" t="str">
        <f>IF(OR($E984="",$S984=""),"",IFERROR(MAX(0,ROUND((INDEX(Config!$D$15:$D$18,MATCH($S984,Config!$B$15:$B$18,0))-$E984)*1440,0)),""))</f>
        <v/>
      </c>
      <c r="U984" s="13" t="str">
        <f>IF(OR($N984="",$T984=""),"",IFERROR(MAX(0,1-($N984+$T984+MAX(0,N($Q984)))/ROUND((INDEX(Config!$D$15:$D$18,MATCH($S984,Config!$B$15:$B$18,0))-INDEX(Config!$C$15:$C$18,MATCH($S984,Config!$B$15:$B$18,0)))*1440,0)),""))</f>
        <v/>
      </c>
      <c r="V984" s="5"/>
    </row>
    <row r="985" spans="1:22" x14ac:dyDescent="0.25">
      <c r="A985" s="11"/>
      <c r="B985" s="5"/>
      <c r="C985" s="6" t="str">
        <f>IFERROR(INDEX(Ejecutivos!$B$2:$B$100,MATCH(B985,Ejecutivos!$A$2:$A$100,0)),"")</f>
        <v/>
      </c>
      <c r="D985" s="12"/>
      <c r="E985" s="12"/>
      <c r="F985" s="12"/>
      <c r="G985" s="12"/>
      <c r="H985" s="5"/>
      <c r="I985" s="5"/>
      <c r="J985" s="5"/>
      <c r="K985" s="5"/>
      <c r="L985" s="18">
        <v>0</v>
      </c>
      <c r="M985" t="str">
        <f t="shared" si="63"/>
        <v/>
      </c>
      <c r="N985" t="str">
        <f>IF(OR($D985="",$S985=""),"",IFERROR(MAX(0,ROUND(($D985-INDEX(Config!$C$15:$C$18,MATCH($S985,Config!$B$15:$B$18,0)))*24*60,0)),""))</f>
        <v/>
      </c>
      <c r="O985" t="str">
        <f t="shared" si="64"/>
        <v/>
      </c>
      <c r="P985" t="str">
        <f t="shared" si="65"/>
        <v/>
      </c>
      <c r="Q985" t="str">
        <f>IF(OR($P985="",$S985=""),"",IFERROR($P985-INDEX(Config!$E$15:$E$18,MATCH($S985,Config!$B$15:$B$18,0)),""))</f>
        <v/>
      </c>
      <c r="R985" t="str">
        <f t="shared" si="66"/>
        <v/>
      </c>
      <c r="S985" s="6" t="str">
        <f>IF(OR($A985="",$C985=""),"",IFERROR(INDEX(Turno!$C$3:$V$32,MATCH($C985,Turno!$B$3:$B$32,0),MATCH(DAY($A985),Turno!$C$1:$V$1,0)),""))</f>
        <v/>
      </c>
      <c r="T985" t="str">
        <f>IF(OR($E985="",$S985=""),"",IFERROR(MAX(0,ROUND((INDEX(Config!$D$15:$D$18,MATCH($S985,Config!$B$15:$B$18,0))-$E985)*1440,0)),""))</f>
        <v/>
      </c>
      <c r="U985" s="13" t="str">
        <f>IF(OR($N985="",$T985=""),"",IFERROR(MAX(0,1-($N985+$T985+MAX(0,N($Q985)))/ROUND((INDEX(Config!$D$15:$D$18,MATCH($S985,Config!$B$15:$B$18,0))-INDEX(Config!$C$15:$C$18,MATCH($S985,Config!$B$15:$B$18,0)))*1440,0)),""))</f>
        <v/>
      </c>
      <c r="V985" s="5"/>
    </row>
    <row r="986" spans="1:22" x14ac:dyDescent="0.25">
      <c r="A986" s="11"/>
      <c r="B986" s="5"/>
      <c r="C986" s="6" t="str">
        <f>IFERROR(INDEX(Ejecutivos!$B$2:$B$100,MATCH(B986,Ejecutivos!$A$2:$A$100,0)),"")</f>
        <v/>
      </c>
      <c r="D986" s="12"/>
      <c r="E986" s="12"/>
      <c r="F986" s="12"/>
      <c r="G986" s="12"/>
      <c r="H986" s="5"/>
      <c r="I986" s="5"/>
      <c r="J986" s="5"/>
      <c r="K986" s="5"/>
      <c r="L986" s="18">
        <v>0</v>
      </c>
      <c r="M986" t="str">
        <f t="shared" si="63"/>
        <v/>
      </c>
      <c r="N986" t="str">
        <f>IF(OR($D986="",$S986=""),"",IFERROR(MAX(0,ROUND(($D986-INDEX(Config!$C$15:$C$18,MATCH($S986,Config!$B$15:$B$18,0)))*24*60,0)),""))</f>
        <v/>
      </c>
      <c r="O986" t="str">
        <f t="shared" si="64"/>
        <v/>
      </c>
      <c r="P986" t="str">
        <f t="shared" si="65"/>
        <v/>
      </c>
      <c r="Q986" t="str">
        <f>IF(OR($P986="",$S986=""),"",IFERROR($P986-INDEX(Config!$E$15:$E$18,MATCH($S986,Config!$B$15:$B$18,0)),""))</f>
        <v/>
      </c>
      <c r="R986" t="str">
        <f t="shared" si="66"/>
        <v/>
      </c>
      <c r="S986" s="6" t="str">
        <f>IF(OR($A986="",$C986=""),"",IFERROR(INDEX(Turno!$C$3:$V$32,MATCH($C986,Turno!$B$3:$B$32,0),MATCH(DAY($A986),Turno!$C$1:$V$1,0)),""))</f>
        <v/>
      </c>
      <c r="T986" t="str">
        <f>IF(OR($E986="",$S986=""),"",IFERROR(MAX(0,ROUND((INDEX(Config!$D$15:$D$18,MATCH($S986,Config!$B$15:$B$18,0))-$E986)*1440,0)),""))</f>
        <v/>
      </c>
      <c r="U986" s="13" t="str">
        <f>IF(OR($N986="",$T986=""),"",IFERROR(MAX(0,1-($N986+$T986+MAX(0,N($Q986)))/ROUND((INDEX(Config!$D$15:$D$18,MATCH($S986,Config!$B$15:$B$18,0))-INDEX(Config!$C$15:$C$18,MATCH($S986,Config!$B$15:$B$18,0)))*1440,0)),""))</f>
        <v/>
      </c>
      <c r="V986" s="5"/>
    </row>
    <row r="987" spans="1:22" x14ac:dyDescent="0.25">
      <c r="A987" s="11"/>
      <c r="B987" s="5"/>
      <c r="C987" s="6" t="str">
        <f>IFERROR(INDEX(Ejecutivos!$B$2:$B$100,MATCH(B987,Ejecutivos!$A$2:$A$100,0)),"")</f>
        <v/>
      </c>
      <c r="D987" s="12"/>
      <c r="E987" s="12"/>
      <c r="F987" s="12"/>
      <c r="G987" s="12"/>
      <c r="H987" s="5"/>
      <c r="I987" s="5"/>
      <c r="J987" s="5"/>
      <c r="K987" s="5"/>
      <c r="L987" s="18">
        <v>0</v>
      </c>
      <c r="M987" t="str">
        <f t="shared" si="63"/>
        <v/>
      </c>
      <c r="N987" t="str">
        <f>IF(OR($D987="",$S987=""),"",IFERROR(MAX(0,ROUND(($D987-INDEX(Config!$C$15:$C$18,MATCH($S987,Config!$B$15:$B$18,0)))*24*60,0)),""))</f>
        <v/>
      </c>
      <c r="O987" t="str">
        <f t="shared" si="64"/>
        <v/>
      </c>
      <c r="P987" t="str">
        <f t="shared" si="65"/>
        <v/>
      </c>
      <c r="Q987" t="str">
        <f>IF(OR($P987="",$S987=""),"",IFERROR($P987-INDEX(Config!$E$15:$E$18,MATCH($S987,Config!$B$15:$B$18,0)),""))</f>
        <v/>
      </c>
      <c r="R987" t="str">
        <f t="shared" si="66"/>
        <v/>
      </c>
      <c r="S987" s="6" t="str">
        <f>IF(OR($A987="",$C987=""),"",IFERROR(INDEX(Turno!$C$3:$V$32,MATCH($C987,Turno!$B$3:$B$32,0),MATCH(DAY($A987),Turno!$C$1:$V$1,0)),""))</f>
        <v/>
      </c>
      <c r="T987" t="str">
        <f>IF(OR($E987="",$S987=""),"",IFERROR(MAX(0,ROUND((INDEX(Config!$D$15:$D$18,MATCH($S987,Config!$B$15:$B$18,0))-$E987)*1440,0)),""))</f>
        <v/>
      </c>
      <c r="U987" s="13" t="str">
        <f>IF(OR($N987="",$T987=""),"",IFERROR(MAX(0,1-($N987+$T987+MAX(0,N($Q987)))/ROUND((INDEX(Config!$D$15:$D$18,MATCH($S987,Config!$B$15:$B$18,0))-INDEX(Config!$C$15:$C$18,MATCH($S987,Config!$B$15:$B$18,0)))*1440,0)),""))</f>
        <v/>
      </c>
      <c r="V987" s="5"/>
    </row>
    <row r="988" spans="1:22" x14ac:dyDescent="0.25">
      <c r="A988" s="11"/>
      <c r="B988" s="5"/>
      <c r="C988" s="6" t="str">
        <f>IFERROR(INDEX(Ejecutivos!$B$2:$B$100,MATCH(B988,Ejecutivos!$A$2:$A$100,0)),"")</f>
        <v/>
      </c>
      <c r="D988" s="12"/>
      <c r="E988" s="12"/>
      <c r="F988" s="12"/>
      <c r="G988" s="12"/>
      <c r="H988" s="5"/>
      <c r="I988" s="5"/>
      <c r="J988" s="5"/>
      <c r="K988" s="5"/>
      <c r="L988" s="18">
        <v>0</v>
      </c>
      <c r="M988" t="str">
        <f t="shared" si="63"/>
        <v/>
      </c>
      <c r="N988" t="str">
        <f>IF(OR($D988="",$S988=""),"",IFERROR(MAX(0,ROUND(($D988-INDEX(Config!$C$15:$C$18,MATCH($S988,Config!$B$15:$B$18,0)))*24*60,0)),""))</f>
        <v/>
      </c>
      <c r="O988" t="str">
        <f t="shared" si="64"/>
        <v/>
      </c>
      <c r="P988" t="str">
        <f t="shared" si="65"/>
        <v/>
      </c>
      <c r="Q988" t="str">
        <f>IF(OR($P988="",$S988=""),"",IFERROR($P988-INDEX(Config!$E$15:$E$18,MATCH($S988,Config!$B$15:$B$18,0)),""))</f>
        <v/>
      </c>
      <c r="R988" t="str">
        <f t="shared" si="66"/>
        <v/>
      </c>
      <c r="S988" s="6" t="str">
        <f>IF(OR($A988="",$C988=""),"",IFERROR(INDEX(Turno!$C$3:$V$32,MATCH($C988,Turno!$B$3:$B$32,0),MATCH(DAY($A988),Turno!$C$1:$V$1,0)),""))</f>
        <v/>
      </c>
      <c r="T988" t="str">
        <f>IF(OR($E988="",$S988=""),"",IFERROR(MAX(0,ROUND((INDEX(Config!$D$15:$D$18,MATCH($S988,Config!$B$15:$B$18,0))-$E988)*1440,0)),""))</f>
        <v/>
      </c>
      <c r="U988" s="13" t="str">
        <f>IF(OR($N988="",$T988=""),"",IFERROR(MAX(0,1-($N988+$T988+MAX(0,N($Q988)))/ROUND((INDEX(Config!$D$15:$D$18,MATCH($S988,Config!$B$15:$B$18,0))-INDEX(Config!$C$15:$C$18,MATCH($S988,Config!$B$15:$B$18,0)))*1440,0)),""))</f>
        <v/>
      </c>
      <c r="V988" s="5"/>
    </row>
    <row r="989" spans="1:22" x14ac:dyDescent="0.25">
      <c r="A989" s="11"/>
      <c r="B989" s="5"/>
      <c r="C989" s="6" t="str">
        <f>IFERROR(INDEX(Ejecutivos!$B$2:$B$100,MATCH(B989,Ejecutivos!$A$2:$A$100,0)),"")</f>
        <v/>
      </c>
      <c r="D989" s="12"/>
      <c r="E989" s="12"/>
      <c r="F989" s="12"/>
      <c r="G989" s="12"/>
      <c r="H989" s="5"/>
      <c r="I989" s="5"/>
      <c r="J989" s="5"/>
      <c r="K989" s="5"/>
      <c r="L989" s="18">
        <v>0</v>
      </c>
      <c r="M989" t="str">
        <f t="shared" si="63"/>
        <v/>
      </c>
      <c r="N989" t="str">
        <f>IF(OR($D989="",$S989=""),"",IFERROR(MAX(0,ROUND(($D989-INDEX(Config!$C$15:$C$18,MATCH($S989,Config!$B$15:$B$18,0)))*24*60,0)),""))</f>
        <v/>
      </c>
      <c r="O989" t="str">
        <f t="shared" si="64"/>
        <v/>
      </c>
      <c r="P989" t="str">
        <f t="shared" si="65"/>
        <v/>
      </c>
      <c r="Q989" t="str">
        <f>IF(OR($P989="",$S989=""),"",IFERROR($P989-INDEX(Config!$E$15:$E$18,MATCH($S989,Config!$B$15:$B$18,0)),""))</f>
        <v/>
      </c>
      <c r="R989" t="str">
        <f t="shared" si="66"/>
        <v/>
      </c>
      <c r="S989" s="6" t="str">
        <f>IF(OR($A989="",$C989=""),"",IFERROR(INDEX(Turno!$C$3:$V$32,MATCH($C989,Turno!$B$3:$B$32,0),MATCH(DAY($A989),Turno!$C$1:$V$1,0)),""))</f>
        <v/>
      </c>
      <c r="T989" t="str">
        <f>IF(OR($E989="",$S989=""),"",IFERROR(MAX(0,ROUND((INDEX(Config!$D$15:$D$18,MATCH($S989,Config!$B$15:$B$18,0))-$E989)*1440,0)),""))</f>
        <v/>
      </c>
      <c r="U989" s="13" t="str">
        <f>IF(OR($N989="",$T989=""),"",IFERROR(MAX(0,1-($N989+$T989+MAX(0,N($Q989)))/ROUND((INDEX(Config!$D$15:$D$18,MATCH($S989,Config!$B$15:$B$18,0))-INDEX(Config!$C$15:$C$18,MATCH($S989,Config!$B$15:$B$18,0)))*1440,0)),""))</f>
        <v/>
      </c>
      <c r="V989" s="5"/>
    </row>
    <row r="990" spans="1:22" x14ac:dyDescent="0.25">
      <c r="A990" s="11"/>
      <c r="B990" s="5"/>
      <c r="C990" s="6" t="str">
        <f>IFERROR(INDEX(Ejecutivos!$B$2:$B$100,MATCH(B990,Ejecutivos!$A$2:$A$100,0)),"")</f>
        <v/>
      </c>
      <c r="D990" s="12"/>
      <c r="E990" s="12"/>
      <c r="F990" s="12"/>
      <c r="G990" s="12"/>
      <c r="H990" s="5"/>
      <c r="I990" s="5"/>
      <c r="J990" s="5"/>
      <c r="K990" s="5"/>
      <c r="L990" s="18">
        <v>0</v>
      </c>
      <c r="M990" t="str">
        <f t="shared" si="63"/>
        <v/>
      </c>
      <c r="N990" t="str">
        <f>IF(OR($D990="",$S990=""),"",IFERROR(MAX(0,ROUND(($D990-INDEX(Config!$C$15:$C$18,MATCH($S990,Config!$B$15:$B$18,0)))*24*60,0)),""))</f>
        <v/>
      </c>
      <c r="O990" t="str">
        <f t="shared" si="64"/>
        <v/>
      </c>
      <c r="P990" t="str">
        <f t="shared" si="65"/>
        <v/>
      </c>
      <c r="Q990" t="str">
        <f>IF(OR($P990="",$S990=""),"",IFERROR($P990-INDEX(Config!$E$15:$E$18,MATCH($S990,Config!$B$15:$B$18,0)),""))</f>
        <v/>
      </c>
      <c r="R990" t="str">
        <f t="shared" si="66"/>
        <v/>
      </c>
      <c r="S990" s="6" t="str">
        <f>IF(OR($A990="",$C990=""),"",IFERROR(INDEX(Turno!$C$3:$V$32,MATCH($C990,Turno!$B$3:$B$32,0),MATCH(DAY($A990),Turno!$C$1:$V$1,0)),""))</f>
        <v/>
      </c>
      <c r="T990" t="str">
        <f>IF(OR($E990="",$S990=""),"",IFERROR(MAX(0,ROUND((INDEX(Config!$D$15:$D$18,MATCH($S990,Config!$B$15:$B$18,0))-$E990)*1440,0)),""))</f>
        <v/>
      </c>
      <c r="U990" s="13" t="str">
        <f>IF(OR($N990="",$T990=""),"",IFERROR(MAX(0,1-($N990+$T990+MAX(0,N($Q990)))/ROUND((INDEX(Config!$D$15:$D$18,MATCH($S990,Config!$B$15:$B$18,0))-INDEX(Config!$C$15:$C$18,MATCH($S990,Config!$B$15:$B$18,0)))*1440,0)),""))</f>
        <v/>
      </c>
      <c r="V990" s="5"/>
    </row>
    <row r="991" spans="1:22" x14ac:dyDescent="0.25">
      <c r="A991" s="11"/>
      <c r="B991" s="5"/>
      <c r="C991" s="6" t="str">
        <f>IFERROR(INDEX(Ejecutivos!$B$2:$B$100,MATCH(B991,Ejecutivos!$A$2:$A$100,0)),"")</f>
        <v/>
      </c>
      <c r="D991" s="12"/>
      <c r="E991" s="12"/>
      <c r="F991" s="12"/>
      <c r="G991" s="12"/>
      <c r="H991" s="5"/>
      <c r="I991" s="5"/>
      <c r="J991" s="5"/>
      <c r="K991" s="5"/>
      <c r="L991" s="18">
        <v>0</v>
      </c>
      <c r="M991" t="str">
        <f t="shared" si="63"/>
        <v/>
      </c>
      <c r="N991" t="str">
        <f>IF(OR($D991="",$S991=""),"",IFERROR(MAX(0,ROUND(($D991-INDEX(Config!$C$15:$C$18,MATCH($S991,Config!$B$15:$B$18,0)))*24*60,0)),""))</f>
        <v/>
      </c>
      <c r="O991" t="str">
        <f t="shared" si="64"/>
        <v/>
      </c>
      <c r="P991" t="str">
        <f t="shared" si="65"/>
        <v/>
      </c>
      <c r="Q991" t="str">
        <f>IF(OR($P991="",$S991=""),"",IFERROR($P991-INDEX(Config!$E$15:$E$18,MATCH($S991,Config!$B$15:$B$18,0)),""))</f>
        <v/>
      </c>
      <c r="R991" t="str">
        <f t="shared" si="66"/>
        <v/>
      </c>
      <c r="S991" s="6" t="str">
        <f>IF(OR($A991="",$C991=""),"",IFERROR(INDEX(Turno!$C$3:$V$32,MATCH($C991,Turno!$B$3:$B$32,0),MATCH(DAY($A991),Turno!$C$1:$V$1,0)),""))</f>
        <v/>
      </c>
      <c r="T991" t="str">
        <f>IF(OR($E991="",$S991=""),"",IFERROR(MAX(0,ROUND((INDEX(Config!$D$15:$D$18,MATCH($S991,Config!$B$15:$B$18,0))-$E991)*1440,0)),""))</f>
        <v/>
      </c>
      <c r="U991" s="13" t="str">
        <f>IF(OR($N991="",$T991=""),"",IFERROR(MAX(0,1-($N991+$T991+MAX(0,N($Q991)))/ROUND((INDEX(Config!$D$15:$D$18,MATCH($S991,Config!$B$15:$B$18,0))-INDEX(Config!$C$15:$C$18,MATCH($S991,Config!$B$15:$B$18,0)))*1440,0)),""))</f>
        <v/>
      </c>
      <c r="V991" s="5"/>
    </row>
    <row r="992" spans="1:22" x14ac:dyDescent="0.25">
      <c r="A992" s="11"/>
      <c r="B992" s="5"/>
      <c r="C992" s="6" t="str">
        <f>IFERROR(INDEX(Ejecutivos!$B$2:$B$100,MATCH(B992,Ejecutivos!$A$2:$A$100,0)),"")</f>
        <v/>
      </c>
      <c r="D992" s="12"/>
      <c r="E992" s="12"/>
      <c r="F992" s="12"/>
      <c r="G992" s="12"/>
      <c r="H992" s="5"/>
      <c r="I992" s="5"/>
      <c r="J992" s="5"/>
      <c r="K992" s="5"/>
      <c r="L992" s="18">
        <v>0</v>
      </c>
      <c r="M992" t="str">
        <f t="shared" si="63"/>
        <v/>
      </c>
      <c r="N992" t="str">
        <f>IF(OR($D992="",$S992=""),"",IFERROR(MAX(0,ROUND(($D992-INDEX(Config!$C$15:$C$18,MATCH($S992,Config!$B$15:$B$18,0)))*24*60,0)),""))</f>
        <v/>
      </c>
      <c r="O992" t="str">
        <f t="shared" si="64"/>
        <v/>
      </c>
      <c r="P992" t="str">
        <f t="shared" si="65"/>
        <v/>
      </c>
      <c r="Q992" t="str">
        <f>IF(OR($P992="",$S992=""),"",IFERROR($P992-INDEX(Config!$E$15:$E$18,MATCH($S992,Config!$B$15:$B$18,0)),""))</f>
        <v/>
      </c>
      <c r="R992" t="str">
        <f t="shared" si="66"/>
        <v/>
      </c>
      <c r="S992" s="6" t="str">
        <f>IF(OR($A992="",$C992=""),"",IFERROR(INDEX(Turno!$C$3:$V$32,MATCH($C992,Turno!$B$3:$B$32,0),MATCH(DAY($A992),Turno!$C$1:$V$1,0)),""))</f>
        <v/>
      </c>
      <c r="T992" t="str">
        <f>IF(OR($E992="",$S992=""),"",IFERROR(MAX(0,ROUND((INDEX(Config!$D$15:$D$18,MATCH($S992,Config!$B$15:$B$18,0))-$E992)*1440,0)),""))</f>
        <v/>
      </c>
      <c r="U992" s="13" t="str">
        <f>IF(OR($N992="",$T992=""),"",IFERROR(MAX(0,1-($N992+$T992+MAX(0,N($Q992)))/ROUND((INDEX(Config!$D$15:$D$18,MATCH($S992,Config!$B$15:$B$18,0))-INDEX(Config!$C$15:$C$18,MATCH($S992,Config!$B$15:$B$18,0)))*1440,0)),""))</f>
        <v/>
      </c>
      <c r="V992" s="5"/>
    </row>
    <row r="993" spans="1:22" x14ac:dyDescent="0.25">
      <c r="A993" s="11"/>
      <c r="B993" s="5"/>
      <c r="C993" s="6" t="str">
        <f>IFERROR(INDEX(Ejecutivos!$B$2:$B$100,MATCH(B993,Ejecutivos!$A$2:$A$100,0)),"")</f>
        <v/>
      </c>
      <c r="D993" s="12"/>
      <c r="E993" s="12"/>
      <c r="F993" s="12"/>
      <c r="G993" s="12"/>
      <c r="H993" s="5"/>
      <c r="I993" s="5"/>
      <c r="J993" s="5"/>
      <c r="K993" s="5"/>
      <c r="L993" s="18">
        <v>0</v>
      </c>
      <c r="M993" t="str">
        <f t="shared" si="63"/>
        <v/>
      </c>
      <c r="N993" t="str">
        <f>IF(OR($D993="",$S993=""),"",IFERROR(MAX(0,ROUND(($D993-INDEX(Config!$C$15:$C$18,MATCH($S993,Config!$B$15:$B$18,0)))*24*60,0)),""))</f>
        <v/>
      </c>
      <c r="O993" t="str">
        <f t="shared" si="64"/>
        <v/>
      </c>
      <c r="P993" t="str">
        <f t="shared" si="65"/>
        <v/>
      </c>
      <c r="Q993" t="str">
        <f>IF(OR($P993="",$S993=""),"",IFERROR($P993-INDEX(Config!$E$15:$E$18,MATCH($S993,Config!$B$15:$B$18,0)),""))</f>
        <v/>
      </c>
      <c r="R993" t="str">
        <f t="shared" si="66"/>
        <v/>
      </c>
      <c r="S993" s="6" t="str">
        <f>IF(OR($A993="",$C993=""),"",IFERROR(INDEX(Turno!$C$3:$V$32,MATCH($C993,Turno!$B$3:$B$32,0),MATCH(DAY($A993),Turno!$C$1:$V$1,0)),""))</f>
        <v/>
      </c>
      <c r="T993" t="str">
        <f>IF(OR($E993="",$S993=""),"",IFERROR(MAX(0,ROUND((INDEX(Config!$D$15:$D$18,MATCH($S993,Config!$B$15:$B$18,0))-$E993)*1440,0)),""))</f>
        <v/>
      </c>
      <c r="U993" s="13" t="str">
        <f>IF(OR($N993="",$T993=""),"",IFERROR(MAX(0,1-($N993+$T993+MAX(0,N($Q993)))/ROUND((INDEX(Config!$D$15:$D$18,MATCH($S993,Config!$B$15:$B$18,0))-INDEX(Config!$C$15:$C$18,MATCH($S993,Config!$B$15:$B$18,0)))*1440,0)),""))</f>
        <v/>
      </c>
      <c r="V993" s="5"/>
    </row>
    <row r="994" spans="1:22" x14ac:dyDescent="0.25">
      <c r="A994" s="11"/>
      <c r="B994" s="5"/>
      <c r="C994" s="6" t="str">
        <f>IFERROR(INDEX(Ejecutivos!$B$2:$B$100,MATCH(B994,Ejecutivos!$A$2:$A$100,0)),"")</f>
        <v/>
      </c>
      <c r="D994" s="12"/>
      <c r="E994" s="12"/>
      <c r="F994" s="12"/>
      <c r="G994" s="12"/>
      <c r="H994" s="5"/>
      <c r="I994" s="5"/>
      <c r="J994" s="5"/>
      <c r="K994" s="5"/>
      <c r="L994" s="18">
        <v>0</v>
      </c>
      <c r="M994" t="str">
        <f t="shared" si="63"/>
        <v/>
      </c>
      <c r="N994" t="str">
        <f>IF(OR($D994="",$S994=""),"",IFERROR(MAX(0,ROUND(($D994-INDEX(Config!$C$15:$C$18,MATCH($S994,Config!$B$15:$B$18,0)))*24*60,0)),""))</f>
        <v/>
      </c>
      <c r="O994" t="str">
        <f t="shared" si="64"/>
        <v/>
      </c>
      <c r="P994" t="str">
        <f t="shared" si="65"/>
        <v/>
      </c>
      <c r="Q994" t="str">
        <f>IF(OR($P994="",$S994=""),"",IFERROR($P994-INDEX(Config!$E$15:$E$18,MATCH($S994,Config!$B$15:$B$18,0)),""))</f>
        <v/>
      </c>
      <c r="R994" t="str">
        <f t="shared" si="66"/>
        <v/>
      </c>
      <c r="S994" s="6" t="str">
        <f>IF(OR($A994="",$C994=""),"",IFERROR(INDEX(Turno!$C$3:$V$32,MATCH($C994,Turno!$B$3:$B$32,0),MATCH(DAY($A994),Turno!$C$1:$V$1,0)),""))</f>
        <v/>
      </c>
      <c r="T994" t="str">
        <f>IF(OR($E994="",$S994=""),"",IFERROR(MAX(0,ROUND((INDEX(Config!$D$15:$D$18,MATCH($S994,Config!$B$15:$B$18,0))-$E994)*1440,0)),""))</f>
        <v/>
      </c>
      <c r="U994" s="13" t="str">
        <f>IF(OR($N994="",$T994=""),"",IFERROR(MAX(0,1-($N994+$T994+MAX(0,N($Q994)))/ROUND((INDEX(Config!$D$15:$D$18,MATCH($S994,Config!$B$15:$B$18,0))-INDEX(Config!$C$15:$C$18,MATCH($S994,Config!$B$15:$B$18,0)))*1440,0)),""))</f>
        <v/>
      </c>
      <c r="V994" s="5"/>
    </row>
    <row r="995" spans="1:22" x14ac:dyDescent="0.25">
      <c r="A995" s="11"/>
      <c r="B995" s="5"/>
      <c r="C995" s="6" t="str">
        <f>IFERROR(INDEX(Ejecutivos!$B$2:$B$100,MATCH(B995,Ejecutivos!$A$2:$A$100,0)),"")</f>
        <v/>
      </c>
      <c r="D995" s="12"/>
      <c r="E995" s="12"/>
      <c r="F995" s="12"/>
      <c r="G995" s="12"/>
      <c r="H995" s="5"/>
      <c r="I995" s="5"/>
      <c r="J995" s="5"/>
      <c r="K995" s="5"/>
      <c r="L995" s="18">
        <v>0</v>
      </c>
      <c r="M995" t="str">
        <f t="shared" si="63"/>
        <v/>
      </c>
      <c r="N995" t="str">
        <f>IF(OR($D995="",$S995=""),"",IFERROR(MAX(0,ROUND(($D995-INDEX(Config!$C$15:$C$18,MATCH($S995,Config!$B$15:$B$18,0)))*24*60,0)),""))</f>
        <v/>
      </c>
      <c r="O995" t="str">
        <f t="shared" si="64"/>
        <v/>
      </c>
      <c r="P995" t="str">
        <f t="shared" si="65"/>
        <v/>
      </c>
      <c r="Q995" t="str">
        <f>IF(OR($P995="",$S995=""),"",IFERROR($P995-INDEX(Config!$E$15:$E$18,MATCH($S995,Config!$B$15:$B$18,0)),""))</f>
        <v/>
      </c>
      <c r="R995" t="str">
        <f t="shared" si="66"/>
        <v/>
      </c>
      <c r="S995" s="6" t="str">
        <f>IF(OR($A995="",$C995=""),"",IFERROR(INDEX(Turno!$C$3:$V$32,MATCH($C995,Turno!$B$3:$B$32,0),MATCH(DAY($A995),Turno!$C$1:$V$1,0)),""))</f>
        <v/>
      </c>
      <c r="T995" t="str">
        <f>IF(OR($E995="",$S995=""),"",IFERROR(MAX(0,ROUND((INDEX(Config!$D$15:$D$18,MATCH($S995,Config!$B$15:$B$18,0))-$E995)*1440,0)),""))</f>
        <v/>
      </c>
      <c r="U995" s="13" t="str">
        <f>IF(OR($N995="",$T995=""),"",IFERROR(MAX(0,1-($N995+$T995+MAX(0,N($Q995)))/ROUND((INDEX(Config!$D$15:$D$18,MATCH($S995,Config!$B$15:$B$18,0))-INDEX(Config!$C$15:$C$18,MATCH($S995,Config!$B$15:$B$18,0)))*1440,0)),""))</f>
        <v/>
      </c>
      <c r="V995" s="5"/>
    </row>
    <row r="996" spans="1:22" x14ac:dyDescent="0.25">
      <c r="A996" s="11"/>
      <c r="B996" s="5"/>
      <c r="C996" s="6" t="str">
        <f>IFERROR(INDEX(Ejecutivos!$B$2:$B$100,MATCH(B996,Ejecutivos!$A$2:$A$100,0)),"")</f>
        <v/>
      </c>
      <c r="D996" s="12"/>
      <c r="E996" s="12"/>
      <c r="F996" s="12"/>
      <c r="G996" s="12"/>
      <c r="H996" s="5"/>
      <c r="I996" s="5"/>
      <c r="J996" s="5"/>
      <c r="K996" s="5"/>
      <c r="L996" s="18">
        <v>0</v>
      </c>
      <c r="M996" t="str">
        <f t="shared" si="63"/>
        <v/>
      </c>
      <c r="N996" t="str">
        <f>IF(OR($D996="",$S996=""),"",IFERROR(MAX(0,ROUND(($D996-INDEX(Config!$C$15:$C$18,MATCH($S996,Config!$B$15:$B$18,0)))*24*60,0)),""))</f>
        <v/>
      </c>
      <c r="O996" t="str">
        <f t="shared" si="64"/>
        <v/>
      </c>
      <c r="P996" t="str">
        <f t="shared" si="65"/>
        <v/>
      </c>
      <c r="Q996" t="str">
        <f>IF(OR($P996="",$S996=""),"",IFERROR($P996-INDEX(Config!$E$15:$E$18,MATCH($S996,Config!$B$15:$B$18,0)),""))</f>
        <v/>
      </c>
      <c r="R996" t="str">
        <f t="shared" si="66"/>
        <v/>
      </c>
      <c r="S996" s="6" t="str">
        <f>IF(OR($A996="",$C996=""),"",IFERROR(INDEX(Turno!$C$3:$V$32,MATCH($C996,Turno!$B$3:$B$32,0),MATCH(DAY($A996),Turno!$C$1:$V$1,0)),""))</f>
        <v/>
      </c>
      <c r="T996" t="str">
        <f>IF(OR($E996="",$S996=""),"",IFERROR(MAX(0,ROUND((INDEX(Config!$D$15:$D$18,MATCH($S996,Config!$B$15:$B$18,0))-$E996)*1440,0)),""))</f>
        <v/>
      </c>
      <c r="U996" s="13" t="str">
        <f>IF(OR($N996="",$T996=""),"",IFERROR(MAX(0,1-($N996+$T996+MAX(0,N($Q996)))/ROUND((INDEX(Config!$D$15:$D$18,MATCH($S996,Config!$B$15:$B$18,0))-INDEX(Config!$C$15:$C$18,MATCH($S996,Config!$B$15:$B$18,0)))*1440,0)),""))</f>
        <v/>
      </c>
      <c r="V996" s="5"/>
    </row>
    <row r="997" spans="1:22" x14ac:dyDescent="0.25">
      <c r="A997" s="11"/>
      <c r="B997" s="5"/>
      <c r="C997" s="6" t="str">
        <f>IFERROR(INDEX(Ejecutivos!$B$2:$B$100,MATCH(B997,Ejecutivos!$A$2:$A$100,0)),"")</f>
        <v/>
      </c>
      <c r="D997" s="12"/>
      <c r="E997" s="12"/>
      <c r="F997" s="12"/>
      <c r="G997" s="12"/>
      <c r="H997" s="5"/>
      <c r="I997" s="5"/>
      <c r="J997" s="5"/>
      <c r="K997" s="5"/>
      <c r="L997" s="18">
        <v>0</v>
      </c>
      <c r="M997" t="str">
        <f t="shared" si="63"/>
        <v/>
      </c>
      <c r="N997" t="str">
        <f>IF(OR($D997="",$S997=""),"",IFERROR(MAX(0,ROUND(($D997-INDEX(Config!$C$15:$C$18,MATCH($S997,Config!$B$15:$B$18,0)))*24*60,0)),""))</f>
        <v/>
      </c>
      <c r="O997" t="str">
        <f t="shared" si="64"/>
        <v/>
      </c>
      <c r="P997" t="str">
        <f t="shared" si="65"/>
        <v/>
      </c>
      <c r="Q997" t="str">
        <f>IF(OR($P997="",$S997=""),"",IFERROR($P997-INDEX(Config!$E$15:$E$18,MATCH($S997,Config!$B$15:$B$18,0)),""))</f>
        <v/>
      </c>
      <c r="R997" t="str">
        <f t="shared" si="66"/>
        <v/>
      </c>
      <c r="S997" s="6" t="str">
        <f>IF(OR($A997="",$C997=""),"",IFERROR(INDEX(Turno!$C$3:$V$32,MATCH($C997,Turno!$B$3:$B$32,0),MATCH(DAY($A997),Turno!$C$1:$V$1,0)),""))</f>
        <v/>
      </c>
      <c r="T997" t="str">
        <f>IF(OR($E997="",$S997=""),"",IFERROR(MAX(0,ROUND((INDEX(Config!$D$15:$D$18,MATCH($S997,Config!$B$15:$B$18,0))-$E997)*1440,0)),""))</f>
        <v/>
      </c>
      <c r="U997" s="13" t="str">
        <f>IF(OR($N997="",$T997=""),"",IFERROR(MAX(0,1-($N997+$T997+MAX(0,N($Q997)))/ROUND((INDEX(Config!$D$15:$D$18,MATCH($S997,Config!$B$15:$B$18,0))-INDEX(Config!$C$15:$C$18,MATCH($S997,Config!$B$15:$B$18,0)))*1440,0)),""))</f>
        <v/>
      </c>
      <c r="V997" s="5"/>
    </row>
    <row r="998" spans="1:22" x14ac:dyDescent="0.25">
      <c r="A998" s="11"/>
      <c r="B998" s="5"/>
      <c r="C998" s="6" t="str">
        <f>IFERROR(INDEX(Ejecutivos!$B$2:$B$100,MATCH(B998,Ejecutivos!$A$2:$A$100,0)),"")</f>
        <v/>
      </c>
      <c r="D998" s="12"/>
      <c r="E998" s="12"/>
      <c r="F998" s="12"/>
      <c r="G998" s="12"/>
      <c r="H998" s="5"/>
      <c r="I998" s="5"/>
      <c r="J998" s="5"/>
      <c r="K998" s="5"/>
      <c r="L998" s="18">
        <v>0</v>
      </c>
      <c r="M998" t="str">
        <f t="shared" si="63"/>
        <v/>
      </c>
      <c r="N998" t="str">
        <f>IF(OR($D998="",$S998=""),"",IFERROR(MAX(0,ROUND(($D998-INDEX(Config!$C$15:$C$18,MATCH($S998,Config!$B$15:$B$18,0)))*24*60,0)),""))</f>
        <v/>
      </c>
      <c r="O998" t="str">
        <f t="shared" si="64"/>
        <v/>
      </c>
      <c r="P998" t="str">
        <f t="shared" si="65"/>
        <v/>
      </c>
      <c r="Q998" t="str">
        <f>IF(OR($P998="",$S998=""),"",IFERROR($P998-INDEX(Config!$E$15:$E$18,MATCH($S998,Config!$B$15:$B$18,0)),""))</f>
        <v/>
      </c>
      <c r="R998" t="str">
        <f t="shared" si="66"/>
        <v/>
      </c>
      <c r="S998" s="6" t="str">
        <f>IF(OR($A998="",$C998=""),"",IFERROR(INDEX(Turno!$C$3:$V$32,MATCH($C998,Turno!$B$3:$B$32,0),MATCH(DAY($A998),Turno!$C$1:$V$1,0)),""))</f>
        <v/>
      </c>
      <c r="T998" t="str">
        <f>IF(OR($E998="",$S998=""),"",IFERROR(MAX(0,ROUND((INDEX(Config!$D$15:$D$18,MATCH($S998,Config!$B$15:$B$18,0))-$E998)*1440,0)),""))</f>
        <v/>
      </c>
      <c r="U998" s="13" t="str">
        <f>IF(OR($N998="",$T998=""),"",IFERROR(MAX(0,1-($N998+$T998+MAX(0,N($Q998)))/ROUND((INDEX(Config!$D$15:$D$18,MATCH($S998,Config!$B$15:$B$18,0))-INDEX(Config!$C$15:$C$18,MATCH($S998,Config!$B$15:$B$18,0)))*1440,0)),""))</f>
        <v/>
      </c>
      <c r="V998" s="5"/>
    </row>
    <row r="999" spans="1:22" x14ac:dyDescent="0.25">
      <c r="A999" s="11"/>
      <c r="B999" s="5"/>
      <c r="C999" s="6" t="str">
        <f>IFERROR(INDEX(Ejecutivos!$B$2:$B$100,MATCH(B999,Ejecutivos!$A$2:$A$100,0)),"")</f>
        <v/>
      </c>
      <c r="D999" s="12"/>
      <c r="E999" s="12"/>
      <c r="F999" s="12"/>
      <c r="G999" s="12"/>
      <c r="H999" s="5"/>
      <c r="I999" s="5"/>
      <c r="J999" s="5"/>
      <c r="K999" s="5"/>
      <c r="L999" s="18">
        <v>0</v>
      </c>
      <c r="M999" t="str">
        <f t="shared" si="63"/>
        <v/>
      </c>
      <c r="N999" t="str">
        <f>IF(OR($D999="",$S999=""),"",IFERROR(MAX(0,ROUND(($D999-INDEX(Config!$C$15:$C$18,MATCH($S999,Config!$B$15:$B$18,0)))*24*60,0)),""))</f>
        <v/>
      </c>
      <c r="O999" t="str">
        <f t="shared" si="64"/>
        <v/>
      </c>
      <c r="P999" t="str">
        <f t="shared" si="65"/>
        <v/>
      </c>
      <c r="Q999" t="str">
        <f>IF(OR($P999="",$S999=""),"",IFERROR($P999-INDEX(Config!$E$15:$E$18,MATCH($S999,Config!$B$15:$B$18,0)),""))</f>
        <v/>
      </c>
      <c r="R999" t="str">
        <f t="shared" si="66"/>
        <v/>
      </c>
      <c r="S999" s="6" t="str">
        <f>IF(OR($A999="",$C999=""),"",IFERROR(INDEX(Turno!$C$3:$V$32,MATCH($C999,Turno!$B$3:$B$32,0),MATCH(DAY($A999),Turno!$C$1:$V$1,0)),""))</f>
        <v/>
      </c>
      <c r="T999" t="str">
        <f>IF(OR($E999="",$S999=""),"",IFERROR(MAX(0,ROUND((INDEX(Config!$D$15:$D$18,MATCH($S999,Config!$B$15:$B$18,0))-$E999)*1440,0)),""))</f>
        <v/>
      </c>
      <c r="U999" s="13" t="str">
        <f>IF(OR($N999="",$T999=""),"",IFERROR(MAX(0,1-($N999+$T999+MAX(0,N($Q999)))/ROUND((INDEX(Config!$D$15:$D$18,MATCH($S999,Config!$B$15:$B$18,0))-INDEX(Config!$C$15:$C$18,MATCH($S999,Config!$B$15:$B$18,0)))*1440,0)),""))</f>
        <v/>
      </c>
      <c r="V999" s="5"/>
    </row>
    <row r="1000" spans="1:22" x14ac:dyDescent="0.25">
      <c r="A1000" s="11"/>
      <c r="B1000" s="5"/>
      <c r="C1000" s="6" t="str">
        <f>IFERROR(INDEX(Ejecutivos!$B$2:$B$100,MATCH(B1000,Ejecutivos!$A$2:$A$100,0)),"")</f>
        <v/>
      </c>
      <c r="D1000" s="12"/>
      <c r="E1000" s="12"/>
      <c r="F1000" s="12"/>
      <c r="G1000" s="12"/>
      <c r="H1000" s="5"/>
      <c r="I1000" s="5"/>
      <c r="J1000" s="5"/>
      <c r="K1000" s="5"/>
      <c r="L1000" s="18">
        <v>0</v>
      </c>
      <c r="M1000" t="str">
        <f t="shared" si="63"/>
        <v/>
      </c>
      <c r="N1000" t="str">
        <f>IF(OR($D1000="",$S1000=""),"",IFERROR(MAX(0,ROUND(($D1000-INDEX(Config!$C$15:$C$18,MATCH($S1000,Config!$B$15:$B$18,0)))*24*60,0)),""))</f>
        <v/>
      </c>
      <c r="O1000" t="str">
        <f t="shared" si="64"/>
        <v/>
      </c>
      <c r="P1000" t="str">
        <f t="shared" si="65"/>
        <v/>
      </c>
      <c r="Q1000" t="str">
        <f>IF(OR($P1000="",$S1000=""),"",IFERROR($P1000-INDEX(Config!$E$15:$E$18,MATCH($S1000,Config!$B$15:$B$18,0)),""))</f>
        <v/>
      </c>
      <c r="R1000" t="str">
        <f t="shared" si="66"/>
        <v/>
      </c>
      <c r="S1000" s="6" t="str">
        <f>IF(OR($A1000="",$C1000=""),"",IFERROR(INDEX(Turno!$C$3:$V$32,MATCH($C1000,Turno!$B$3:$B$32,0),MATCH(DAY($A1000),Turno!$C$1:$V$1,0)),""))</f>
        <v/>
      </c>
      <c r="T1000" t="str">
        <f>IF(OR($E1000="",$S1000=""),"",IFERROR(MAX(0,ROUND((INDEX(Config!$D$15:$D$18,MATCH($S1000,Config!$B$15:$B$18,0))-$E1000)*1440,0)),""))</f>
        <v/>
      </c>
      <c r="U1000" s="13" t="str">
        <f>IF(OR($N1000="",$T1000=""),"",IFERROR(MAX(0,1-($N1000+$T1000+MAX(0,N($Q1000)))/ROUND((INDEX(Config!$D$15:$D$18,MATCH($S1000,Config!$B$15:$B$18,0))-INDEX(Config!$C$15:$C$18,MATCH($S1000,Config!$B$15:$B$18,0)))*1440,0)),""))</f>
        <v/>
      </c>
      <c r="V1000" s="5"/>
    </row>
    <row r="1001" spans="1:22" x14ac:dyDescent="0.25">
      <c r="A1001" s="11"/>
      <c r="B1001" s="5"/>
      <c r="C1001" s="6" t="str">
        <f>IFERROR(INDEX(Ejecutivos!$B$2:$B$100,MATCH(B1001,Ejecutivos!$A$2:$A$100,0)),"")</f>
        <v/>
      </c>
      <c r="D1001" s="12"/>
      <c r="E1001" s="12"/>
      <c r="F1001" s="12"/>
      <c r="G1001" s="12"/>
      <c r="H1001" s="5"/>
      <c r="I1001" s="5"/>
      <c r="J1001" s="5"/>
      <c r="K1001" s="5"/>
      <c r="L1001" s="18">
        <v>0</v>
      </c>
      <c r="M1001" t="str">
        <f t="shared" si="63"/>
        <v/>
      </c>
      <c r="N1001" t="str">
        <f>IF(OR($D1001="",$S1001=""),"",IFERROR(MAX(0,ROUND(($D1001-INDEX(Config!$C$15:$C$18,MATCH($S1001,Config!$B$15:$B$18,0)))*24*60,0)),""))</f>
        <v/>
      </c>
      <c r="O1001" t="str">
        <f t="shared" si="64"/>
        <v/>
      </c>
      <c r="P1001" t="str">
        <f t="shared" si="65"/>
        <v/>
      </c>
      <c r="Q1001" t="str">
        <f>IF(OR($P1001="",$S1001=""),"",IFERROR($P1001-INDEX(Config!$E$15:$E$18,MATCH($S1001,Config!$B$15:$B$18,0)),""))</f>
        <v/>
      </c>
      <c r="R1001" t="str">
        <f t="shared" si="66"/>
        <v/>
      </c>
      <c r="S1001" s="6" t="str">
        <f>IF(OR($A1001="",$C1001=""),"",IFERROR(INDEX(Turno!$C$3:$V$32,MATCH($C1001,Turno!$B$3:$B$32,0),MATCH(DAY($A1001),Turno!$C$1:$V$1,0)),""))</f>
        <v/>
      </c>
      <c r="T1001" t="str">
        <f>IF(OR($E1001="",$S1001=""),"",IFERROR(MAX(0,ROUND((INDEX(Config!$D$15:$D$18,MATCH($S1001,Config!$B$15:$B$18,0))-$E1001)*1440,0)),""))</f>
        <v/>
      </c>
      <c r="U1001" s="13" t="str">
        <f>IF(OR($N1001="",$T1001=""),"",IFERROR(MAX(0,1-($N1001+$T1001+MAX(0,N($Q1001)))/ROUND((INDEX(Config!$D$15:$D$18,MATCH($S1001,Config!$B$15:$B$18,0))-INDEX(Config!$C$15:$C$18,MATCH($S1001,Config!$B$15:$B$18,0)))*1440,0)),""))</f>
        <v/>
      </c>
      <c r="V1001" s="5"/>
    </row>
    <row r="1002" spans="1:22" x14ac:dyDescent="0.25">
      <c r="A1002" s="11"/>
      <c r="B1002" s="5"/>
      <c r="C1002" s="6" t="str">
        <f>IFERROR(INDEX(Ejecutivos!$B$2:$B$100,MATCH(B1002,Ejecutivos!$A$2:$A$100,0)),"")</f>
        <v/>
      </c>
      <c r="D1002" s="12"/>
      <c r="E1002" s="12"/>
      <c r="F1002" s="12"/>
      <c r="G1002" s="12"/>
      <c r="H1002" s="5"/>
      <c r="I1002" s="5"/>
      <c r="J1002" s="5"/>
      <c r="K1002" s="5"/>
      <c r="L1002" s="18">
        <v>0</v>
      </c>
      <c r="M1002" t="str">
        <f t="shared" si="63"/>
        <v/>
      </c>
      <c r="N1002" t="str">
        <f>IF(OR($D1002="",$S1002=""),"",IFERROR(MAX(0,ROUND(($D1002-INDEX(Config!$C$15:$C$18,MATCH($S1002,Config!$B$15:$B$18,0)))*24*60,0)),""))</f>
        <v/>
      </c>
      <c r="O1002" t="str">
        <f t="shared" si="64"/>
        <v/>
      </c>
      <c r="P1002" t="str">
        <f t="shared" si="65"/>
        <v/>
      </c>
      <c r="Q1002" t="str">
        <f>IF(OR($P1002="",$S1002=""),"",IFERROR($P1002-INDEX(Config!$E$15:$E$18,MATCH($S1002,Config!$B$15:$B$18,0)),""))</f>
        <v/>
      </c>
      <c r="R1002" t="str">
        <f t="shared" si="66"/>
        <v/>
      </c>
      <c r="S1002" s="6" t="str">
        <f>IF(OR($A1002="",$C1002=""),"",IFERROR(INDEX(Turno!$C$3:$V$32,MATCH($C1002,Turno!$B$3:$B$32,0),MATCH(DAY($A1002),Turno!$C$1:$V$1,0)),""))</f>
        <v/>
      </c>
      <c r="T1002" t="str">
        <f>IF(OR($E1002="",$S1002=""),"",IFERROR(MAX(0,ROUND((INDEX(Config!$D$15:$D$18,MATCH($S1002,Config!$B$15:$B$18,0))-$E1002)*1440,0)),""))</f>
        <v/>
      </c>
      <c r="U1002" s="13" t="str">
        <f>IF(OR($N1002="",$T1002=""),"",IFERROR(MAX(0,1-($N1002+$T1002+MAX(0,N($Q1002)))/ROUND((INDEX(Config!$D$15:$D$18,MATCH($S1002,Config!$B$15:$B$18,0))-INDEX(Config!$C$15:$C$18,MATCH($S1002,Config!$B$15:$B$18,0)))*1440,0)),""))</f>
        <v/>
      </c>
      <c r="V1002" s="5"/>
    </row>
    <row r="1003" spans="1:22" x14ac:dyDescent="0.25">
      <c r="A1003" s="11"/>
      <c r="B1003" s="5"/>
      <c r="C1003" s="6" t="str">
        <f>IFERROR(INDEX(Ejecutivos!$B$2:$B$100,MATCH(B1003,Ejecutivos!$A$2:$A$100,0)),"")</f>
        <v/>
      </c>
      <c r="D1003" s="12"/>
      <c r="E1003" s="12"/>
      <c r="F1003" s="12"/>
      <c r="G1003" s="12"/>
      <c r="H1003" s="5"/>
      <c r="I1003" s="5"/>
      <c r="J1003" s="5"/>
      <c r="K1003" s="5"/>
      <c r="L1003" s="18">
        <v>0</v>
      </c>
      <c r="M1003" t="str">
        <f t="shared" si="63"/>
        <v/>
      </c>
      <c r="N1003" t="str">
        <f>IF(OR($D1003="",$S1003=""),"",IFERROR(MAX(0,ROUND(($D1003-INDEX(Config!$C$15:$C$18,MATCH($S1003,Config!$B$15:$B$18,0)))*24*60,0)),""))</f>
        <v/>
      </c>
      <c r="O1003" t="str">
        <f t="shared" si="64"/>
        <v/>
      </c>
      <c r="P1003" t="str">
        <f t="shared" si="65"/>
        <v/>
      </c>
      <c r="Q1003" t="str">
        <f>IF(OR($P1003="",$S1003=""),"",IFERROR($P1003-INDEX(Config!$E$15:$E$18,MATCH($S1003,Config!$B$15:$B$18,0)),""))</f>
        <v/>
      </c>
      <c r="R1003" t="str">
        <f t="shared" si="66"/>
        <v/>
      </c>
      <c r="S1003" s="6" t="str">
        <f>IF(OR($A1003="",$C1003=""),"",IFERROR(INDEX(Turno!$C$3:$V$32,MATCH($C1003,Turno!$B$3:$B$32,0),MATCH(DAY($A1003),Turno!$C$1:$V$1,0)),""))</f>
        <v/>
      </c>
      <c r="T1003" t="str">
        <f>IF(OR($E1003="",$S1003=""),"",IFERROR(MAX(0,ROUND((INDEX(Config!$D$15:$D$18,MATCH($S1003,Config!$B$15:$B$18,0))-$E1003)*1440,0)),""))</f>
        <v/>
      </c>
      <c r="U1003" s="13" t="str">
        <f>IF(OR($N1003="",$T1003=""),"",IFERROR(MAX(0,1-($N1003+$T1003+MAX(0,N($Q1003)))/ROUND((INDEX(Config!$D$15:$D$18,MATCH($S1003,Config!$B$15:$B$18,0))-INDEX(Config!$C$15:$C$18,MATCH($S1003,Config!$B$15:$B$18,0)))*1440,0)),""))</f>
        <v/>
      </c>
      <c r="V1003" s="5"/>
    </row>
    <row r="1004" spans="1:22" x14ac:dyDescent="0.25">
      <c r="A1004" s="11"/>
      <c r="B1004" s="5"/>
      <c r="C1004" s="6" t="str">
        <f>IFERROR(INDEX(Ejecutivos!$B$2:$B$100,MATCH(B1004,Ejecutivos!$A$2:$A$100,0)),"")</f>
        <v/>
      </c>
      <c r="D1004" s="12"/>
      <c r="E1004" s="12"/>
      <c r="F1004" s="12"/>
      <c r="G1004" s="12"/>
      <c r="H1004" s="5"/>
      <c r="I1004" s="5"/>
      <c r="J1004" s="5"/>
      <c r="K1004" s="5"/>
      <c r="L1004" s="18">
        <v>0</v>
      </c>
      <c r="M1004" t="str">
        <f t="shared" si="63"/>
        <v/>
      </c>
      <c r="N1004" t="str">
        <f>IF(OR($D1004="",$S1004=""),"",IFERROR(MAX(0,ROUND(($D1004-INDEX(Config!$C$15:$C$18,MATCH($S1004,Config!$B$15:$B$18,0)))*24*60,0)),""))</f>
        <v/>
      </c>
      <c r="O1004" t="str">
        <f t="shared" si="64"/>
        <v/>
      </c>
      <c r="P1004" t="str">
        <f t="shared" si="65"/>
        <v/>
      </c>
      <c r="Q1004" t="str">
        <f>IF(OR($P1004="",$S1004=""),"",IFERROR($P1004-INDEX(Config!$E$15:$E$18,MATCH($S1004,Config!$B$15:$B$18,0)),""))</f>
        <v/>
      </c>
      <c r="R1004" t="str">
        <f t="shared" si="66"/>
        <v/>
      </c>
      <c r="S1004" s="6" t="str">
        <f>IF(OR($A1004="",$C1004=""),"",IFERROR(INDEX(Turno!$C$3:$V$32,MATCH($C1004,Turno!$B$3:$B$32,0),MATCH(DAY($A1004),Turno!$C$1:$V$1,0)),""))</f>
        <v/>
      </c>
      <c r="T1004" t="str">
        <f>IF(OR($E1004="",$S1004=""),"",IFERROR(MAX(0,ROUND((INDEX(Config!$D$15:$D$18,MATCH($S1004,Config!$B$15:$B$18,0))-$E1004)*1440,0)),""))</f>
        <v/>
      </c>
      <c r="U1004" s="13" t="str">
        <f>IF(OR($N1004="",$T1004=""),"",IFERROR(MAX(0,1-($N1004+$T1004+MAX(0,N($Q1004)))/ROUND((INDEX(Config!$D$15:$D$18,MATCH($S1004,Config!$B$15:$B$18,0))-INDEX(Config!$C$15:$C$18,MATCH($S1004,Config!$B$15:$B$18,0)))*1440,0)),""))</f>
        <v/>
      </c>
      <c r="V1004" s="5"/>
    </row>
    <row r="1005" spans="1:22" x14ac:dyDescent="0.25">
      <c r="A1005" s="11"/>
      <c r="B1005" s="5"/>
      <c r="C1005" s="6" t="str">
        <f>IFERROR(INDEX(Ejecutivos!$B$2:$B$100,MATCH(B1005,Ejecutivos!$A$2:$A$100,0)),"")</f>
        <v/>
      </c>
      <c r="D1005" s="12"/>
      <c r="E1005" s="12"/>
      <c r="F1005" s="12"/>
      <c r="G1005" s="12"/>
      <c r="H1005" s="5"/>
      <c r="I1005" s="5"/>
      <c r="J1005" s="5"/>
      <c r="K1005" s="5"/>
      <c r="L1005" s="18">
        <v>0</v>
      </c>
      <c r="M1005" t="str">
        <f t="shared" si="63"/>
        <v/>
      </c>
      <c r="N1005" t="str">
        <f>IF(OR($D1005="",$S1005=""),"",IFERROR(MAX(0,ROUND(($D1005-INDEX(Config!$C$15:$C$18,MATCH($S1005,Config!$B$15:$B$18,0)))*24*60,0)),""))</f>
        <v/>
      </c>
      <c r="O1005" t="str">
        <f t="shared" si="64"/>
        <v/>
      </c>
      <c r="P1005" t="str">
        <f t="shared" si="65"/>
        <v/>
      </c>
      <c r="Q1005" t="str">
        <f>IF(OR($P1005="",$S1005=""),"",IFERROR($P1005-INDEX(Config!$E$15:$E$18,MATCH($S1005,Config!$B$15:$B$18,0)),""))</f>
        <v/>
      </c>
      <c r="R1005" t="str">
        <f t="shared" si="66"/>
        <v/>
      </c>
      <c r="S1005" s="6" t="str">
        <f>IF(OR($A1005="",$C1005=""),"",IFERROR(INDEX(Turno!$C$3:$V$32,MATCH($C1005,Turno!$B$3:$B$32,0),MATCH(DAY($A1005),Turno!$C$1:$V$1,0)),""))</f>
        <v/>
      </c>
      <c r="T1005" t="str">
        <f>IF(OR($E1005="",$S1005=""),"",IFERROR(MAX(0,ROUND((INDEX(Config!$D$15:$D$18,MATCH($S1005,Config!$B$15:$B$18,0))-$E1005)*1440,0)),""))</f>
        <v/>
      </c>
      <c r="U1005" s="13" t="str">
        <f>IF(OR($N1005="",$T1005=""),"",IFERROR(MAX(0,1-($N1005+$T1005+MAX(0,N($Q1005)))/ROUND((INDEX(Config!$D$15:$D$18,MATCH($S1005,Config!$B$15:$B$18,0))-INDEX(Config!$C$15:$C$18,MATCH($S1005,Config!$B$15:$B$18,0)))*1440,0)),""))</f>
        <v/>
      </c>
      <c r="V1005" s="5"/>
    </row>
    <row r="1006" spans="1:22" x14ac:dyDescent="0.25">
      <c r="A1006" s="11"/>
      <c r="B1006" s="5"/>
      <c r="C1006" s="6" t="str">
        <f>IFERROR(INDEX(Ejecutivos!$B$2:$B$100,MATCH(B1006,Ejecutivos!$A$2:$A$100,0)),"")</f>
        <v/>
      </c>
      <c r="D1006" s="12"/>
      <c r="E1006" s="12"/>
      <c r="F1006" s="12"/>
      <c r="G1006" s="12"/>
      <c r="H1006" s="5"/>
      <c r="I1006" s="5"/>
      <c r="J1006" s="5"/>
      <c r="K1006" s="5"/>
      <c r="L1006" s="18">
        <v>0</v>
      </c>
      <c r="M1006" t="str">
        <f t="shared" si="63"/>
        <v/>
      </c>
      <c r="N1006" t="str">
        <f>IF(OR($D1006="",$S1006=""),"",IFERROR(MAX(0,ROUND(($D1006-INDEX(Config!$C$15:$C$18,MATCH($S1006,Config!$B$15:$B$18,0)))*24*60,0)),""))</f>
        <v/>
      </c>
      <c r="O1006" t="str">
        <f t="shared" si="64"/>
        <v/>
      </c>
      <c r="P1006" t="str">
        <f t="shared" si="65"/>
        <v/>
      </c>
      <c r="Q1006" t="str">
        <f>IF(OR($P1006="",$S1006=""),"",IFERROR($P1006-INDEX(Config!$E$15:$E$18,MATCH($S1006,Config!$B$15:$B$18,0)),""))</f>
        <v/>
      </c>
      <c r="R1006" t="str">
        <f t="shared" si="66"/>
        <v/>
      </c>
      <c r="S1006" s="6" t="str">
        <f>IF(OR($A1006="",$C1006=""),"",IFERROR(INDEX(Turno!$C$3:$V$32,MATCH($C1006,Turno!$B$3:$B$32,0),MATCH(DAY($A1006),Turno!$C$1:$V$1,0)),""))</f>
        <v/>
      </c>
      <c r="T1006" t="str">
        <f>IF(OR($E1006="",$S1006=""),"",IFERROR(MAX(0,ROUND((INDEX(Config!$D$15:$D$18,MATCH($S1006,Config!$B$15:$B$18,0))-$E1006)*1440,0)),""))</f>
        <v/>
      </c>
      <c r="U1006" s="13" t="str">
        <f>IF(OR($N1006="",$T1006=""),"",IFERROR(MAX(0,1-($N1006+$T1006+MAX(0,N($Q1006)))/ROUND((INDEX(Config!$D$15:$D$18,MATCH($S1006,Config!$B$15:$B$18,0))-INDEX(Config!$C$15:$C$18,MATCH($S1006,Config!$B$15:$B$18,0)))*1440,0)),""))</f>
        <v/>
      </c>
      <c r="V1006" s="5"/>
    </row>
    <row r="1007" spans="1:22" x14ac:dyDescent="0.25">
      <c r="A1007" s="11"/>
      <c r="B1007" s="5"/>
      <c r="C1007" s="6" t="str">
        <f>IFERROR(INDEX(Ejecutivos!$B$2:$B$100,MATCH(B1007,Ejecutivos!$A$2:$A$100,0)),"")</f>
        <v/>
      </c>
      <c r="D1007" s="12"/>
      <c r="E1007" s="12"/>
      <c r="F1007" s="12"/>
      <c r="G1007" s="12"/>
      <c r="H1007" s="5"/>
      <c r="I1007" s="5"/>
      <c r="J1007" s="5"/>
      <c r="K1007" s="5"/>
      <c r="L1007" s="18">
        <v>0</v>
      </c>
      <c r="M1007" t="str">
        <f t="shared" si="63"/>
        <v/>
      </c>
      <c r="N1007" t="str">
        <f>IF(OR($D1007="",$S1007=""),"",IFERROR(MAX(0,ROUND(($D1007-INDEX(Config!$C$15:$C$18,MATCH($S1007,Config!$B$15:$B$18,0)))*24*60,0)),""))</f>
        <v/>
      </c>
      <c r="O1007" t="str">
        <f t="shared" si="64"/>
        <v/>
      </c>
      <c r="P1007" t="str">
        <f t="shared" si="65"/>
        <v/>
      </c>
      <c r="Q1007" t="str">
        <f>IF(OR($P1007="",$S1007=""),"",IFERROR($P1007-INDEX(Config!$E$15:$E$18,MATCH($S1007,Config!$B$15:$B$18,0)),""))</f>
        <v/>
      </c>
      <c r="R1007" t="str">
        <f t="shared" si="66"/>
        <v/>
      </c>
      <c r="S1007" s="6" t="str">
        <f>IF(OR($A1007="",$C1007=""),"",IFERROR(INDEX(Turno!$C$3:$V$32,MATCH($C1007,Turno!$B$3:$B$32,0),MATCH(DAY($A1007),Turno!$C$1:$V$1,0)),""))</f>
        <v/>
      </c>
      <c r="T1007" t="str">
        <f>IF(OR($E1007="",$S1007=""),"",IFERROR(MAX(0,ROUND((INDEX(Config!$D$15:$D$18,MATCH($S1007,Config!$B$15:$B$18,0))-$E1007)*1440,0)),""))</f>
        <v/>
      </c>
      <c r="U1007" s="13" t="str">
        <f>IF(OR($N1007="",$T1007=""),"",IFERROR(MAX(0,1-($N1007+$T1007+MAX(0,N($Q1007)))/ROUND((INDEX(Config!$D$15:$D$18,MATCH($S1007,Config!$B$15:$B$18,0))-INDEX(Config!$C$15:$C$18,MATCH($S1007,Config!$B$15:$B$18,0)))*1440,0)),""))</f>
        <v/>
      </c>
      <c r="V1007" s="5"/>
    </row>
    <row r="1008" spans="1:22" x14ac:dyDescent="0.25">
      <c r="A1008" s="11"/>
      <c r="B1008" s="5"/>
      <c r="C1008" s="6" t="str">
        <f>IFERROR(INDEX(Ejecutivos!$B$2:$B$100,MATCH(B1008,Ejecutivos!$A$2:$A$100,0)),"")</f>
        <v/>
      </c>
      <c r="D1008" s="12"/>
      <c r="E1008" s="12"/>
      <c r="F1008" s="12"/>
      <c r="G1008" s="12"/>
      <c r="H1008" s="5"/>
      <c r="I1008" s="5"/>
      <c r="J1008" s="5"/>
      <c r="K1008" s="5"/>
      <c r="L1008" s="18">
        <v>0</v>
      </c>
      <c r="M1008" t="str">
        <f t="shared" si="63"/>
        <v/>
      </c>
      <c r="N1008" t="str">
        <f>IF(OR($D1008="",$S1008=""),"",IFERROR(MAX(0,ROUND(($D1008-INDEX(Config!$C$15:$C$18,MATCH($S1008,Config!$B$15:$B$18,0)))*24*60,0)),""))</f>
        <v/>
      </c>
      <c r="O1008" t="str">
        <f t="shared" si="64"/>
        <v/>
      </c>
      <c r="P1008" t="str">
        <f t="shared" si="65"/>
        <v/>
      </c>
      <c r="Q1008" t="str">
        <f>IF(OR($P1008="",$S1008=""),"",IFERROR($P1008-INDEX(Config!$E$15:$E$18,MATCH($S1008,Config!$B$15:$B$18,0)),""))</f>
        <v/>
      </c>
      <c r="R1008" t="str">
        <f t="shared" si="66"/>
        <v/>
      </c>
      <c r="S1008" s="6" t="str">
        <f>IF(OR($A1008="",$C1008=""),"",IFERROR(INDEX(Turno!$C$3:$V$32,MATCH($C1008,Turno!$B$3:$B$32,0),MATCH(DAY($A1008),Turno!$C$1:$V$1,0)),""))</f>
        <v/>
      </c>
      <c r="T1008" t="str">
        <f>IF(OR($E1008="",$S1008=""),"",IFERROR(MAX(0,ROUND((INDEX(Config!$D$15:$D$18,MATCH($S1008,Config!$B$15:$B$18,0))-$E1008)*1440,0)),""))</f>
        <v/>
      </c>
      <c r="U1008" s="13" t="str">
        <f>IF(OR($N1008="",$T1008=""),"",IFERROR(MAX(0,1-($N1008+$T1008+MAX(0,N($Q1008)))/ROUND((INDEX(Config!$D$15:$D$18,MATCH($S1008,Config!$B$15:$B$18,0))-INDEX(Config!$C$15:$C$18,MATCH($S1008,Config!$B$15:$B$18,0)))*1440,0)),""))</f>
        <v/>
      </c>
      <c r="V1008" s="5"/>
    </row>
    <row r="1009" spans="1:22" x14ac:dyDescent="0.25">
      <c r="A1009" s="11"/>
      <c r="B1009" s="5"/>
      <c r="C1009" s="6" t="str">
        <f>IFERROR(INDEX(Ejecutivos!$B$2:$B$100,MATCH(B1009,Ejecutivos!$A$2:$A$100,0)),"")</f>
        <v/>
      </c>
      <c r="D1009" s="12"/>
      <c r="E1009" s="12"/>
      <c r="F1009" s="12"/>
      <c r="G1009" s="12"/>
      <c r="H1009" s="5"/>
      <c r="I1009" s="5"/>
      <c r="J1009" s="5"/>
      <c r="K1009" s="5"/>
      <c r="L1009" s="18">
        <v>0</v>
      </c>
      <c r="M1009" t="str">
        <f t="shared" si="63"/>
        <v/>
      </c>
      <c r="N1009" t="str">
        <f>IF(OR($D1009="",$S1009=""),"",IFERROR(MAX(0,ROUND(($D1009-INDEX(Config!$C$15:$C$18,MATCH($S1009,Config!$B$15:$B$18,0)))*24*60,0)),""))</f>
        <v/>
      </c>
      <c r="O1009" t="str">
        <f t="shared" si="64"/>
        <v/>
      </c>
      <c r="P1009" t="str">
        <f t="shared" si="65"/>
        <v/>
      </c>
      <c r="Q1009" t="str">
        <f>IF(OR($P1009="",$S1009=""),"",IFERROR($P1009-INDEX(Config!$E$15:$E$18,MATCH($S1009,Config!$B$15:$B$18,0)),""))</f>
        <v/>
      </c>
      <c r="R1009" t="str">
        <f t="shared" si="66"/>
        <v/>
      </c>
      <c r="S1009" s="6" t="str">
        <f>IF(OR($A1009="",$C1009=""),"",IFERROR(INDEX(Turno!$C$3:$V$32,MATCH($C1009,Turno!$B$3:$B$32,0),MATCH(DAY($A1009),Turno!$C$1:$V$1,0)),""))</f>
        <v/>
      </c>
      <c r="T1009" t="str">
        <f>IF(OR($E1009="",$S1009=""),"",IFERROR(MAX(0,ROUND((INDEX(Config!$D$15:$D$18,MATCH($S1009,Config!$B$15:$B$18,0))-$E1009)*1440,0)),""))</f>
        <v/>
      </c>
      <c r="U1009" s="13" t="str">
        <f>IF(OR($N1009="",$T1009=""),"",IFERROR(MAX(0,1-($N1009+$T1009+MAX(0,N($Q1009)))/ROUND((INDEX(Config!$D$15:$D$18,MATCH($S1009,Config!$B$15:$B$18,0))-INDEX(Config!$C$15:$C$18,MATCH($S1009,Config!$B$15:$B$18,0)))*1440,0)),""))</f>
        <v/>
      </c>
      <c r="V1009" s="5"/>
    </row>
    <row r="1010" spans="1:22" x14ac:dyDescent="0.25">
      <c r="A1010" s="11"/>
      <c r="B1010" s="5"/>
      <c r="C1010" s="6" t="str">
        <f>IFERROR(INDEX(Ejecutivos!$B$2:$B$100,MATCH(B1010,Ejecutivos!$A$2:$A$100,0)),"")</f>
        <v/>
      </c>
      <c r="D1010" s="12"/>
      <c r="E1010" s="12"/>
      <c r="F1010" s="12"/>
      <c r="G1010" s="12"/>
      <c r="H1010" s="5"/>
      <c r="I1010" s="5"/>
      <c r="J1010" s="5"/>
      <c r="K1010" s="5"/>
      <c r="L1010" s="18">
        <v>0</v>
      </c>
      <c r="M1010" t="str">
        <f t="shared" si="63"/>
        <v/>
      </c>
      <c r="N1010" t="str">
        <f>IF(OR($D1010="",$S1010=""),"",IFERROR(MAX(0,ROUND(($D1010-INDEX(Config!$C$15:$C$18,MATCH($S1010,Config!$B$15:$B$18,0)))*24*60,0)),""))</f>
        <v/>
      </c>
      <c r="O1010" t="str">
        <f t="shared" si="64"/>
        <v/>
      </c>
      <c r="P1010" t="str">
        <f t="shared" si="65"/>
        <v/>
      </c>
      <c r="Q1010" t="str">
        <f>IF(OR($P1010="",$S1010=""),"",IFERROR($P1010-INDEX(Config!$E$15:$E$18,MATCH($S1010,Config!$B$15:$B$18,0)),""))</f>
        <v/>
      </c>
      <c r="R1010" t="str">
        <f t="shared" si="66"/>
        <v/>
      </c>
      <c r="S1010" s="6" t="str">
        <f>IF(OR($A1010="",$C1010=""),"",IFERROR(INDEX(Turno!$C$3:$V$32,MATCH($C1010,Turno!$B$3:$B$32,0),MATCH(DAY($A1010),Turno!$C$1:$V$1,0)),""))</f>
        <v/>
      </c>
      <c r="T1010" t="str">
        <f>IF(OR($E1010="",$S1010=""),"",IFERROR(MAX(0,ROUND((INDEX(Config!$D$15:$D$18,MATCH($S1010,Config!$B$15:$B$18,0))-$E1010)*1440,0)),""))</f>
        <v/>
      </c>
      <c r="U1010" s="13" t="str">
        <f>IF(OR($N1010="",$T1010=""),"",IFERROR(MAX(0,1-($N1010+$T1010+MAX(0,N($Q1010)))/ROUND((INDEX(Config!$D$15:$D$18,MATCH($S1010,Config!$B$15:$B$18,0))-INDEX(Config!$C$15:$C$18,MATCH($S1010,Config!$B$15:$B$18,0)))*1440,0)),""))</f>
        <v/>
      </c>
      <c r="V1010" s="5"/>
    </row>
    <row r="1011" spans="1:22" x14ac:dyDescent="0.25">
      <c r="A1011" s="11"/>
      <c r="B1011" s="5"/>
      <c r="C1011" s="6" t="str">
        <f>IFERROR(INDEX(Ejecutivos!$B$2:$B$100,MATCH(B1011,Ejecutivos!$A$2:$A$100,0)),"")</f>
        <v/>
      </c>
      <c r="D1011" s="12"/>
      <c r="E1011" s="12"/>
      <c r="F1011" s="12"/>
      <c r="G1011" s="12"/>
      <c r="H1011" s="5"/>
      <c r="I1011" s="5"/>
      <c r="J1011" s="5"/>
      <c r="K1011" s="5"/>
      <c r="L1011" s="18">
        <v>0</v>
      </c>
      <c r="M1011" t="str">
        <f t="shared" si="63"/>
        <v/>
      </c>
      <c r="N1011" t="str">
        <f>IF(OR($D1011="",$S1011=""),"",IFERROR(MAX(0,ROUND(($D1011-INDEX(Config!$C$15:$C$18,MATCH($S1011,Config!$B$15:$B$18,0)))*24*60,0)),""))</f>
        <v/>
      </c>
      <c r="O1011" t="str">
        <f t="shared" si="64"/>
        <v/>
      </c>
      <c r="P1011" t="str">
        <f t="shared" si="65"/>
        <v/>
      </c>
      <c r="Q1011" t="str">
        <f>IF(OR($P1011="",$S1011=""),"",IFERROR($P1011-INDEX(Config!$E$15:$E$18,MATCH($S1011,Config!$B$15:$B$18,0)),""))</f>
        <v/>
      </c>
      <c r="R1011" t="str">
        <f t="shared" si="66"/>
        <v/>
      </c>
      <c r="S1011" s="6" t="str">
        <f>IF(OR($A1011="",$C1011=""),"",IFERROR(INDEX(Turno!$C$3:$V$32,MATCH($C1011,Turno!$B$3:$B$32,0),MATCH(DAY($A1011),Turno!$C$1:$V$1,0)),""))</f>
        <v/>
      </c>
      <c r="T1011" t="str">
        <f>IF(OR($E1011="",$S1011=""),"",IFERROR(MAX(0,ROUND((INDEX(Config!$D$15:$D$18,MATCH($S1011,Config!$B$15:$B$18,0))-$E1011)*1440,0)),""))</f>
        <v/>
      </c>
      <c r="U1011" s="13" t="str">
        <f>IF(OR($N1011="",$T1011=""),"",IFERROR(MAX(0,1-($N1011+$T1011+MAX(0,N($Q1011)))/ROUND((INDEX(Config!$D$15:$D$18,MATCH($S1011,Config!$B$15:$B$18,0))-INDEX(Config!$C$15:$C$18,MATCH($S1011,Config!$B$15:$B$18,0)))*1440,0)),""))</f>
        <v/>
      </c>
      <c r="V1011" s="5"/>
    </row>
    <row r="1012" spans="1:22" x14ac:dyDescent="0.25">
      <c r="A1012" s="11"/>
      <c r="B1012" s="5"/>
      <c r="C1012" s="6" t="str">
        <f>IFERROR(INDEX(Ejecutivos!$B$2:$B$100,MATCH(B1012,Ejecutivos!$A$2:$A$100,0)),"")</f>
        <v/>
      </c>
      <c r="D1012" s="12"/>
      <c r="E1012" s="12"/>
      <c r="F1012" s="12"/>
      <c r="G1012" s="12"/>
      <c r="H1012" s="5"/>
      <c r="I1012" s="5"/>
      <c r="J1012" s="5"/>
      <c r="K1012" s="5"/>
      <c r="L1012" s="18">
        <v>0</v>
      </c>
      <c r="M1012" t="str">
        <f t="shared" si="63"/>
        <v/>
      </c>
      <c r="N1012" t="str">
        <f>IF(OR($D1012="",$S1012=""),"",IFERROR(MAX(0,ROUND(($D1012-INDEX(Config!$C$15:$C$18,MATCH($S1012,Config!$B$15:$B$18,0)))*24*60,0)),""))</f>
        <v/>
      </c>
      <c r="O1012" t="str">
        <f t="shared" si="64"/>
        <v/>
      </c>
      <c r="P1012" t="str">
        <f t="shared" si="65"/>
        <v/>
      </c>
      <c r="Q1012" t="str">
        <f>IF(OR($P1012="",$S1012=""),"",IFERROR($P1012-INDEX(Config!$E$15:$E$18,MATCH($S1012,Config!$B$15:$B$18,0)),""))</f>
        <v/>
      </c>
      <c r="R1012" t="str">
        <f t="shared" si="66"/>
        <v/>
      </c>
      <c r="S1012" s="6" t="str">
        <f>IF(OR($A1012="",$C1012=""),"",IFERROR(INDEX(Turno!$C$3:$V$32,MATCH($C1012,Turno!$B$3:$B$32,0),MATCH(DAY($A1012),Turno!$C$1:$V$1,0)),""))</f>
        <v/>
      </c>
      <c r="T1012" t="str">
        <f>IF(OR($E1012="",$S1012=""),"",IFERROR(MAX(0,ROUND((INDEX(Config!$D$15:$D$18,MATCH($S1012,Config!$B$15:$B$18,0))-$E1012)*1440,0)),""))</f>
        <v/>
      </c>
      <c r="U1012" s="13" t="str">
        <f>IF(OR($N1012="",$T1012=""),"",IFERROR(MAX(0,1-($N1012+$T1012+MAX(0,N($Q1012)))/ROUND((INDEX(Config!$D$15:$D$18,MATCH($S1012,Config!$B$15:$B$18,0))-INDEX(Config!$C$15:$C$18,MATCH($S1012,Config!$B$15:$B$18,0)))*1440,0)),""))</f>
        <v/>
      </c>
      <c r="V1012" s="5"/>
    </row>
    <row r="1013" spans="1:22" x14ac:dyDescent="0.25">
      <c r="A1013" s="11"/>
      <c r="B1013" s="5"/>
      <c r="C1013" s="6" t="str">
        <f>IFERROR(INDEX(Ejecutivos!$B$2:$B$100,MATCH(B1013,Ejecutivos!$A$2:$A$100,0)),"")</f>
        <v/>
      </c>
      <c r="D1013" s="12"/>
      <c r="E1013" s="12"/>
      <c r="F1013" s="12"/>
      <c r="G1013" s="12"/>
      <c r="H1013" s="5"/>
      <c r="I1013" s="5"/>
      <c r="J1013" s="5"/>
      <c r="K1013" s="5"/>
      <c r="L1013" s="18">
        <v>0</v>
      </c>
      <c r="M1013" t="str">
        <f t="shared" ref="M1013:M1076" si="67">IF(OR(D1013="",E1013=""),"",ROUND(((E1013-D1013)*24)-((G1013-F1013)*24)-((H1013+I1013)/60),2))</f>
        <v/>
      </c>
      <c r="N1013" t="str">
        <f>IF(OR($D1013="",$S1013=""),"",IFERROR(MAX(0,ROUND(($D1013-INDEX(Config!$C$15:$C$18,MATCH($S1013,Config!$B$15:$B$18,0)))*24*60,0)),""))</f>
        <v/>
      </c>
      <c r="O1013" t="str">
        <f t="shared" ref="O1013:O1076" si="68">IF(OR(F1013="",G1013=""),"",ROUND((G1013-F1013)*24*60,0))</f>
        <v/>
      </c>
      <c r="P1013" t="str">
        <f t="shared" ref="P1013:P1076" si="69">IF(O1013="","",O1013+H1013+I1013)</f>
        <v/>
      </c>
      <c r="Q1013" t="str">
        <f>IF(OR($P1013="",$S1013=""),"",IFERROR($P1013-INDEX(Config!$E$15:$E$18,MATCH($S1013,Config!$B$15:$B$18,0)),""))</f>
        <v/>
      </c>
      <c r="R1013" t="str">
        <f t="shared" ref="R1013:R1076" si="70">IF($A1013="","",IF($D1013="","Ausente",IF($N1013="","",IF($N1013&gt;0,"Atrasado","Puntual"))))</f>
        <v/>
      </c>
      <c r="S1013" s="6" t="str">
        <f>IF(OR($A1013="",$C1013=""),"",IFERROR(INDEX(Turno!$C$3:$V$32,MATCH($C1013,Turno!$B$3:$B$32,0),MATCH(DAY($A1013),Turno!$C$1:$V$1,0)),""))</f>
        <v/>
      </c>
      <c r="T1013" t="str">
        <f>IF(OR($E1013="",$S1013=""),"",IFERROR(MAX(0,ROUND((INDEX(Config!$D$15:$D$18,MATCH($S1013,Config!$B$15:$B$18,0))-$E1013)*1440,0)),""))</f>
        <v/>
      </c>
      <c r="U1013" s="13" t="str">
        <f>IF(OR($N1013="",$T1013=""),"",IFERROR(MAX(0,1-($N1013+$T1013+MAX(0,N($Q1013)))/ROUND((INDEX(Config!$D$15:$D$18,MATCH($S1013,Config!$B$15:$B$18,0))-INDEX(Config!$C$15:$C$18,MATCH($S1013,Config!$B$15:$B$18,0)))*1440,0)),""))</f>
        <v/>
      </c>
      <c r="V1013" s="5"/>
    </row>
    <row r="1014" spans="1:22" x14ac:dyDescent="0.25">
      <c r="A1014" s="11"/>
      <c r="B1014" s="5"/>
      <c r="C1014" s="6" t="str">
        <f>IFERROR(INDEX(Ejecutivos!$B$2:$B$100,MATCH(B1014,Ejecutivos!$A$2:$A$100,0)),"")</f>
        <v/>
      </c>
      <c r="D1014" s="12"/>
      <c r="E1014" s="12"/>
      <c r="F1014" s="12"/>
      <c r="G1014" s="12"/>
      <c r="H1014" s="5"/>
      <c r="I1014" s="5"/>
      <c r="J1014" s="5"/>
      <c r="K1014" s="5"/>
      <c r="L1014" s="18">
        <v>0</v>
      </c>
      <c r="M1014" t="str">
        <f t="shared" si="67"/>
        <v/>
      </c>
      <c r="N1014" t="str">
        <f>IF(OR($D1014="",$S1014=""),"",IFERROR(MAX(0,ROUND(($D1014-INDEX(Config!$C$15:$C$18,MATCH($S1014,Config!$B$15:$B$18,0)))*24*60,0)),""))</f>
        <v/>
      </c>
      <c r="O1014" t="str">
        <f t="shared" si="68"/>
        <v/>
      </c>
      <c r="P1014" t="str">
        <f t="shared" si="69"/>
        <v/>
      </c>
      <c r="Q1014" t="str">
        <f>IF(OR($P1014="",$S1014=""),"",IFERROR($P1014-INDEX(Config!$E$15:$E$18,MATCH($S1014,Config!$B$15:$B$18,0)),""))</f>
        <v/>
      </c>
      <c r="R1014" t="str">
        <f t="shared" si="70"/>
        <v/>
      </c>
      <c r="S1014" s="6" t="str">
        <f>IF(OR($A1014="",$C1014=""),"",IFERROR(INDEX(Turno!$C$3:$V$32,MATCH($C1014,Turno!$B$3:$B$32,0),MATCH(DAY($A1014),Turno!$C$1:$V$1,0)),""))</f>
        <v/>
      </c>
      <c r="T1014" t="str">
        <f>IF(OR($E1014="",$S1014=""),"",IFERROR(MAX(0,ROUND((INDEX(Config!$D$15:$D$18,MATCH($S1014,Config!$B$15:$B$18,0))-$E1014)*1440,0)),""))</f>
        <v/>
      </c>
      <c r="U1014" s="13" t="str">
        <f>IF(OR($N1014="",$T1014=""),"",IFERROR(MAX(0,1-($N1014+$T1014+MAX(0,N($Q1014)))/ROUND((INDEX(Config!$D$15:$D$18,MATCH($S1014,Config!$B$15:$B$18,0))-INDEX(Config!$C$15:$C$18,MATCH($S1014,Config!$B$15:$B$18,0)))*1440,0)),""))</f>
        <v/>
      </c>
      <c r="V1014" s="5"/>
    </row>
    <row r="1015" spans="1:22" x14ac:dyDescent="0.25">
      <c r="A1015" s="11"/>
      <c r="B1015" s="5"/>
      <c r="C1015" s="6" t="str">
        <f>IFERROR(INDEX(Ejecutivos!$B$2:$B$100,MATCH(B1015,Ejecutivos!$A$2:$A$100,0)),"")</f>
        <v/>
      </c>
      <c r="D1015" s="12"/>
      <c r="E1015" s="12"/>
      <c r="F1015" s="12"/>
      <c r="G1015" s="12"/>
      <c r="H1015" s="5"/>
      <c r="I1015" s="5"/>
      <c r="J1015" s="5"/>
      <c r="K1015" s="5"/>
      <c r="L1015" s="18">
        <v>0</v>
      </c>
      <c r="M1015" t="str">
        <f t="shared" si="67"/>
        <v/>
      </c>
      <c r="N1015" t="str">
        <f>IF(OR($D1015="",$S1015=""),"",IFERROR(MAX(0,ROUND(($D1015-INDEX(Config!$C$15:$C$18,MATCH($S1015,Config!$B$15:$B$18,0)))*24*60,0)),""))</f>
        <v/>
      </c>
      <c r="O1015" t="str">
        <f t="shared" si="68"/>
        <v/>
      </c>
      <c r="P1015" t="str">
        <f t="shared" si="69"/>
        <v/>
      </c>
      <c r="Q1015" t="str">
        <f>IF(OR($P1015="",$S1015=""),"",IFERROR($P1015-INDEX(Config!$E$15:$E$18,MATCH($S1015,Config!$B$15:$B$18,0)),""))</f>
        <v/>
      </c>
      <c r="R1015" t="str">
        <f t="shared" si="70"/>
        <v/>
      </c>
      <c r="S1015" s="6" t="str">
        <f>IF(OR($A1015="",$C1015=""),"",IFERROR(INDEX(Turno!$C$3:$V$32,MATCH($C1015,Turno!$B$3:$B$32,0),MATCH(DAY($A1015),Turno!$C$1:$V$1,0)),""))</f>
        <v/>
      </c>
      <c r="T1015" t="str">
        <f>IF(OR($E1015="",$S1015=""),"",IFERROR(MAX(0,ROUND((INDEX(Config!$D$15:$D$18,MATCH($S1015,Config!$B$15:$B$18,0))-$E1015)*1440,0)),""))</f>
        <v/>
      </c>
      <c r="U1015" s="13" t="str">
        <f>IF(OR($N1015="",$T1015=""),"",IFERROR(MAX(0,1-($N1015+$T1015+MAX(0,N($Q1015)))/ROUND((INDEX(Config!$D$15:$D$18,MATCH($S1015,Config!$B$15:$B$18,0))-INDEX(Config!$C$15:$C$18,MATCH($S1015,Config!$B$15:$B$18,0)))*1440,0)),""))</f>
        <v/>
      </c>
      <c r="V1015" s="5"/>
    </row>
    <row r="1016" spans="1:22" x14ac:dyDescent="0.25">
      <c r="A1016" s="11"/>
      <c r="B1016" s="5"/>
      <c r="C1016" s="6" t="str">
        <f>IFERROR(INDEX(Ejecutivos!$B$2:$B$100,MATCH(B1016,Ejecutivos!$A$2:$A$100,0)),"")</f>
        <v/>
      </c>
      <c r="D1016" s="12"/>
      <c r="E1016" s="12"/>
      <c r="F1016" s="12"/>
      <c r="G1016" s="12"/>
      <c r="H1016" s="5"/>
      <c r="I1016" s="5"/>
      <c r="J1016" s="5"/>
      <c r="K1016" s="5"/>
      <c r="L1016" s="18">
        <v>0</v>
      </c>
      <c r="M1016" t="str">
        <f t="shared" si="67"/>
        <v/>
      </c>
      <c r="N1016" t="str">
        <f>IF(OR($D1016="",$S1016=""),"",IFERROR(MAX(0,ROUND(($D1016-INDEX(Config!$C$15:$C$18,MATCH($S1016,Config!$B$15:$B$18,0)))*24*60,0)),""))</f>
        <v/>
      </c>
      <c r="O1016" t="str">
        <f t="shared" si="68"/>
        <v/>
      </c>
      <c r="P1016" t="str">
        <f t="shared" si="69"/>
        <v/>
      </c>
      <c r="Q1016" t="str">
        <f>IF(OR($P1016="",$S1016=""),"",IFERROR($P1016-INDEX(Config!$E$15:$E$18,MATCH($S1016,Config!$B$15:$B$18,0)),""))</f>
        <v/>
      </c>
      <c r="R1016" t="str">
        <f t="shared" si="70"/>
        <v/>
      </c>
      <c r="S1016" s="6" t="str">
        <f>IF(OR($A1016="",$C1016=""),"",IFERROR(INDEX(Turno!$C$3:$V$32,MATCH($C1016,Turno!$B$3:$B$32,0),MATCH(DAY($A1016),Turno!$C$1:$V$1,0)),""))</f>
        <v/>
      </c>
      <c r="T1016" t="str">
        <f>IF(OR($E1016="",$S1016=""),"",IFERROR(MAX(0,ROUND((INDEX(Config!$D$15:$D$18,MATCH($S1016,Config!$B$15:$B$18,0))-$E1016)*1440,0)),""))</f>
        <v/>
      </c>
      <c r="U1016" s="13" t="str">
        <f>IF(OR($N1016="",$T1016=""),"",IFERROR(MAX(0,1-($N1016+$T1016+MAX(0,N($Q1016)))/ROUND((INDEX(Config!$D$15:$D$18,MATCH($S1016,Config!$B$15:$B$18,0))-INDEX(Config!$C$15:$C$18,MATCH($S1016,Config!$B$15:$B$18,0)))*1440,0)),""))</f>
        <v/>
      </c>
      <c r="V1016" s="5"/>
    </row>
    <row r="1017" spans="1:22" x14ac:dyDescent="0.25">
      <c r="A1017" s="11"/>
      <c r="B1017" s="5"/>
      <c r="C1017" s="6" t="str">
        <f>IFERROR(INDEX(Ejecutivos!$B$2:$B$100,MATCH(B1017,Ejecutivos!$A$2:$A$100,0)),"")</f>
        <v/>
      </c>
      <c r="D1017" s="12"/>
      <c r="E1017" s="12"/>
      <c r="F1017" s="12"/>
      <c r="G1017" s="12"/>
      <c r="H1017" s="5"/>
      <c r="I1017" s="5"/>
      <c r="J1017" s="5"/>
      <c r="K1017" s="5"/>
      <c r="L1017" s="18">
        <v>0</v>
      </c>
      <c r="M1017" t="str">
        <f t="shared" si="67"/>
        <v/>
      </c>
      <c r="N1017" t="str">
        <f>IF(OR($D1017="",$S1017=""),"",IFERROR(MAX(0,ROUND(($D1017-INDEX(Config!$C$15:$C$18,MATCH($S1017,Config!$B$15:$B$18,0)))*24*60,0)),""))</f>
        <v/>
      </c>
      <c r="O1017" t="str">
        <f t="shared" si="68"/>
        <v/>
      </c>
      <c r="P1017" t="str">
        <f t="shared" si="69"/>
        <v/>
      </c>
      <c r="Q1017" t="str">
        <f>IF(OR($P1017="",$S1017=""),"",IFERROR($P1017-INDEX(Config!$E$15:$E$18,MATCH($S1017,Config!$B$15:$B$18,0)),""))</f>
        <v/>
      </c>
      <c r="R1017" t="str">
        <f t="shared" si="70"/>
        <v/>
      </c>
      <c r="S1017" s="6" t="str">
        <f>IF(OR($A1017="",$C1017=""),"",IFERROR(INDEX(Turno!$C$3:$V$32,MATCH($C1017,Turno!$B$3:$B$32,0),MATCH(DAY($A1017),Turno!$C$1:$V$1,0)),""))</f>
        <v/>
      </c>
      <c r="T1017" t="str">
        <f>IF(OR($E1017="",$S1017=""),"",IFERROR(MAX(0,ROUND((INDEX(Config!$D$15:$D$18,MATCH($S1017,Config!$B$15:$B$18,0))-$E1017)*1440,0)),""))</f>
        <v/>
      </c>
      <c r="U1017" s="13" t="str">
        <f>IF(OR($N1017="",$T1017=""),"",IFERROR(MAX(0,1-($N1017+$T1017+MAX(0,N($Q1017)))/ROUND((INDEX(Config!$D$15:$D$18,MATCH($S1017,Config!$B$15:$B$18,0))-INDEX(Config!$C$15:$C$18,MATCH($S1017,Config!$B$15:$B$18,0)))*1440,0)),""))</f>
        <v/>
      </c>
      <c r="V1017" s="5"/>
    </row>
    <row r="1018" spans="1:22" x14ac:dyDescent="0.25">
      <c r="A1018" s="11"/>
      <c r="B1018" s="5"/>
      <c r="C1018" s="6" t="str">
        <f>IFERROR(INDEX(Ejecutivos!$B$2:$B$100,MATCH(B1018,Ejecutivos!$A$2:$A$100,0)),"")</f>
        <v/>
      </c>
      <c r="D1018" s="12"/>
      <c r="E1018" s="12"/>
      <c r="F1018" s="12"/>
      <c r="G1018" s="12"/>
      <c r="H1018" s="5"/>
      <c r="I1018" s="5"/>
      <c r="J1018" s="5"/>
      <c r="K1018" s="5"/>
      <c r="L1018" s="18">
        <v>0</v>
      </c>
      <c r="M1018" t="str">
        <f t="shared" si="67"/>
        <v/>
      </c>
      <c r="N1018" t="str">
        <f>IF(OR($D1018="",$S1018=""),"",IFERROR(MAX(0,ROUND(($D1018-INDEX(Config!$C$15:$C$18,MATCH($S1018,Config!$B$15:$B$18,0)))*24*60,0)),""))</f>
        <v/>
      </c>
      <c r="O1018" t="str">
        <f t="shared" si="68"/>
        <v/>
      </c>
      <c r="P1018" t="str">
        <f t="shared" si="69"/>
        <v/>
      </c>
      <c r="Q1018" t="str">
        <f>IF(OR($P1018="",$S1018=""),"",IFERROR($P1018-INDEX(Config!$E$15:$E$18,MATCH($S1018,Config!$B$15:$B$18,0)),""))</f>
        <v/>
      </c>
      <c r="R1018" t="str">
        <f t="shared" si="70"/>
        <v/>
      </c>
      <c r="S1018" s="6" t="str">
        <f>IF(OR($A1018="",$C1018=""),"",IFERROR(INDEX(Turno!$C$3:$V$32,MATCH($C1018,Turno!$B$3:$B$32,0),MATCH(DAY($A1018),Turno!$C$1:$V$1,0)),""))</f>
        <v/>
      </c>
      <c r="T1018" t="str">
        <f>IF(OR($E1018="",$S1018=""),"",IFERROR(MAX(0,ROUND((INDEX(Config!$D$15:$D$18,MATCH($S1018,Config!$B$15:$B$18,0))-$E1018)*1440,0)),""))</f>
        <v/>
      </c>
      <c r="U1018" s="13" t="str">
        <f>IF(OR($N1018="",$T1018=""),"",IFERROR(MAX(0,1-($N1018+$T1018+MAX(0,N($Q1018)))/ROUND((INDEX(Config!$D$15:$D$18,MATCH($S1018,Config!$B$15:$B$18,0))-INDEX(Config!$C$15:$C$18,MATCH($S1018,Config!$B$15:$B$18,0)))*1440,0)),""))</f>
        <v/>
      </c>
      <c r="V1018" s="5"/>
    </row>
    <row r="1019" spans="1:22" x14ac:dyDescent="0.25">
      <c r="A1019" s="11"/>
      <c r="B1019" s="5"/>
      <c r="C1019" s="6" t="str">
        <f>IFERROR(INDEX(Ejecutivos!$B$2:$B$100,MATCH(B1019,Ejecutivos!$A$2:$A$100,0)),"")</f>
        <v/>
      </c>
      <c r="D1019" s="12"/>
      <c r="E1019" s="12"/>
      <c r="F1019" s="12"/>
      <c r="G1019" s="12"/>
      <c r="H1019" s="5"/>
      <c r="I1019" s="5"/>
      <c r="J1019" s="5"/>
      <c r="K1019" s="5"/>
      <c r="L1019" s="18">
        <v>0</v>
      </c>
      <c r="M1019" t="str">
        <f t="shared" si="67"/>
        <v/>
      </c>
      <c r="N1019" t="str">
        <f>IF(OR($D1019="",$S1019=""),"",IFERROR(MAX(0,ROUND(($D1019-INDEX(Config!$C$15:$C$18,MATCH($S1019,Config!$B$15:$B$18,0)))*24*60,0)),""))</f>
        <v/>
      </c>
      <c r="O1019" t="str">
        <f t="shared" si="68"/>
        <v/>
      </c>
      <c r="P1019" t="str">
        <f t="shared" si="69"/>
        <v/>
      </c>
      <c r="Q1019" t="str">
        <f>IF(OR($P1019="",$S1019=""),"",IFERROR($P1019-INDEX(Config!$E$15:$E$18,MATCH($S1019,Config!$B$15:$B$18,0)),""))</f>
        <v/>
      </c>
      <c r="R1019" t="str">
        <f t="shared" si="70"/>
        <v/>
      </c>
      <c r="S1019" s="6" t="str">
        <f>IF(OR($A1019="",$C1019=""),"",IFERROR(INDEX(Turno!$C$3:$V$32,MATCH($C1019,Turno!$B$3:$B$32,0),MATCH(DAY($A1019),Turno!$C$1:$V$1,0)),""))</f>
        <v/>
      </c>
      <c r="T1019" t="str">
        <f>IF(OR($E1019="",$S1019=""),"",IFERROR(MAX(0,ROUND((INDEX(Config!$D$15:$D$18,MATCH($S1019,Config!$B$15:$B$18,0))-$E1019)*1440,0)),""))</f>
        <v/>
      </c>
      <c r="U1019" s="13" t="str">
        <f>IF(OR($N1019="",$T1019=""),"",IFERROR(MAX(0,1-($N1019+$T1019+MAX(0,N($Q1019)))/ROUND((INDEX(Config!$D$15:$D$18,MATCH($S1019,Config!$B$15:$B$18,0))-INDEX(Config!$C$15:$C$18,MATCH($S1019,Config!$B$15:$B$18,0)))*1440,0)),""))</f>
        <v/>
      </c>
      <c r="V1019" s="5"/>
    </row>
    <row r="1020" spans="1:22" x14ac:dyDescent="0.25">
      <c r="A1020" s="11"/>
      <c r="B1020" s="5"/>
      <c r="C1020" s="6" t="str">
        <f>IFERROR(INDEX(Ejecutivos!$B$2:$B$100,MATCH(B1020,Ejecutivos!$A$2:$A$100,0)),"")</f>
        <v/>
      </c>
      <c r="D1020" s="12"/>
      <c r="E1020" s="12"/>
      <c r="F1020" s="12"/>
      <c r="G1020" s="12"/>
      <c r="H1020" s="5"/>
      <c r="I1020" s="5"/>
      <c r="J1020" s="5"/>
      <c r="K1020" s="5"/>
      <c r="L1020" s="18">
        <v>0</v>
      </c>
      <c r="M1020" t="str">
        <f t="shared" si="67"/>
        <v/>
      </c>
      <c r="N1020" t="str">
        <f>IF(OR($D1020="",$S1020=""),"",IFERROR(MAX(0,ROUND(($D1020-INDEX(Config!$C$15:$C$18,MATCH($S1020,Config!$B$15:$B$18,0)))*24*60,0)),""))</f>
        <v/>
      </c>
      <c r="O1020" t="str">
        <f t="shared" si="68"/>
        <v/>
      </c>
      <c r="P1020" t="str">
        <f t="shared" si="69"/>
        <v/>
      </c>
      <c r="Q1020" t="str">
        <f>IF(OR($P1020="",$S1020=""),"",IFERROR($P1020-INDEX(Config!$E$15:$E$18,MATCH($S1020,Config!$B$15:$B$18,0)),""))</f>
        <v/>
      </c>
      <c r="R1020" t="str">
        <f t="shared" si="70"/>
        <v/>
      </c>
      <c r="S1020" s="6" t="str">
        <f>IF(OR($A1020="",$C1020=""),"",IFERROR(INDEX(Turno!$C$3:$V$32,MATCH($C1020,Turno!$B$3:$B$32,0),MATCH(DAY($A1020),Turno!$C$1:$V$1,0)),""))</f>
        <v/>
      </c>
      <c r="T1020" t="str">
        <f>IF(OR($E1020="",$S1020=""),"",IFERROR(MAX(0,ROUND((INDEX(Config!$D$15:$D$18,MATCH($S1020,Config!$B$15:$B$18,0))-$E1020)*1440,0)),""))</f>
        <v/>
      </c>
      <c r="U1020" s="13" t="str">
        <f>IF(OR($N1020="",$T1020=""),"",IFERROR(MAX(0,1-($N1020+$T1020+MAX(0,N($Q1020)))/ROUND((INDEX(Config!$D$15:$D$18,MATCH($S1020,Config!$B$15:$B$18,0))-INDEX(Config!$C$15:$C$18,MATCH($S1020,Config!$B$15:$B$18,0)))*1440,0)),""))</f>
        <v/>
      </c>
      <c r="V1020" s="5"/>
    </row>
    <row r="1021" spans="1:22" x14ac:dyDescent="0.25">
      <c r="A1021" s="11"/>
      <c r="B1021" s="5"/>
      <c r="C1021" s="6" t="str">
        <f>IFERROR(INDEX(Ejecutivos!$B$2:$B$100,MATCH(B1021,Ejecutivos!$A$2:$A$100,0)),"")</f>
        <v/>
      </c>
      <c r="D1021" s="12"/>
      <c r="E1021" s="12"/>
      <c r="F1021" s="12"/>
      <c r="G1021" s="12"/>
      <c r="H1021" s="5"/>
      <c r="I1021" s="5"/>
      <c r="J1021" s="5"/>
      <c r="K1021" s="5"/>
      <c r="L1021" s="18">
        <v>0</v>
      </c>
      <c r="M1021" t="str">
        <f t="shared" si="67"/>
        <v/>
      </c>
      <c r="N1021" t="str">
        <f>IF(OR($D1021="",$S1021=""),"",IFERROR(MAX(0,ROUND(($D1021-INDEX(Config!$C$15:$C$18,MATCH($S1021,Config!$B$15:$B$18,0)))*24*60,0)),""))</f>
        <v/>
      </c>
      <c r="O1021" t="str">
        <f t="shared" si="68"/>
        <v/>
      </c>
      <c r="P1021" t="str">
        <f t="shared" si="69"/>
        <v/>
      </c>
      <c r="Q1021" t="str">
        <f>IF(OR($P1021="",$S1021=""),"",IFERROR($P1021-INDEX(Config!$E$15:$E$18,MATCH($S1021,Config!$B$15:$B$18,0)),""))</f>
        <v/>
      </c>
      <c r="R1021" t="str">
        <f t="shared" si="70"/>
        <v/>
      </c>
      <c r="S1021" s="6" t="str">
        <f>IF(OR($A1021="",$C1021=""),"",IFERROR(INDEX(Turno!$C$3:$V$32,MATCH($C1021,Turno!$B$3:$B$32,0),MATCH(DAY($A1021),Turno!$C$1:$V$1,0)),""))</f>
        <v/>
      </c>
      <c r="T1021" t="str">
        <f>IF(OR($E1021="",$S1021=""),"",IFERROR(MAX(0,ROUND((INDEX(Config!$D$15:$D$18,MATCH($S1021,Config!$B$15:$B$18,0))-$E1021)*1440,0)),""))</f>
        <v/>
      </c>
      <c r="U1021" s="13" t="str">
        <f>IF(OR($N1021="",$T1021=""),"",IFERROR(MAX(0,1-($N1021+$T1021+MAX(0,N($Q1021)))/ROUND((INDEX(Config!$D$15:$D$18,MATCH($S1021,Config!$B$15:$B$18,0))-INDEX(Config!$C$15:$C$18,MATCH($S1021,Config!$B$15:$B$18,0)))*1440,0)),""))</f>
        <v/>
      </c>
      <c r="V1021" s="5"/>
    </row>
    <row r="1022" spans="1:22" x14ac:dyDescent="0.25">
      <c r="A1022" s="11"/>
      <c r="B1022" s="5"/>
      <c r="C1022" s="6" t="str">
        <f>IFERROR(INDEX(Ejecutivos!$B$2:$B$100,MATCH(B1022,Ejecutivos!$A$2:$A$100,0)),"")</f>
        <v/>
      </c>
      <c r="D1022" s="12"/>
      <c r="E1022" s="12"/>
      <c r="F1022" s="12"/>
      <c r="G1022" s="12"/>
      <c r="H1022" s="5"/>
      <c r="I1022" s="5"/>
      <c r="J1022" s="5"/>
      <c r="K1022" s="5"/>
      <c r="L1022" s="18">
        <v>0</v>
      </c>
      <c r="M1022" t="str">
        <f t="shared" si="67"/>
        <v/>
      </c>
      <c r="N1022" t="str">
        <f>IF(OR($D1022="",$S1022=""),"",IFERROR(MAX(0,ROUND(($D1022-INDEX(Config!$C$15:$C$18,MATCH($S1022,Config!$B$15:$B$18,0)))*24*60,0)),""))</f>
        <v/>
      </c>
      <c r="O1022" t="str">
        <f t="shared" si="68"/>
        <v/>
      </c>
      <c r="P1022" t="str">
        <f t="shared" si="69"/>
        <v/>
      </c>
      <c r="Q1022" t="str">
        <f>IF(OR($P1022="",$S1022=""),"",IFERROR($P1022-INDEX(Config!$E$15:$E$18,MATCH($S1022,Config!$B$15:$B$18,0)),""))</f>
        <v/>
      </c>
      <c r="R1022" t="str">
        <f t="shared" si="70"/>
        <v/>
      </c>
      <c r="S1022" s="6" t="str">
        <f>IF(OR($A1022="",$C1022=""),"",IFERROR(INDEX(Turno!$C$3:$V$32,MATCH($C1022,Turno!$B$3:$B$32,0),MATCH(DAY($A1022),Turno!$C$1:$V$1,0)),""))</f>
        <v/>
      </c>
      <c r="T1022" t="str">
        <f>IF(OR($E1022="",$S1022=""),"",IFERROR(MAX(0,ROUND((INDEX(Config!$D$15:$D$18,MATCH($S1022,Config!$B$15:$B$18,0))-$E1022)*1440,0)),""))</f>
        <v/>
      </c>
      <c r="U1022" s="13" t="str">
        <f>IF(OR($N1022="",$T1022=""),"",IFERROR(MAX(0,1-($N1022+$T1022+MAX(0,N($Q1022)))/ROUND((INDEX(Config!$D$15:$D$18,MATCH($S1022,Config!$B$15:$B$18,0))-INDEX(Config!$C$15:$C$18,MATCH($S1022,Config!$B$15:$B$18,0)))*1440,0)),""))</f>
        <v/>
      </c>
      <c r="V1022" s="5"/>
    </row>
    <row r="1023" spans="1:22" x14ac:dyDescent="0.25">
      <c r="A1023" s="11"/>
      <c r="B1023" s="5"/>
      <c r="C1023" s="6" t="str">
        <f>IFERROR(INDEX(Ejecutivos!$B$2:$B$100,MATCH(B1023,Ejecutivos!$A$2:$A$100,0)),"")</f>
        <v/>
      </c>
      <c r="D1023" s="12"/>
      <c r="E1023" s="12"/>
      <c r="F1023" s="12"/>
      <c r="G1023" s="12"/>
      <c r="H1023" s="5"/>
      <c r="I1023" s="5"/>
      <c r="J1023" s="5"/>
      <c r="K1023" s="5"/>
      <c r="L1023" s="18">
        <v>0</v>
      </c>
      <c r="M1023" t="str">
        <f t="shared" si="67"/>
        <v/>
      </c>
      <c r="N1023" t="str">
        <f>IF(OR($D1023="",$S1023=""),"",IFERROR(MAX(0,ROUND(($D1023-INDEX(Config!$C$15:$C$18,MATCH($S1023,Config!$B$15:$B$18,0)))*24*60,0)),""))</f>
        <v/>
      </c>
      <c r="O1023" t="str">
        <f t="shared" si="68"/>
        <v/>
      </c>
      <c r="P1023" t="str">
        <f t="shared" si="69"/>
        <v/>
      </c>
      <c r="Q1023" t="str">
        <f>IF(OR($P1023="",$S1023=""),"",IFERROR($P1023-INDEX(Config!$E$15:$E$18,MATCH($S1023,Config!$B$15:$B$18,0)),""))</f>
        <v/>
      </c>
      <c r="R1023" t="str">
        <f t="shared" si="70"/>
        <v/>
      </c>
      <c r="S1023" s="6" t="str">
        <f>IF(OR($A1023="",$C1023=""),"",IFERROR(INDEX(Turno!$C$3:$V$32,MATCH($C1023,Turno!$B$3:$B$32,0),MATCH(DAY($A1023),Turno!$C$1:$V$1,0)),""))</f>
        <v/>
      </c>
      <c r="T1023" t="str">
        <f>IF(OR($E1023="",$S1023=""),"",IFERROR(MAX(0,ROUND((INDEX(Config!$D$15:$D$18,MATCH($S1023,Config!$B$15:$B$18,0))-$E1023)*1440,0)),""))</f>
        <v/>
      </c>
      <c r="U1023" s="13" t="str">
        <f>IF(OR($N1023="",$T1023=""),"",IFERROR(MAX(0,1-($N1023+$T1023+MAX(0,N($Q1023)))/ROUND((INDEX(Config!$D$15:$D$18,MATCH($S1023,Config!$B$15:$B$18,0))-INDEX(Config!$C$15:$C$18,MATCH($S1023,Config!$B$15:$B$18,0)))*1440,0)),""))</f>
        <v/>
      </c>
      <c r="V1023" s="5"/>
    </row>
    <row r="1024" spans="1:22" x14ac:dyDescent="0.25">
      <c r="A1024" s="11"/>
      <c r="B1024" s="5"/>
      <c r="C1024" s="6" t="str">
        <f>IFERROR(INDEX(Ejecutivos!$B$2:$B$100,MATCH(B1024,Ejecutivos!$A$2:$A$100,0)),"")</f>
        <v/>
      </c>
      <c r="D1024" s="12"/>
      <c r="E1024" s="12"/>
      <c r="F1024" s="12"/>
      <c r="G1024" s="12"/>
      <c r="H1024" s="5"/>
      <c r="I1024" s="5"/>
      <c r="J1024" s="5"/>
      <c r="K1024" s="5"/>
      <c r="L1024" s="18">
        <v>0</v>
      </c>
      <c r="M1024" t="str">
        <f t="shared" si="67"/>
        <v/>
      </c>
      <c r="N1024" t="str">
        <f>IF(OR($D1024="",$S1024=""),"",IFERROR(MAX(0,ROUND(($D1024-INDEX(Config!$C$15:$C$18,MATCH($S1024,Config!$B$15:$B$18,0)))*24*60,0)),""))</f>
        <v/>
      </c>
      <c r="O1024" t="str">
        <f t="shared" si="68"/>
        <v/>
      </c>
      <c r="P1024" t="str">
        <f t="shared" si="69"/>
        <v/>
      </c>
      <c r="Q1024" t="str">
        <f>IF(OR($P1024="",$S1024=""),"",IFERROR($P1024-INDEX(Config!$E$15:$E$18,MATCH($S1024,Config!$B$15:$B$18,0)),""))</f>
        <v/>
      </c>
      <c r="R1024" t="str">
        <f t="shared" si="70"/>
        <v/>
      </c>
      <c r="S1024" s="6" t="str">
        <f>IF(OR($A1024="",$C1024=""),"",IFERROR(INDEX(Turno!$C$3:$V$32,MATCH($C1024,Turno!$B$3:$B$32,0),MATCH(DAY($A1024),Turno!$C$1:$V$1,0)),""))</f>
        <v/>
      </c>
      <c r="T1024" t="str">
        <f>IF(OR($E1024="",$S1024=""),"",IFERROR(MAX(0,ROUND((INDEX(Config!$D$15:$D$18,MATCH($S1024,Config!$B$15:$B$18,0))-$E1024)*1440,0)),""))</f>
        <v/>
      </c>
      <c r="U1024" s="13" t="str">
        <f>IF(OR($N1024="",$T1024=""),"",IFERROR(MAX(0,1-($N1024+$T1024+MAX(0,N($Q1024)))/ROUND((INDEX(Config!$D$15:$D$18,MATCH($S1024,Config!$B$15:$B$18,0))-INDEX(Config!$C$15:$C$18,MATCH($S1024,Config!$B$15:$B$18,0)))*1440,0)),""))</f>
        <v/>
      </c>
      <c r="V1024" s="5"/>
    </row>
    <row r="1025" spans="1:22" x14ac:dyDescent="0.25">
      <c r="A1025" s="11"/>
      <c r="B1025" s="5"/>
      <c r="C1025" s="6" t="str">
        <f>IFERROR(INDEX(Ejecutivos!$B$2:$B$100,MATCH(B1025,Ejecutivos!$A$2:$A$100,0)),"")</f>
        <v/>
      </c>
      <c r="D1025" s="12"/>
      <c r="E1025" s="12"/>
      <c r="F1025" s="12"/>
      <c r="G1025" s="12"/>
      <c r="H1025" s="5"/>
      <c r="I1025" s="5"/>
      <c r="J1025" s="5"/>
      <c r="K1025" s="5"/>
      <c r="L1025" s="18">
        <v>0</v>
      </c>
      <c r="M1025" t="str">
        <f t="shared" si="67"/>
        <v/>
      </c>
      <c r="N1025" t="str">
        <f>IF(OR($D1025="",$S1025=""),"",IFERROR(MAX(0,ROUND(($D1025-INDEX(Config!$C$15:$C$18,MATCH($S1025,Config!$B$15:$B$18,0)))*24*60,0)),""))</f>
        <v/>
      </c>
      <c r="O1025" t="str">
        <f t="shared" si="68"/>
        <v/>
      </c>
      <c r="P1025" t="str">
        <f t="shared" si="69"/>
        <v/>
      </c>
      <c r="Q1025" t="str">
        <f>IF(OR($P1025="",$S1025=""),"",IFERROR($P1025-INDEX(Config!$E$15:$E$18,MATCH($S1025,Config!$B$15:$B$18,0)),""))</f>
        <v/>
      </c>
      <c r="R1025" t="str">
        <f t="shared" si="70"/>
        <v/>
      </c>
      <c r="S1025" s="6" t="str">
        <f>IF(OR($A1025="",$C1025=""),"",IFERROR(INDEX(Turno!$C$3:$V$32,MATCH($C1025,Turno!$B$3:$B$32,0),MATCH(DAY($A1025),Turno!$C$1:$V$1,0)),""))</f>
        <v/>
      </c>
      <c r="T1025" t="str">
        <f>IF(OR($E1025="",$S1025=""),"",IFERROR(MAX(0,ROUND((INDEX(Config!$D$15:$D$18,MATCH($S1025,Config!$B$15:$B$18,0))-$E1025)*1440,0)),""))</f>
        <v/>
      </c>
      <c r="U1025" s="13" t="str">
        <f>IF(OR($N1025="",$T1025=""),"",IFERROR(MAX(0,1-($N1025+$T1025+MAX(0,N($Q1025)))/ROUND((INDEX(Config!$D$15:$D$18,MATCH($S1025,Config!$B$15:$B$18,0))-INDEX(Config!$C$15:$C$18,MATCH($S1025,Config!$B$15:$B$18,0)))*1440,0)),""))</f>
        <v/>
      </c>
      <c r="V1025" s="5"/>
    </row>
    <row r="1026" spans="1:22" x14ac:dyDescent="0.25">
      <c r="A1026" s="11"/>
      <c r="B1026" s="5"/>
      <c r="C1026" s="6" t="str">
        <f>IFERROR(INDEX(Ejecutivos!$B$2:$B$100,MATCH(B1026,Ejecutivos!$A$2:$A$100,0)),"")</f>
        <v/>
      </c>
      <c r="D1026" s="12"/>
      <c r="E1026" s="12"/>
      <c r="F1026" s="12"/>
      <c r="G1026" s="12"/>
      <c r="H1026" s="5"/>
      <c r="I1026" s="5"/>
      <c r="J1026" s="5"/>
      <c r="K1026" s="5"/>
      <c r="L1026" s="18">
        <v>0</v>
      </c>
      <c r="M1026" t="str">
        <f t="shared" si="67"/>
        <v/>
      </c>
      <c r="N1026" t="str">
        <f>IF(OR($D1026="",$S1026=""),"",IFERROR(MAX(0,ROUND(($D1026-INDEX(Config!$C$15:$C$18,MATCH($S1026,Config!$B$15:$B$18,0)))*24*60,0)),""))</f>
        <v/>
      </c>
      <c r="O1026" t="str">
        <f t="shared" si="68"/>
        <v/>
      </c>
      <c r="P1026" t="str">
        <f t="shared" si="69"/>
        <v/>
      </c>
      <c r="Q1026" t="str">
        <f>IF(OR($P1026="",$S1026=""),"",IFERROR($P1026-INDEX(Config!$E$15:$E$18,MATCH($S1026,Config!$B$15:$B$18,0)),""))</f>
        <v/>
      </c>
      <c r="R1026" t="str">
        <f t="shared" si="70"/>
        <v/>
      </c>
      <c r="S1026" s="6" t="str">
        <f>IF(OR($A1026="",$C1026=""),"",IFERROR(INDEX(Turno!$C$3:$V$32,MATCH($C1026,Turno!$B$3:$B$32,0),MATCH(DAY($A1026),Turno!$C$1:$V$1,0)),""))</f>
        <v/>
      </c>
      <c r="T1026" t="str">
        <f>IF(OR($E1026="",$S1026=""),"",IFERROR(MAX(0,ROUND((INDEX(Config!$D$15:$D$18,MATCH($S1026,Config!$B$15:$B$18,0))-$E1026)*1440,0)),""))</f>
        <v/>
      </c>
      <c r="U1026" s="13" t="str">
        <f>IF(OR($N1026="",$T1026=""),"",IFERROR(MAX(0,1-($N1026+$T1026+MAX(0,N($Q1026)))/ROUND((INDEX(Config!$D$15:$D$18,MATCH($S1026,Config!$B$15:$B$18,0))-INDEX(Config!$C$15:$C$18,MATCH($S1026,Config!$B$15:$B$18,0)))*1440,0)),""))</f>
        <v/>
      </c>
      <c r="V1026" s="5"/>
    </row>
    <row r="1027" spans="1:22" x14ac:dyDescent="0.25">
      <c r="A1027" s="11"/>
      <c r="B1027" s="5"/>
      <c r="C1027" s="6" t="str">
        <f>IFERROR(INDEX(Ejecutivos!$B$2:$B$100,MATCH(B1027,Ejecutivos!$A$2:$A$100,0)),"")</f>
        <v/>
      </c>
      <c r="D1027" s="12"/>
      <c r="E1027" s="12"/>
      <c r="F1027" s="12"/>
      <c r="G1027" s="12"/>
      <c r="H1027" s="5"/>
      <c r="I1027" s="5"/>
      <c r="J1027" s="5"/>
      <c r="K1027" s="5"/>
      <c r="L1027" s="18">
        <v>0</v>
      </c>
      <c r="M1027" t="str">
        <f t="shared" si="67"/>
        <v/>
      </c>
      <c r="N1027" t="str">
        <f>IF(OR($D1027="",$S1027=""),"",IFERROR(MAX(0,ROUND(($D1027-INDEX(Config!$C$15:$C$18,MATCH($S1027,Config!$B$15:$B$18,0)))*24*60,0)),""))</f>
        <v/>
      </c>
      <c r="O1027" t="str">
        <f t="shared" si="68"/>
        <v/>
      </c>
      <c r="P1027" t="str">
        <f t="shared" si="69"/>
        <v/>
      </c>
      <c r="Q1027" t="str">
        <f>IF(OR($P1027="",$S1027=""),"",IFERROR($P1027-INDEX(Config!$E$15:$E$18,MATCH($S1027,Config!$B$15:$B$18,0)),""))</f>
        <v/>
      </c>
      <c r="R1027" t="str">
        <f t="shared" si="70"/>
        <v/>
      </c>
      <c r="S1027" s="6" t="str">
        <f>IF(OR($A1027="",$C1027=""),"",IFERROR(INDEX(Turno!$C$3:$V$32,MATCH($C1027,Turno!$B$3:$B$32,0),MATCH(DAY($A1027),Turno!$C$1:$V$1,0)),""))</f>
        <v/>
      </c>
      <c r="T1027" t="str">
        <f>IF(OR($E1027="",$S1027=""),"",IFERROR(MAX(0,ROUND((INDEX(Config!$D$15:$D$18,MATCH($S1027,Config!$B$15:$B$18,0))-$E1027)*1440,0)),""))</f>
        <v/>
      </c>
      <c r="U1027" s="13" t="str">
        <f>IF(OR($N1027="",$T1027=""),"",IFERROR(MAX(0,1-($N1027+$T1027+MAX(0,N($Q1027)))/ROUND((INDEX(Config!$D$15:$D$18,MATCH($S1027,Config!$B$15:$B$18,0))-INDEX(Config!$C$15:$C$18,MATCH($S1027,Config!$B$15:$B$18,0)))*1440,0)),""))</f>
        <v/>
      </c>
      <c r="V1027" s="5"/>
    </row>
    <row r="1028" spans="1:22" x14ac:dyDescent="0.25">
      <c r="A1028" s="11"/>
      <c r="B1028" s="5"/>
      <c r="C1028" s="6" t="str">
        <f>IFERROR(INDEX(Ejecutivos!$B$2:$B$100,MATCH(B1028,Ejecutivos!$A$2:$A$100,0)),"")</f>
        <v/>
      </c>
      <c r="D1028" s="12"/>
      <c r="E1028" s="12"/>
      <c r="F1028" s="12"/>
      <c r="G1028" s="12"/>
      <c r="H1028" s="5"/>
      <c r="I1028" s="5"/>
      <c r="J1028" s="5"/>
      <c r="K1028" s="5"/>
      <c r="L1028" s="18">
        <v>0</v>
      </c>
      <c r="M1028" t="str">
        <f t="shared" si="67"/>
        <v/>
      </c>
      <c r="N1028" t="str">
        <f>IF(OR($D1028="",$S1028=""),"",IFERROR(MAX(0,ROUND(($D1028-INDEX(Config!$C$15:$C$18,MATCH($S1028,Config!$B$15:$B$18,0)))*24*60,0)),""))</f>
        <v/>
      </c>
      <c r="O1028" t="str">
        <f t="shared" si="68"/>
        <v/>
      </c>
      <c r="P1028" t="str">
        <f t="shared" si="69"/>
        <v/>
      </c>
      <c r="Q1028" t="str">
        <f>IF(OR($P1028="",$S1028=""),"",IFERROR($P1028-INDEX(Config!$E$15:$E$18,MATCH($S1028,Config!$B$15:$B$18,0)),""))</f>
        <v/>
      </c>
      <c r="R1028" t="str">
        <f t="shared" si="70"/>
        <v/>
      </c>
      <c r="S1028" s="6" t="str">
        <f>IF(OR($A1028="",$C1028=""),"",IFERROR(INDEX(Turno!$C$3:$V$32,MATCH($C1028,Turno!$B$3:$B$32,0),MATCH(DAY($A1028),Turno!$C$1:$V$1,0)),""))</f>
        <v/>
      </c>
      <c r="T1028" t="str">
        <f>IF(OR($E1028="",$S1028=""),"",IFERROR(MAX(0,ROUND((INDEX(Config!$D$15:$D$18,MATCH($S1028,Config!$B$15:$B$18,0))-$E1028)*1440,0)),""))</f>
        <v/>
      </c>
      <c r="U1028" s="13" t="str">
        <f>IF(OR($N1028="",$T1028=""),"",IFERROR(MAX(0,1-($N1028+$T1028+MAX(0,N($Q1028)))/ROUND((INDEX(Config!$D$15:$D$18,MATCH($S1028,Config!$B$15:$B$18,0))-INDEX(Config!$C$15:$C$18,MATCH($S1028,Config!$B$15:$B$18,0)))*1440,0)),""))</f>
        <v/>
      </c>
      <c r="V1028" s="5"/>
    </row>
    <row r="1029" spans="1:22" x14ac:dyDescent="0.25">
      <c r="A1029" s="11"/>
      <c r="B1029" s="5"/>
      <c r="C1029" s="6" t="str">
        <f>IFERROR(INDEX(Ejecutivos!$B$2:$B$100,MATCH(B1029,Ejecutivos!$A$2:$A$100,0)),"")</f>
        <v/>
      </c>
      <c r="D1029" s="12"/>
      <c r="E1029" s="12"/>
      <c r="F1029" s="12"/>
      <c r="G1029" s="12"/>
      <c r="H1029" s="5"/>
      <c r="I1029" s="5"/>
      <c r="J1029" s="5"/>
      <c r="K1029" s="5"/>
      <c r="L1029" s="18">
        <v>0</v>
      </c>
      <c r="M1029" t="str">
        <f t="shared" si="67"/>
        <v/>
      </c>
      <c r="N1029" t="str">
        <f>IF(OR($D1029="",$S1029=""),"",IFERROR(MAX(0,ROUND(($D1029-INDEX(Config!$C$15:$C$18,MATCH($S1029,Config!$B$15:$B$18,0)))*24*60,0)),""))</f>
        <v/>
      </c>
      <c r="O1029" t="str">
        <f t="shared" si="68"/>
        <v/>
      </c>
      <c r="P1029" t="str">
        <f t="shared" si="69"/>
        <v/>
      </c>
      <c r="Q1029" t="str">
        <f>IF(OR($P1029="",$S1029=""),"",IFERROR($P1029-INDEX(Config!$E$15:$E$18,MATCH($S1029,Config!$B$15:$B$18,0)),""))</f>
        <v/>
      </c>
      <c r="R1029" t="str">
        <f t="shared" si="70"/>
        <v/>
      </c>
      <c r="S1029" s="6" t="str">
        <f>IF(OR($A1029="",$C1029=""),"",IFERROR(INDEX(Turno!$C$3:$V$32,MATCH($C1029,Turno!$B$3:$B$32,0),MATCH(DAY($A1029),Turno!$C$1:$V$1,0)),""))</f>
        <v/>
      </c>
      <c r="T1029" t="str">
        <f>IF(OR($E1029="",$S1029=""),"",IFERROR(MAX(0,ROUND((INDEX(Config!$D$15:$D$18,MATCH($S1029,Config!$B$15:$B$18,0))-$E1029)*1440,0)),""))</f>
        <v/>
      </c>
      <c r="U1029" s="13" t="str">
        <f>IF(OR($N1029="",$T1029=""),"",IFERROR(MAX(0,1-($N1029+$T1029+MAX(0,N($Q1029)))/ROUND((INDEX(Config!$D$15:$D$18,MATCH($S1029,Config!$B$15:$B$18,0))-INDEX(Config!$C$15:$C$18,MATCH($S1029,Config!$B$15:$B$18,0)))*1440,0)),""))</f>
        <v/>
      </c>
      <c r="V1029" s="5"/>
    </row>
    <row r="1030" spans="1:22" x14ac:dyDescent="0.25">
      <c r="A1030" s="11"/>
      <c r="B1030" s="5"/>
      <c r="C1030" s="6" t="str">
        <f>IFERROR(INDEX(Ejecutivos!$B$2:$B$100,MATCH(B1030,Ejecutivos!$A$2:$A$100,0)),"")</f>
        <v/>
      </c>
      <c r="D1030" s="12"/>
      <c r="E1030" s="12"/>
      <c r="F1030" s="12"/>
      <c r="G1030" s="12"/>
      <c r="H1030" s="5"/>
      <c r="I1030" s="5"/>
      <c r="J1030" s="5"/>
      <c r="K1030" s="5"/>
      <c r="L1030" s="18">
        <v>0</v>
      </c>
      <c r="M1030" t="str">
        <f t="shared" si="67"/>
        <v/>
      </c>
      <c r="N1030" t="str">
        <f>IF(OR($D1030="",$S1030=""),"",IFERROR(MAX(0,ROUND(($D1030-INDEX(Config!$C$15:$C$18,MATCH($S1030,Config!$B$15:$B$18,0)))*24*60,0)),""))</f>
        <v/>
      </c>
      <c r="O1030" t="str">
        <f t="shared" si="68"/>
        <v/>
      </c>
      <c r="P1030" t="str">
        <f t="shared" si="69"/>
        <v/>
      </c>
      <c r="Q1030" t="str">
        <f>IF(OR($P1030="",$S1030=""),"",IFERROR($P1030-INDEX(Config!$E$15:$E$18,MATCH($S1030,Config!$B$15:$B$18,0)),""))</f>
        <v/>
      </c>
      <c r="R1030" t="str">
        <f t="shared" si="70"/>
        <v/>
      </c>
      <c r="S1030" s="6" t="str">
        <f>IF(OR($A1030="",$C1030=""),"",IFERROR(INDEX(Turno!$C$3:$V$32,MATCH($C1030,Turno!$B$3:$B$32,0),MATCH(DAY($A1030),Turno!$C$1:$V$1,0)),""))</f>
        <v/>
      </c>
      <c r="T1030" t="str">
        <f>IF(OR($E1030="",$S1030=""),"",IFERROR(MAX(0,ROUND((INDEX(Config!$D$15:$D$18,MATCH($S1030,Config!$B$15:$B$18,0))-$E1030)*1440,0)),""))</f>
        <v/>
      </c>
      <c r="U1030" s="13" t="str">
        <f>IF(OR($N1030="",$T1030=""),"",IFERROR(MAX(0,1-($N1030+$T1030+MAX(0,N($Q1030)))/ROUND((INDEX(Config!$D$15:$D$18,MATCH($S1030,Config!$B$15:$B$18,0))-INDEX(Config!$C$15:$C$18,MATCH($S1030,Config!$B$15:$B$18,0)))*1440,0)),""))</f>
        <v/>
      </c>
      <c r="V1030" s="5"/>
    </row>
    <row r="1031" spans="1:22" x14ac:dyDescent="0.25">
      <c r="A1031" s="11"/>
      <c r="B1031" s="5"/>
      <c r="C1031" s="6" t="str">
        <f>IFERROR(INDEX(Ejecutivos!$B$2:$B$100,MATCH(B1031,Ejecutivos!$A$2:$A$100,0)),"")</f>
        <v/>
      </c>
      <c r="D1031" s="12"/>
      <c r="E1031" s="12"/>
      <c r="F1031" s="12"/>
      <c r="G1031" s="12"/>
      <c r="H1031" s="5"/>
      <c r="I1031" s="5"/>
      <c r="J1031" s="5"/>
      <c r="K1031" s="5"/>
      <c r="L1031" s="18">
        <v>0</v>
      </c>
      <c r="M1031" t="str">
        <f t="shared" si="67"/>
        <v/>
      </c>
      <c r="N1031" t="str">
        <f>IF(OR($D1031="",$S1031=""),"",IFERROR(MAX(0,ROUND(($D1031-INDEX(Config!$C$15:$C$18,MATCH($S1031,Config!$B$15:$B$18,0)))*24*60,0)),""))</f>
        <v/>
      </c>
      <c r="O1031" t="str">
        <f t="shared" si="68"/>
        <v/>
      </c>
      <c r="P1031" t="str">
        <f t="shared" si="69"/>
        <v/>
      </c>
      <c r="Q1031" t="str">
        <f>IF(OR($P1031="",$S1031=""),"",IFERROR($P1031-INDEX(Config!$E$15:$E$18,MATCH($S1031,Config!$B$15:$B$18,0)),""))</f>
        <v/>
      </c>
      <c r="R1031" t="str">
        <f t="shared" si="70"/>
        <v/>
      </c>
      <c r="S1031" s="6" t="str">
        <f>IF(OR($A1031="",$C1031=""),"",IFERROR(INDEX(Turno!$C$3:$V$32,MATCH($C1031,Turno!$B$3:$B$32,0),MATCH(DAY($A1031),Turno!$C$1:$V$1,0)),""))</f>
        <v/>
      </c>
      <c r="T1031" t="str">
        <f>IF(OR($E1031="",$S1031=""),"",IFERROR(MAX(0,ROUND((INDEX(Config!$D$15:$D$18,MATCH($S1031,Config!$B$15:$B$18,0))-$E1031)*1440,0)),""))</f>
        <v/>
      </c>
      <c r="U1031" s="13" t="str">
        <f>IF(OR($N1031="",$T1031=""),"",IFERROR(MAX(0,1-($N1031+$T1031+MAX(0,N($Q1031)))/ROUND((INDEX(Config!$D$15:$D$18,MATCH($S1031,Config!$B$15:$B$18,0))-INDEX(Config!$C$15:$C$18,MATCH($S1031,Config!$B$15:$B$18,0)))*1440,0)),""))</f>
        <v/>
      </c>
      <c r="V1031" s="5"/>
    </row>
    <row r="1032" spans="1:22" x14ac:dyDescent="0.25">
      <c r="A1032" s="11"/>
      <c r="B1032" s="5"/>
      <c r="C1032" s="6" t="str">
        <f>IFERROR(INDEX(Ejecutivos!$B$2:$B$100,MATCH(B1032,Ejecutivos!$A$2:$A$100,0)),"")</f>
        <v/>
      </c>
      <c r="D1032" s="12"/>
      <c r="E1032" s="12"/>
      <c r="F1032" s="12"/>
      <c r="G1032" s="12"/>
      <c r="H1032" s="5"/>
      <c r="I1032" s="5"/>
      <c r="J1032" s="5"/>
      <c r="K1032" s="5"/>
      <c r="L1032" s="18">
        <v>0</v>
      </c>
      <c r="M1032" t="str">
        <f t="shared" si="67"/>
        <v/>
      </c>
      <c r="N1032" t="str">
        <f>IF(OR($D1032="",$S1032=""),"",IFERROR(MAX(0,ROUND(($D1032-INDEX(Config!$C$15:$C$18,MATCH($S1032,Config!$B$15:$B$18,0)))*24*60,0)),""))</f>
        <v/>
      </c>
      <c r="O1032" t="str">
        <f t="shared" si="68"/>
        <v/>
      </c>
      <c r="P1032" t="str">
        <f t="shared" si="69"/>
        <v/>
      </c>
      <c r="Q1032" t="str">
        <f>IF(OR($P1032="",$S1032=""),"",IFERROR($P1032-INDEX(Config!$E$15:$E$18,MATCH($S1032,Config!$B$15:$B$18,0)),""))</f>
        <v/>
      </c>
      <c r="R1032" t="str">
        <f t="shared" si="70"/>
        <v/>
      </c>
      <c r="S1032" s="6" t="str">
        <f>IF(OR($A1032="",$C1032=""),"",IFERROR(INDEX(Turno!$C$3:$V$32,MATCH($C1032,Turno!$B$3:$B$32,0),MATCH(DAY($A1032),Turno!$C$1:$V$1,0)),""))</f>
        <v/>
      </c>
      <c r="T1032" t="str">
        <f>IF(OR($E1032="",$S1032=""),"",IFERROR(MAX(0,ROUND((INDEX(Config!$D$15:$D$18,MATCH($S1032,Config!$B$15:$B$18,0))-$E1032)*1440,0)),""))</f>
        <v/>
      </c>
      <c r="U1032" s="13" t="str">
        <f>IF(OR($N1032="",$T1032=""),"",IFERROR(MAX(0,1-($N1032+$T1032+MAX(0,N($Q1032)))/ROUND((INDEX(Config!$D$15:$D$18,MATCH($S1032,Config!$B$15:$B$18,0))-INDEX(Config!$C$15:$C$18,MATCH($S1032,Config!$B$15:$B$18,0)))*1440,0)),""))</f>
        <v/>
      </c>
      <c r="V1032" s="5"/>
    </row>
    <row r="1033" spans="1:22" x14ac:dyDescent="0.25">
      <c r="A1033" s="11"/>
      <c r="B1033" s="5"/>
      <c r="C1033" s="6" t="str">
        <f>IFERROR(INDEX(Ejecutivos!$B$2:$B$100,MATCH(B1033,Ejecutivos!$A$2:$A$100,0)),"")</f>
        <v/>
      </c>
      <c r="D1033" s="12"/>
      <c r="E1033" s="12"/>
      <c r="F1033" s="12"/>
      <c r="G1033" s="12"/>
      <c r="H1033" s="5"/>
      <c r="I1033" s="5"/>
      <c r="J1033" s="5"/>
      <c r="K1033" s="5"/>
      <c r="L1033" s="18">
        <v>0</v>
      </c>
      <c r="M1033" t="str">
        <f t="shared" si="67"/>
        <v/>
      </c>
      <c r="N1033" t="str">
        <f>IF(OR($D1033="",$S1033=""),"",IFERROR(MAX(0,ROUND(($D1033-INDEX(Config!$C$15:$C$18,MATCH($S1033,Config!$B$15:$B$18,0)))*24*60,0)),""))</f>
        <v/>
      </c>
      <c r="O1033" t="str">
        <f t="shared" si="68"/>
        <v/>
      </c>
      <c r="P1033" t="str">
        <f t="shared" si="69"/>
        <v/>
      </c>
      <c r="Q1033" t="str">
        <f>IF(OR($P1033="",$S1033=""),"",IFERROR($P1033-INDEX(Config!$E$15:$E$18,MATCH($S1033,Config!$B$15:$B$18,0)),""))</f>
        <v/>
      </c>
      <c r="R1033" t="str">
        <f t="shared" si="70"/>
        <v/>
      </c>
      <c r="S1033" s="6" t="str">
        <f>IF(OR($A1033="",$C1033=""),"",IFERROR(INDEX(Turno!$C$3:$V$32,MATCH($C1033,Turno!$B$3:$B$32,0),MATCH(DAY($A1033),Turno!$C$1:$V$1,0)),""))</f>
        <v/>
      </c>
      <c r="T1033" t="str">
        <f>IF(OR($E1033="",$S1033=""),"",IFERROR(MAX(0,ROUND((INDEX(Config!$D$15:$D$18,MATCH($S1033,Config!$B$15:$B$18,0))-$E1033)*1440,0)),""))</f>
        <v/>
      </c>
      <c r="U1033" s="13" t="str">
        <f>IF(OR($N1033="",$T1033=""),"",IFERROR(MAX(0,1-($N1033+$T1033+MAX(0,N($Q1033)))/ROUND((INDEX(Config!$D$15:$D$18,MATCH($S1033,Config!$B$15:$B$18,0))-INDEX(Config!$C$15:$C$18,MATCH($S1033,Config!$B$15:$B$18,0)))*1440,0)),""))</f>
        <v/>
      </c>
      <c r="V1033" s="5"/>
    </row>
    <row r="1034" spans="1:22" x14ac:dyDescent="0.25">
      <c r="A1034" s="11"/>
      <c r="B1034" s="5"/>
      <c r="C1034" s="6" t="str">
        <f>IFERROR(INDEX(Ejecutivos!$B$2:$B$100,MATCH(B1034,Ejecutivos!$A$2:$A$100,0)),"")</f>
        <v/>
      </c>
      <c r="D1034" s="12"/>
      <c r="E1034" s="12"/>
      <c r="F1034" s="12"/>
      <c r="G1034" s="12"/>
      <c r="H1034" s="5"/>
      <c r="I1034" s="5"/>
      <c r="J1034" s="5"/>
      <c r="K1034" s="5"/>
      <c r="L1034" s="18">
        <v>0</v>
      </c>
      <c r="M1034" t="str">
        <f t="shared" si="67"/>
        <v/>
      </c>
      <c r="N1034" t="str">
        <f>IF(OR($D1034="",$S1034=""),"",IFERROR(MAX(0,ROUND(($D1034-INDEX(Config!$C$15:$C$18,MATCH($S1034,Config!$B$15:$B$18,0)))*24*60,0)),""))</f>
        <v/>
      </c>
      <c r="O1034" t="str">
        <f t="shared" si="68"/>
        <v/>
      </c>
      <c r="P1034" t="str">
        <f t="shared" si="69"/>
        <v/>
      </c>
      <c r="Q1034" t="str">
        <f>IF(OR($P1034="",$S1034=""),"",IFERROR($P1034-INDEX(Config!$E$15:$E$18,MATCH($S1034,Config!$B$15:$B$18,0)),""))</f>
        <v/>
      </c>
      <c r="R1034" t="str">
        <f t="shared" si="70"/>
        <v/>
      </c>
      <c r="S1034" s="6" t="str">
        <f>IF(OR($A1034="",$C1034=""),"",IFERROR(INDEX(Turno!$C$3:$V$32,MATCH($C1034,Turno!$B$3:$B$32,0),MATCH(DAY($A1034),Turno!$C$1:$V$1,0)),""))</f>
        <v/>
      </c>
      <c r="T1034" t="str">
        <f>IF(OR($E1034="",$S1034=""),"",IFERROR(MAX(0,ROUND((INDEX(Config!$D$15:$D$18,MATCH($S1034,Config!$B$15:$B$18,0))-$E1034)*1440,0)),""))</f>
        <v/>
      </c>
      <c r="U1034" s="13" t="str">
        <f>IF(OR($N1034="",$T1034=""),"",IFERROR(MAX(0,1-($N1034+$T1034+MAX(0,N($Q1034)))/ROUND((INDEX(Config!$D$15:$D$18,MATCH($S1034,Config!$B$15:$B$18,0))-INDEX(Config!$C$15:$C$18,MATCH($S1034,Config!$B$15:$B$18,0)))*1440,0)),""))</f>
        <v/>
      </c>
      <c r="V1034" s="5"/>
    </row>
    <row r="1035" spans="1:22" x14ac:dyDescent="0.25">
      <c r="A1035" s="11"/>
      <c r="B1035" s="5"/>
      <c r="C1035" s="6" t="str">
        <f>IFERROR(INDEX(Ejecutivos!$B$2:$B$100,MATCH(B1035,Ejecutivos!$A$2:$A$100,0)),"")</f>
        <v/>
      </c>
      <c r="D1035" s="12"/>
      <c r="E1035" s="12"/>
      <c r="F1035" s="12"/>
      <c r="G1035" s="12"/>
      <c r="H1035" s="5"/>
      <c r="I1035" s="5"/>
      <c r="J1035" s="5"/>
      <c r="K1035" s="5"/>
      <c r="L1035" s="18">
        <v>0</v>
      </c>
      <c r="M1035" t="str">
        <f t="shared" si="67"/>
        <v/>
      </c>
      <c r="N1035" t="str">
        <f>IF(OR($D1035="",$S1035=""),"",IFERROR(MAX(0,ROUND(($D1035-INDEX(Config!$C$15:$C$18,MATCH($S1035,Config!$B$15:$B$18,0)))*24*60,0)),""))</f>
        <v/>
      </c>
      <c r="O1035" t="str">
        <f t="shared" si="68"/>
        <v/>
      </c>
      <c r="P1035" t="str">
        <f t="shared" si="69"/>
        <v/>
      </c>
      <c r="Q1035" t="str">
        <f>IF(OR($P1035="",$S1035=""),"",IFERROR($P1035-INDEX(Config!$E$15:$E$18,MATCH($S1035,Config!$B$15:$B$18,0)),""))</f>
        <v/>
      </c>
      <c r="R1035" t="str">
        <f t="shared" si="70"/>
        <v/>
      </c>
      <c r="S1035" s="6" t="str">
        <f>IF(OR($A1035="",$C1035=""),"",IFERROR(INDEX(Turno!$C$3:$V$32,MATCH($C1035,Turno!$B$3:$B$32,0),MATCH(DAY($A1035),Turno!$C$1:$V$1,0)),""))</f>
        <v/>
      </c>
      <c r="T1035" t="str">
        <f>IF(OR($E1035="",$S1035=""),"",IFERROR(MAX(0,ROUND((INDEX(Config!$D$15:$D$18,MATCH($S1035,Config!$B$15:$B$18,0))-$E1035)*1440,0)),""))</f>
        <v/>
      </c>
      <c r="U1035" s="13" t="str">
        <f>IF(OR($N1035="",$T1035=""),"",IFERROR(MAX(0,1-($N1035+$T1035+MAX(0,N($Q1035)))/ROUND((INDEX(Config!$D$15:$D$18,MATCH($S1035,Config!$B$15:$B$18,0))-INDEX(Config!$C$15:$C$18,MATCH($S1035,Config!$B$15:$B$18,0)))*1440,0)),""))</f>
        <v/>
      </c>
      <c r="V1035" s="5"/>
    </row>
    <row r="1036" spans="1:22" x14ac:dyDescent="0.25">
      <c r="A1036" s="11"/>
      <c r="B1036" s="5"/>
      <c r="C1036" s="6" t="str">
        <f>IFERROR(INDEX(Ejecutivos!$B$2:$B$100,MATCH(B1036,Ejecutivos!$A$2:$A$100,0)),"")</f>
        <v/>
      </c>
      <c r="D1036" s="12"/>
      <c r="E1036" s="12"/>
      <c r="F1036" s="12"/>
      <c r="G1036" s="12"/>
      <c r="H1036" s="5"/>
      <c r="I1036" s="5"/>
      <c r="J1036" s="5"/>
      <c r="K1036" s="5"/>
      <c r="L1036" s="18">
        <v>0</v>
      </c>
      <c r="M1036" t="str">
        <f t="shared" si="67"/>
        <v/>
      </c>
      <c r="N1036" t="str">
        <f>IF(OR($D1036="",$S1036=""),"",IFERROR(MAX(0,ROUND(($D1036-INDEX(Config!$C$15:$C$18,MATCH($S1036,Config!$B$15:$B$18,0)))*24*60,0)),""))</f>
        <v/>
      </c>
      <c r="O1036" t="str">
        <f t="shared" si="68"/>
        <v/>
      </c>
      <c r="P1036" t="str">
        <f t="shared" si="69"/>
        <v/>
      </c>
      <c r="Q1036" t="str">
        <f>IF(OR($P1036="",$S1036=""),"",IFERROR($P1036-INDEX(Config!$E$15:$E$18,MATCH($S1036,Config!$B$15:$B$18,0)),""))</f>
        <v/>
      </c>
      <c r="R1036" t="str">
        <f t="shared" si="70"/>
        <v/>
      </c>
      <c r="S1036" s="6" t="str">
        <f>IF(OR($A1036="",$C1036=""),"",IFERROR(INDEX(Turno!$C$3:$V$32,MATCH($C1036,Turno!$B$3:$B$32,0),MATCH(DAY($A1036),Turno!$C$1:$V$1,0)),""))</f>
        <v/>
      </c>
      <c r="T1036" t="str">
        <f>IF(OR($E1036="",$S1036=""),"",IFERROR(MAX(0,ROUND((INDEX(Config!$D$15:$D$18,MATCH($S1036,Config!$B$15:$B$18,0))-$E1036)*1440,0)),""))</f>
        <v/>
      </c>
      <c r="U1036" s="13" t="str">
        <f>IF(OR($N1036="",$T1036=""),"",IFERROR(MAX(0,1-($N1036+$T1036+MAX(0,N($Q1036)))/ROUND((INDEX(Config!$D$15:$D$18,MATCH($S1036,Config!$B$15:$B$18,0))-INDEX(Config!$C$15:$C$18,MATCH($S1036,Config!$B$15:$B$18,0)))*1440,0)),""))</f>
        <v/>
      </c>
      <c r="V1036" s="5"/>
    </row>
    <row r="1037" spans="1:22" x14ac:dyDescent="0.25">
      <c r="A1037" s="11"/>
      <c r="B1037" s="5"/>
      <c r="C1037" s="6" t="str">
        <f>IFERROR(INDEX(Ejecutivos!$B$2:$B$100,MATCH(B1037,Ejecutivos!$A$2:$A$100,0)),"")</f>
        <v/>
      </c>
      <c r="D1037" s="12"/>
      <c r="E1037" s="12"/>
      <c r="F1037" s="12"/>
      <c r="G1037" s="12"/>
      <c r="H1037" s="5"/>
      <c r="I1037" s="5"/>
      <c r="J1037" s="5"/>
      <c r="K1037" s="5"/>
      <c r="L1037" s="18">
        <v>0</v>
      </c>
      <c r="M1037" t="str">
        <f t="shared" si="67"/>
        <v/>
      </c>
      <c r="N1037" t="str">
        <f>IF(OR($D1037="",$S1037=""),"",IFERROR(MAX(0,ROUND(($D1037-INDEX(Config!$C$15:$C$18,MATCH($S1037,Config!$B$15:$B$18,0)))*24*60,0)),""))</f>
        <v/>
      </c>
      <c r="O1037" t="str">
        <f t="shared" si="68"/>
        <v/>
      </c>
      <c r="P1037" t="str">
        <f t="shared" si="69"/>
        <v/>
      </c>
      <c r="Q1037" t="str">
        <f>IF(OR($P1037="",$S1037=""),"",IFERROR($P1037-INDEX(Config!$E$15:$E$18,MATCH($S1037,Config!$B$15:$B$18,0)),""))</f>
        <v/>
      </c>
      <c r="R1037" t="str">
        <f t="shared" si="70"/>
        <v/>
      </c>
      <c r="S1037" s="6" t="str">
        <f>IF(OR($A1037="",$C1037=""),"",IFERROR(INDEX(Turno!$C$3:$V$32,MATCH($C1037,Turno!$B$3:$B$32,0),MATCH(DAY($A1037),Turno!$C$1:$V$1,0)),""))</f>
        <v/>
      </c>
      <c r="T1037" t="str">
        <f>IF(OR($E1037="",$S1037=""),"",IFERROR(MAX(0,ROUND((INDEX(Config!$D$15:$D$18,MATCH($S1037,Config!$B$15:$B$18,0))-$E1037)*1440,0)),""))</f>
        <v/>
      </c>
      <c r="U1037" s="13" t="str">
        <f>IF(OR($N1037="",$T1037=""),"",IFERROR(MAX(0,1-($N1037+$T1037+MAX(0,N($Q1037)))/ROUND((INDEX(Config!$D$15:$D$18,MATCH($S1037,Config!$B$15:$B$18,0))-INDEX(Config!$C$15:$C$18,MATCH($S1037,Config!$B$15:$B$18,0)))*1440,0)),""))</f>
        <v/>
      </c>
      <c r="V1037" s="5"/>
    </row>
    <row r="1038" spans="1:22" x14ac:dyDescent="0.25">
      <c r="A1038" s="11"/>
      <c r="B1038" s="5"/>
      <c r="C1038" s="6" t="str">
        <f>IFERROR(INDEX(Ejecutivos!$B$2:$B$100,MATCH(B1038,Ejecutivos!$A$2:$A$100,0)),"")</f>
        <v/>
      </c>
      <c r="D1038" s="12"/>
      <c r="E1038" s="12"/>
      <c r="F1038" s="12"/>
      <c r="G1038" s="12"/>
      <c r="H1038" s="5"/>
      <c r="I1038" s="5"/>
      <c r="J1038" s="5"/>
      <c r="K1038" s="5"/>
      <c r="L1038" s="18">
        <v>0</v>
      </c>
      <c r="M1038" t="str">
        <f t="shared" si="67"/>
        <v/>
      </c>
      <c r="N1038" t="str">
        <f>IF(OR($D1038="",$S1038=""),"",IFERROR(MAX(0,ROUND(($D1038-INDEX(Config!$C$15:$C$18,MATCH($S1038,Config!$B$15:$B$18,0)))*24*60,0)),""))</f>
        <v/>
      </c>
      <c r="O1038" t="str">
        <f t="shared" si="68"/>
        <v/>
      </c>
      <c r="P1038" t="str">
        <f t="shared" si="69"/>
        <v/>
      </c>
      <c r="Q1038" t="str">
        <f>IF(OR($P1038="",$S1038=""),"",IFERROR($P1038-INDEX(Config!$E$15:$E$18,MATCH($S1038,Config!$B$15:$B$18,0)),""))</f>
        <v/>
      </c>
      <c r="R1038" t="str">
        <f t="shared" si="70"/>
        <v/>
      </c>
      <c r="S1038" s="6" t="str">
        <f>IF(OR($A1038="",$C1038=""),"",IFERROR(INDEX(Turno!$C$3:$V$32,MATCH($C1038,Turno!$B$3:$B$32,0),MATCH(DAY($A1038),Turno!$C$1:$V$1,0)),""))</f>
        <v/>
      </c>
      <c r="T1038" t="str">
        <f>IF(OR($E1038="",$S1038=""),"",IFERROR(MAX(0,ROUND((INDEX(Config!$D$15:$D$18,MATCH($S1038,Config!$B$15:$B$18,0))-$E1038)*1440,0)),""))</f>
        <v/>
      </c>
      <c r="U1038" s="13" t="str">
        <f>IF(OR($N1038="",$T1038=""),"",IFERROR(MAX(0,1-($N1038+$T1038+MAX(0,N($Q1038)))/ROUND((INDEX(Config!$D$15:$D$18,MATCH($S1038,Config!$B$15:$B$18,0))-INDEX(Config!$C$15:$C$18,MATCH($S1038,Config!$B$15:$B$18,0)))*1440,0)),""))</f>
        <v/>
      </c>
      <c r="V1038" s="5"/>
    </row>
    <row r="1039" spans="1:22" x14ac:dyDescent="0.25">
      <c r="A1039" s="11"/>
      <c r="B1039" s="5"/>
      <c r="C1039" s="6" t="str">
        <f>IFERROR(INDEX(Ejecutivos!$B$2:$B$100,MATCH(B1039,Ejecutivos!$A$2:$A$100,0)),"")</f>
        <v/>
      </c>
      <c r="D1039" s="12"/>
      <c r="E1039" s="12"/>
      <c r="F1039" s="12"/>
      <c r="G1039" s="12"/>
      <c r="H1039" s="5"/>
      <c r="I1039" s="5"/>
      <c r="J1039" s="5"/>
      <c r="K1039" s="5"/>
      <c r="L1039" s="18">
        <v>0</v>
      </c>
      <c r="M1039" t="str">
        <f t="shared" si="67"/>
        <v/>
      </c>
      <c r="N1039" t="str">
        <f>IF(OR($D1039="",$S1039=""),"",IFERROR(MAX(0,ROUND(($D1039-INDEX(Config!$C$15:$C$18,MATCH($S1039,Config!$B$15:$B$18,0)))*24*60,0)),""))</f>
        <v/>
      </c>
      <c r="O1039" t="str">
        <f t="shared" si="68"/>
        <v/>
      </c>
      <c r="P1039" t="str">
        <f t="shared" si="69"/>
        <v/>
      </c>
      <c r="Q1039" t="str">
        <f>IF(OR($P1039="",$S1039=""),"",IFERROR($P1039-INDEX(Config!$E$15:$E$18,MATCH($S1039,Config!$B$15:$B$18,0)),""))</f>
        <v/>
      </c>
      <c r="R1039" t="str">
        <f t="shared" si="70"/>
        <v/>
      </c>
      <c r="S1039" s="6" t="str">
        <f>IF(OR($A1039="",$C1039=""),"",IFERROR(INDEX(Turno!$C$3:$V$32,MATCH($C1039,Turno!$B$3:$B$32,0),MATCH(DAY($A1039),Turno!$C$1:$V$1,0)),""))</f>
        <v/>
      </c>
      <c r="T1039" t="str">
        <f>IF(OR($E1039="",$S1039=""),"",IFERROR(MAX(0,ROUND((INDEX(Config!$D$15:$D$18,MATCH($S1039,Config!$B$15:$B$18,0))-$E1039)*1440,0)),""))</f>
        <v/>
      </c>
      <c r="U1039" s="13" t="str">
        <f>IF(OR($N1039="",$T1039=""),"",IFERROR(MAX(0,1-($N1039+$T1039+MAX(0,N($Q1039)))/ROUND((INDEX(Config!$D$15:$D$18,MATCH($S1039,Config!$B$15:$B$18,0))-INDEX(Config!$C$15:$C$18,MATCH($S1039,Config!$B$15:$B$18,0)))*1440,0)),""))</f>
        <v/>
      </c>
      <c r="V1039" s="5"/>
    </row>
    <row r="1040" spans="1:22" x14ac:dyDescent="0.25">
      <c r="A1040" s="11"/>
      <c r="B1040" s="5"/>
      <c r="C1040" s="6" t="str">
        <f>IFERROR(INDEX(Ejecutivos!$B$2:$B$100,MATCH(B1040,Ejecutivos!$A$2:$A$100,0)),"")</f>
        <v/>
      </c>
      <c r="D1040" s="12"/>
      <c r="E1040" s="12"/>
      <c r="F1040" s="12"/>
      <c r="G1040" s="12"/>
      <c r="H1040" s="5"/>
      <c r="I1040" s="5"/>
      <c r="J1040" s="5"/>
      <c r="K1040" s="5"/>
      <c r="L1040" s="18">
        <v>0</v>
      </c>
      <c r="M1040" t="str">
        <f t="shared" si="67"/>
        <v/>
      </c>
      <c r="N1040" t="str">
        <f>IF(OR($D1040="",$S1040=""),"",IFERROR(MAX(0,ROUND(($D1040-INDEX(Config!$C$15:$C$18,MATCH($S1040,Config!$B$15:$B$18,0)))*24*60,0)),""))</f>
        <v/>
      </c>
      <c r="O1040" t="str">
        <f t="shared" si="68"/>
        <v/>
      </c>
      <c r="P1040" t="str">
        <f t="shared" si="69"/>
        <v/>
      </c>
      <c r="Q1040" t="str">
        <f>IF(OR($P1040="",$S1040=""),"",IFERROR($P1040-INDEX(Config!$E$15:$E$18,MATCH($S1040,Config!$B$15:$B$18,0)),""))</f>
        <v/>
      </c>
      <c r="R1040" t="str">
        <f t="shared" si="70"/>
        <v/>
      </c>
      <c r="S1040" s="6" t="str">
        <f>IF(OR($A1040="",$C1040=""),"",IFERROR(INDEX(Turno!$C$3:$V$32,MATCH($C1040,Turno!$B$3:$B$32,0),MATCH(DAY($A1040),Turno!$C$1:$V$1,0)),""))</f>
        <v/>
      </c>
      <c r="T1040" t="str">
        <f>IF(OR($E1040="",$S1040=""),"",IFERROR(MAX(0,ROUND((INDEX(Config!$D$15:$D$18,MATCH($S1040,Config!$B$15:$B$18,0))-$E1040)*1440,0)),""))</f>
        <v/>
      </c>
      <c r="U1040" s="13" t="str">
        <f>IF(OR($N1040="",$T1040=""),"",IFERROR(MAX(0,1-($N1040+$T1040+MAX(0,N($Q1040)))/ROUND((INDEX(Config!$D$15:$D$18,MATCH($S1040,Config!$B$15:$B$18,0))-INDEX(Config!$C$15:$C$18,MATCH($S1040,Config!$B$15:$B$18,0)))*1440,0)),""))</f>
        <v/>
      </c>
      <c r="V1040" s="5"/>
    </row>
    <row r="1041" spans="1:22" x14ac:dyDescent="0.25">
      <c r="A1041" s="11"/>
      <c r="B1041" s="5"/>
      <c r="C1041" s="6" t="str">
        <f>IFERROR(INDEX(Ejecutivos!$B$2:$B$100,MATCH(B1041,Ejecutivos!$A$2:$A$100,0)),"")</f>
        <v/>
      </c>
      <c r="D1041" s="12"/>
      <c r="E1041" s="12"/>
      <c r="F1041" s="12"/>
      <c r="G1041" s="12"/>
      <c r="H1041" s="5"/>
      <c r="I1041" s="5"/>
      <c r="J1041" s="5"/>
      <c r="K1041" s="5"/>
      <c r="L1041" s="18">
        <v>0</v>
      </c>
      <c r="M1041" t="str">
        <f t="shared" si="67"/>
        <v/>
      </c>
      <c r="N1041" t="str">
        <f>IF(OR($D1041="",$S1041=""),"",IFERROR(MAX(0,ROUND(($D1041-INDEX(Config!$C$15:$C$18,MATCH($S1041,Config!$B$15:$B$18,0)))*24*60,0)),""))</f>
        <v/>
      </c>
      <c r="O1041" t="str">
        <f t="shared" si="68"/>
        <v/>
      </c>
      <c r="P1041" t="str">
        <f t="shared" si="69"/>
        <v/>
      </c>
      <c r="Q1041" t="str">
        <f>IF(OR($P1041="",$S1041=""),"",IFERROR($P1041-INDEX(Config!$E$15:$E$18,MATCH($S1041,Config!$B$15:$B$18,0)),""))</f>
        <v/>
      </c>
      <c r="R1041" t="str">
        <f t="shared" si="70"/>
        <v/>
      </c>
      <c r="S1041" s="6" t="str">
        <f>IF(OR($A1041="",$C1041=""),"",IFERROR(INDEX(Turno!$C$3:$V$32,MATCH($C1041,Turno!$B$3:$B$32,0),MATCH(DAY($A1041),Turno!$C$1:$V$1,0)),""))</f>
        <v/>
      </c>
      <c r="T1041" t="str">
        <f>IF(OR($E1041="",$S1041=""),"",IFERROR(MAX(0,ROUND((INDEX(Config!$D$15:$D$18,MATCH($S1041,Config!$B$15:$B$18,0))-$E1041)*1440,0)),""))</f>
        <v/>
      </c>
      <c r="U1041" s="13" t="str">
        <f>IF(OR($N1041="",$T1041=""),"",IFERROR(MAX(0,1-($N1041+$T1041+MAX(0,N($Q1041)))/ROUND((INDEX(Config!$D$15:$D$18,MATCH($S1041,Config!$B$15:$B$18,0))-INDEX(Config!$C$15:$C$18,MATCH($S1041,Config!$B$15:$B$18,0)))*1440,0)),""))</f>
        <v/>
      </c>
      <c r="V1041" s="5"/>
    </row>
    <row r="1042" spans="1:22" x14ac:dyDescent="0.25">
      <c r="A1042" s="11"/>
      <c r="B1042" s="5"/>
      <c r="C1042" s="6" t="str">
        <f>IFERROR(INDEX(Ejecutivos!$B$2:$B$100,MATCH(B1042,Ejecutivos!$A$2:$A$100,0)),"")</f>
        <v/>
      </c>
      <c r="D1042" s="12"/>
      <c r="E1042" s="12"/>
      <c r="F1042" s="12"/>
      <c r="G1042" s="12"/>
      <c r="H1042" s="5"/>
      <c r="I1042" s="5"/>
      <c r="J1042" s="5"/>
      <c r="K1042" s="5"/>
      <c r="L1042" s="18">
        <v>0</v>
      </c>
      <c r="M1042" t="str">
        <f t="shared" si="67"/>
        <v/>
      </c>
      <c r="N1042" t="str">
        <f>IF(OR($D1042="",$S1042=""),"",IFERROR(MAX(0,ROUND(($D1042-INDEX(Config!$C$15:$C$18,MATCH($S1042,Config!$B$15:$B$18,0)))*24*60,0)),""))</f>
        <v/>
      </c>
      <c r="O1042" t="str">
        <f t="shared" si="68"/>
        <v/>
      </c>
      <c r="P1042" t="str">
        <f t="shared" si="69"/>
        <v/>
      </c>
      <c r="Q1042" t="str">
        <f>IF(OR($P1042="",$S1042=""),"",IFERROR($P1042-INDEX(Config!$E$15:$E$18,MATCH($S1042,Config!$B$15:$B$18,0)),""))</f>
        <v/>
      </c>
      <c r="R1042" t="str">
        <f t="shared" si="70"/>
        <v/>
      </c>
      <c r="S1042" s="6" t="str">
        <f>IF(OR($A1042="",$C1042=""),"",IFERROR(INDEX(Turno!$C$3:$V$32,MATCH($C1042,Turno!$B$3:$B$32,0),MATCH(DAY($A1042),Turno!$C$1:$V$1,0)),""))</f>
        <v/>
      </c>
      <c r="T1042" t="str">
        <f>IF(OR($E1042="",$S1042=""),"",IFERROR(MAX(0,ROUND((INDEX(Config!$D$15:$D$18,MATCH($S1042,Config!$B$15:$B$18,0))-$E1042)*1440,0)),""))</f>
        <v/>
      </c>
      <c r="U1042" s="13" t="str">
        <f>IF(OR($N1042="",$T1042=""),"",IFERROR(MAX(0,1-($N1042+$T1042+MAX(0,N($Q1042)))/ROUND((INDEX(Config!$D$15:$D$18,MATCH($S1042,Config!$B$15:$B$18,0))-INDEX(Config!$C$15:$C$18,MATCH($S1042,Config!$B$15:$B$18,0)))*1440,0)),""))</f>
        <v/>
      </c>
      <c r="V1042" s="5"/>
    </row>
    <row r="1043" spans="1:22" x14ac:dyDescent="0.25">
      <c r="A1043" s="11"/>
      <c r="B1043" s="5"/>
      <c r="C1043" s="6" t="str">
        <f>IFERROR(INDEX(Ejecutivos!$B$2:$B$100,MATCH(B1043,Ejecutivos!$A$2:$A$100,0)),"")</f>
        <v/>
      </c>
      <c r="D1043" s="12"/>
      <c r="E1043" s="12"/>
      <c r="F1043" s="12"/>
      <c r="G1043" s="12"/>
      <c r="H1043" s="5"/>
      <c r="I1043" s="5"/>
      <c r="J1043" s="5"/>
      <c r="K1043" s="5"/>
      <c r="L1043" s="18">
        <v>0</v>
      </c>
      <c r="M1043" t="str">
        <f t="shared" si="67"/>
        <v/>
      </c>
      <c r="N1043" t="str">
        <f>IF(OR($D1043="",$S1043=""),"",IFERROR(MAX(0,ROUND(($D1043-INDEX(Config!$C$15:$C$18,MATCH($S1043,Config!$B$15:$B$18,0)))*24*60,0)),""))</f>
        <v/>
      </c>
      <c r="O1043" t="str">
        <f t="shared" si="68"/>
        <v/>
      </c>
      <c r="P1043" t="str">
        <f t="shared" si="69"/>
        <v/>
      </c>
      <c r="Q1043" t="str">
        <f>IF(OR($P1043="",$S1043=""),"",IFERROR($P1043-INDEX(Config!$E$15:$E$18,MATCH($S1043,Config!$B$15:$B$18,0)),""))</f>
        <v/>
      </c>
      <c r="R1043" t="str">
        <f t="shared" si="70"/>
        <v/>
      </c>
      <c r="S1043" s="6" t="str">
        <f>IF(OR($A1043="",$C1043=""),"",IFERROR(INDEX(Turno!$C$3:$V$32,MATCH($C1043,Turno!$B$3:$B$32,0),MATCH(DAY($A1043),Turno!$C$1:$V$1,0)),""))</f>
        <v/>
      </c>
      <c r="T1043" t="str">
        <f>IF(OR($E1043="",$S1043=""),"",IFERROR(MAX(0,ROUND((INDEX(Config!$D$15:$D$18,MATCH($S1043,Config!$B$15:$B$18,0))-$E1043)*1440,0)),""))</f>
        <v/>
      </c>
      <c r="U1043" s="13" t="str">
        <f>IF(OR($N1043="",$T1043=""),"",IFERROR(MAX(0,1-($N1043+$T1043+MAX(0,N($Q1043)))/ROUND((INDEX(Config!$D$15:$D$18,MATCH($S1043,Config!$B$15:$B$18,0))-INDEX(Config!$C$15:$C$18,MATCH($S1043,Config!$B$15:$B$18,0)))*1440,0)),""))</f>
        <v/>
      </c>
      <c r="V1043" s="5"/>
    </row>
    <row r="1044" spans="1:22" x14ac:dyDescent="0.25">
      <c r="A1044" s="11"/>
      <c r="B1044" s="5"/>
      <c r="C1044" s="6" t="str">
        <f>IFERROR(INDEX(Ejecutivos!$B$2:$B$100,MATCH(B1044,Ejecutivos!$A$2:$A$100,0)),"")</f>
        <v/>
      </c>
      <c r="D1044" s="12"/>
      <c r="E1044" s="12"/>
      <c r="F1044" s="12"/>
      <c r="G1044" s="12"/>
      <c r="H1044" s="5"/>
      <c r="I1044" s="5"/>
      <c r="J1044" s="5"/>
      <c r="K1044" s="5"/>
      <c r="L1044" s="18">
        <v>0</v>
      </c>
      <c r="M1044" t="str">
        <f t="shared" si="67"/>
        <v/>
      </c>
      <c r="N1044" t="str">
        <f>IF(OR($D1044="",$S1044=""),"",IFERROR(MAX(0,ROUND(($D1044-INDEX(Config!$C$15:$C$18,MATCH($S1044,Config!$B$15:$B$18,0)))*24*60,0)),""))</f>
        <v/>
      </c>
      <c r="O1044" t="str">
        <f t="shared" si="68"/>
        <v/>
      </c>
      <c r="P1044" t="str">
        <f t="shared" si="69"/>
        <v/>
      </c>
      <c r="Q1044" t="str">
        <f>IF(OR($P1044="",$S1044=""),"",IFERROR($P1044-INDEX(Config!$E$15:$E$18,MATCH($S1044,Config!$B$15:$B$18,0)),""))</f>
        <v/>
      </c>
      <c r="R1044" t="str">
        <f t="shared" si="70"/>
        <v/>
      </c>
      <c r="S1044" s="6" t="str">
        <f>IF(OR($A1044="",$C1044=""),"",IFERROR(INDEX(Turno!$C$3:$V$32,MATCH($C1044,Turno!$B$3:$B$32,0),MATCH(DAY($A1044),Turno!$C$1:$V$1,0)),""))</f>
        <v/>
      </c>
      <c r="T1044" t="str">
        <f>IF(OR($E1044="",$S1044=""),"",IFERROR(MAX(0,ROUND((INDEX(Config!$D$15:$D$18,MATCH($S1044,Config!$B$15:$B$18,0))-$E1044)*1440,0)),""))</f>
        <v/>
      </c>
      <c r="U1044" s="13" t="str">
        <f>IF(OR($N1044="",$T1044=""),"",IFERROR(MAX(0,1-($N1044+$T1044+MAX(0,N($Q1044)))/ROUND((INDEX(Config!$D$15:$D$18,MATCH($S1044,Config!$B$15:$B$18,0))-INDEX(Config!$C$15:$C$18,MATCH($S1044,Config!$B$15:$B$18,0)))*1440,0)),""))</f>
        <v/>
      </c>
      <c r="V1044" s="5"/>
    </row>
    <row r="1045" spans="1:22" x14ac:dyDescent="0.25">
      <c r="A1045" s="11"/>
      <c r="B1045" s="5"/>
      <c r="C1045" s="6" t="str">
        <f>IFERROR(INDEX(Ejecutivos!$B$2:$B$100,MATCH(B1045,Ejecutivos!$A$2:$A$100,0)),"")</f>
        <v/>
      </c>
      <c r="D1045" s="12"/>
      <c r="E1045" s="12"/>
      <c r="F1045" s="12"/>
      <c r="G1045" s="12"/>
      <c r="H1045" s="5"/>
      <c r="I1045" s="5"/>
      <c r="J1045" s="5"/>
      <c r="K1045" s="5"/>
      <c r="L1045" s="18">
        <v>0</v>
      </c>
      <c r="M1045" t="str">
        <f t="shared" si="67"/>
        <v/>
      </c>
      <c r="N1045" t="str">
        <f>IF(OR($D1045="",$S1045=""),"",IFERROR(MAX(0,ROUND(($D1045-INDEX(Config!$C$15:$C$18,MATCH($S1045,Config!$B$15:$B$18,0)))*24*60,0)),""))</f>
        <v/>
      </c>
      <c r="O1045" t="str">
        <f t="shared" si="68"/>
        <v/>
      </c>
      <c r="P1045" t="str">
        <f t="shared" si="69"/>
        <v/>
      </c>
      <c r="Q1045" t="str">
        <f>IF(OR($P1045="",$S1045=""),"",IFERROR($P1045-INDEX(Config!$E$15:$E$18,MATCH($S1045,Config!$B$15:$B$18,0)),""))</f>
        <v/>
      </c>
      <c r="R1045" t="str">
        <f t="shared" si="70"/>
        <v/>
      </c>
      <c r="S1045" s="6" t="str">
        <f>IF(OR($A1045="",$C1045=""),"",IFERROR(INDEX(Turno!$C$3:$V$32,MATCH($C1045,Turno!$B$3:$B$32,0),MATCH(DAY($A1045),Turno!$C$1:$V$1,0)),""))</f>
        <v/>
      </c>
      <c r="T1045" t="str">
        <f>IF(OR($E1045="",$S1045=""),"",IFERROR(MAX(0,ROUND((INDEX(Config!$D$15:$D$18,MATCH($S1045,Config!$B$15:$B$18,0))-$E1045)*1440,0)),""))</f>
        <v/>
      </c>
      <c r="U1045" s="13" t="str">
        <f>IF(OR($N1045="",$T1045=""),"",IFERROR(MAX(0,1-($N1045+$T1045+MAX(0,N($Q1045)))/ROUND((INDEX(Config!$D$15:$D$18,MATCH($S1045,Config!$B$15:$B$18,0))-INDEX(Config!$C$15:$C$18,MATCH($S1045,Config!$B$15:$B$18,0)))*1440,0)),""))</f>
        <v/>
      </c>
      <c r="V1045" s="5"/>
    </row>
    <row r="1046" spans="1:22" x14ac:dyDescent="0.25">
      <c r="A1046" s="11"/>
      <c r="B1046" s="5"/>
      <c r="C1046" s="6" t="str">
        <f>IFERROR(INDEX(Ejecutivos!$B$2:$B$100,MATCH(B1046,Ejecutivos!$A$2:$A$100,0)),"")</f>
        <v/>
      </c>
      <c r="D1046" s="12"/>
      <c r="E1046" s="12"/>
      <c r="F1046" s="12"/>
      <c r="G1046" s="12"/>
      <c r="H1046" s="5"/>
      <c r="I1046" s="5"/>
      <c r="J1046" s="5"/>
      <c r="K1046" s="5"/>
      <c r="L1046" s="18">
        <v>0</v>
      </c>
      <c r="M1046" t="str">
        <f t="shared" si="67"/>
        <v/>
      </c>
      <c r="N1046" t="str">
        <f>IF(OR($D1046="",$S1046=""),"",IFERROR(MAX(0,ROUND(($D1046-INDEX(Config!$C$15:$C$18,MATCH($S1046,Config!$B$15:$B$18,0)))*24*60,0)),""))</f>
        <v/>
      </c>
      <c r="O1046" t="str">
        <f t="shared" si="68"/>
        <v/>
      </c>
      <c r="P1046" t="str">
        <f t="shared" si="69"/>
        <v/>
      </c>
      <c r="Q1046" t="str">
        <f>IF(OR($P1046="",$S1046=""),"",IFERROR($P1046-INDEX(Config!$E$15:$E$18,MATCH($S1046,Config!$B$15:$B$18,0)),""))</f>
        <v/>
      </c>
      <c r="R1046" t="str">
        <f t="shared" si="70"/>
        <v/>
      </c>
      <c r="S1046" s="6" t="str">
        <f>IF(OR($A1046="",$C1046=""),"",IFERROR(INDEX(Turno!$C$3:$V$32,MATCH($C1046,Turno!$B$3:$B$32,0),MATCH(DAY($A1046),Turno!$C$1:$V$1,0)),""))</f>
        <v/>
      </c>
      <c r="T1046" t="str">
        <f>IF(OR($E1046="",$S1046=""),"",IFERROR(MAX(0,ROUND((INDEX(Config!$D$15:$D$18,MATCH($S1046,Config!$B$15:$B$18,0))-$E1046)*1440,0)),""))</f>
        <v/>
      </c>
      <c r="U1046" s="13" t="str">
        <f>IF(OR($N1046="",$T1046=""),"",IFERROR(MAX(0,1-($N1046+$T1046+MAX(0,N($Q1046)))/ROUND((INDEX(Config!$D$15:$D$18,MATCH($S1046,Config!$B$15:$B$18,0))-INDEX(Config!$C$15:$C$18,MATCH($S1046,Config!$B$15:$B$18,0)))*1440,0)),""))</f>
        <v/>
      </c>
      <c r="V1046" s="5"/>
    </row>
    <row r="1047" spans="1:22" x14ac:dyDescent="0.25">
      <c r="A1047" s="11"/>
      <c r="B1047" s="5"/>
      <c r="C1047" s="6" t="str">
        <f>IFERROR(INDEX(Ejecutivos!$B$2:$B$100,MATCH(B1047,Ejecutivos!$A$2:$A$100,0)),"")</f>
        <v/>
      </c>
      <c r="D1047" s="12"/>
      <c r="E1047" s="12"/>
      <c r="F1047" s="12"/>
      <c r="G1047" s="12"/>
      <c r="H1047" s="5"/>
      <c r="I1047" s="5"/>
      <c r="J1047" s="5"/>
      <c r="K1047" s="5"/>
      <c r="L1047" s="18">
        <v>0</v>
      </c>
      <c r="M1047" t="str">
        <f t="shared" si="67"/>
        <v/>
      </c>
      <c r="N1047" t="str">
        <f>IF(OR($D1047="",$S1047=""),"",IFERROR(MAX(0,ROUND(($D1047-INDEX(Config!$C$15:$C$18,MATCH($S1047,Config!$B$15:$B$18,0)))*24*60,0)),""))</f>
        <v/>
      </c>
      <c r="O1047" t="str">
        <f t="shared" si="68"/>
        <v/>
      </c>
      <c r="P1047" t="str">
        <f t="shared" si="69"/>
        <v/>
      </c>
      <c r="Q1047" t="str">
        <f>IF(OR($P1047="",$S1047=""),"",IFERROR($P1047-INDEX(Config!$E$15:$E$18,MATCH($S1047,Config!$B$15:$B$18,0)),""))</f>
        <v/>
      </c>
      <c r="R1047" t="str">
        <f t="shared" si="70"/>
        <v/>
      </c>
      <c r="S1047" s="6" t="str">
        <f>IF(OR($A1047="",$C1047=""),"",IFERROR(INDEX(Turno!$C$3:$V$32,MATCH($C1047,Turno!$B$3:$B$32,0),MATCH(DAY($A1047),Turno!$C$1:$V$1,0)),""))</f>
        <v/>
      </c>
      <c r="T1047" t="str">
        <f>IF(OR($E1047="",$S1047=""),"",IFERROR(MAX(0,ROUND((INDEX(Config!$D$15:$D$18,MATCH($S1047,Config!$B$15:$B$18,0))-$E1047)*1440,0)),""))</f>
        <v/>
      </c>
      <c r="U1047" s="13" t="str">
        <f>IF(OR($N1047="",$T1047=""),"",IFERROR(MAX(0,1-($N1047+$T1047+MAX(0,N($Q1047)))/ROUND((INDEX(Config!$D$15:$D$18,MATCH($S1047,Config!$B$15:$B$18,0))-INDEX(Config!$C$15:$C$18,MATCH($S1047,Config!$B$15:$B$18,0)))*1440,0)),""))</f>
        <v/>
      </c>
      <c r="V1047" s="5"/>
    </row>
    <row r="1048" spans="1:22" x14ac:dyDescent="0.25">
      <c r="A1048" s="11"/>
      <c r="B1048" s="5"/>
      <c r="C1048" s="6" t="str">
        <f>IFERROR(INDEX(Ejecutivos!$B$2:$B$100,MATCH(B1048,Ejecutivos!$A$2:$A$100,0)),"")</f>
        <v/>
      </c>
      <c r="D1048" s="12"/>
      <c r="E1048" s="12"/>
      <c r="F1048" s="12"/>
      <c r="G1048" s="12"/>
      <c r="H1048" s="5"/>
      <c r="I1048" s="5"/>
      <c r="J1048" s="5"/>
      <c r="K1048" s="5"/>
      <c r="L1048" s="18">
        <v>0</v>
      </c>
      <c r="M1048" t="str">
        <f t="shared" si="67"/>
        <v/>
      </c>
      <c r="N1048" t="str">
        <f>IF(OR($D1048="",$S1048=""),"",IFERROR(MAX(0,ROUND(($D1048-INDEX(Config!$C$15:$C$18,MATCH($S1048,Config!$B$15:$B$18,0)))*24*60,0)),""))</f>
        <v/>
      </c>
      <c r="O1048" t="str">
        <f t="shared" si="68"/>
        <v/>
      </c>
      <c r="P1048" t="str">
        <f t="shared" si="69"/>
        <v/>
      </c>
      <c r="Q1048" t="str">
        <f>IF(OR($P1048="",$S1048=""),"",IFERROR($P1048-INDEX(Config!$E$15:$E$18,MATCH($S1048,Config!$B$15:$B$18,0)),""))</f>
        <v/>
      </c>
      <c r="R1048" t="str">
        <f t="shared" si="70"/>
        <v/>
      </c>
      <c r="S1048" s="6" t="str">
        <f>IF(OR($A1048="",$C1048=""),"",IFERROR(INDEX(Turno!$C$3:$V$32,MATCH($C1048,Turno!$B$3:$B$32,0),MATCH(DAY($A1048),Turno!$C$1:$V$1,0)),""))</f>
        <v/>
      </c>
      <c r="T1048" t="str">
        <f>IF(OR($E1048="",$S1048=""),"",IFERROR(MAX(0,ROUND((INDEX(Config!$D$15:$D$18,MATCH($S1048,Config!$B$15:$B$18,0))-$E1048)*1440,0)),""))</f>
        <v/>
      </c>
      <c r="U1048" s="13" t="str">
        <f>IF(OR($N1048="",$T1048=""),"",IFERROR(MAX(0,1-($N1048+$T1048+MAX(0,N($Q1048)))/ROUND((INDEX(Config!$D$15:$D$18,MATCH($S1048,Config!$B$15:$B$18,0))-INDEX(Config!$C$15:$C$18,MATCH($S1048,Config!$B$15:$B$18,0)))*1440,0)),""))</f>
        <v/>
      </c>
      <c r="V1048" s="5"/>
    </row>
    <row r="1049" spans="1:22" x14ac:dyDescent="0.25">
      <c r="A1049" s="11"/>
      <c r="B1049" s="5"/>
      <c r="C1049" s="6" t="str">
        <f>IFERROR(INDEX(Ejecutivos!$B$2:$B$100,MATCH(B1049,Ejecutivos!$A$2:$A$100,0)),"")</f>
        <v/>
      </c>
      <c r="D1049" s="12"/>
      <c r="E1049" s="12"/>
      <c r="F1049" s="12"/>
      <c r="G1049" s="12"/>
      <c r="H1049" s="5"/>
      <c r="I1049" s="5"/>
      <c r="J1049" s="5"/>
      <c r="K1049" s="5"/>
      <c r="L1049" s="18">
        <v>0</v>
      </c>
      <c r="M1049" t="str">
        <f t="shared" si="67"/>
        <v/>
      </c>
      <c r="N1049" t="str">
        <f>IF(OR($D1049="",$S1049=""),"",IFERROR(MAX(0,ROUND(($D1049-INDEX(Config!$C$15:$C$18,MATCH($S1049,Config!$B$15:$B$18,0)))*24*60,0)),""))</f>
        <v/>
      </c>
      <c r="O1049" t="str">
        <f t="shared" si="68"/>
        <v/>
      </c>
      <c r="P1049" t="str">
        <f t="shared" si="69"/>
        <v/>
      </c>
      <c r="Q1049" t="str">
        <f>IF(OR($P1049="",$S1049=""),"",IFERROR($P1049-INDEX(Config!$E$15:$E$18,MATCH($S1049,Config!$B$15:$B$18,0)),""))</f>
        <v/>
      </c>
      <c r="R1049" t="str">
        <f t="shared" si="70"/>
        <v/>
      </c>
      <c r="S1049" s="6" t="str">
        <f>IF(OR($A1049="",$C1049=""),"",IFERROR(INDEX(Turno!$C$3:$V$32,MATCH($C1049,Turno!$B$3:$B$32,0),MATCH(DAY($A1049),Turno!$C$1:$V$1,0)),""))</f>
        <v/>
      </c>
      <c r="T1049" t="str">
        <f>IF(OR($E1049="",$S1049=""),"",IFERROR(MAX(0,ROUND((INDEX(Config!$D$15:$D$18,MATCH($S1049,Config!$B$15:$B$18,0))-$E1049)*1440,0)),""))</f>
        <v/>
      </c>
      <c r="U1049" s="13" t="str">
        <f>IF(OR($N1049="",$T1049=""),"",IFERROR(MAX(0,1-($N1049+$T1049+MAX(0,N($Q1049)))/ROUND((INDEX(Config!$D$15:$D$18,MATCH($S1049,Config!$B$15:$B$18,0))-INDEX(Config!$C$15:$C$18,MATCH($S1049,Config!$B$15:$B$18,0)))*1440,0)),""))</f>
        <v/>
      </c>
      <c r="V1049" s="5"/>
    </row>
    <row r="1050" spans="1:22" x14ac:dyDescent="0.25">
      <c r="A1050" s="11"/>
      <c r="B1050" s="5"/>
      <c r="C1050" s="6" t="str">
        <f>IFERROR(INDEX(Ejecutivos!$B$2:$B$100,MATCH(B1050,Ejecutivos!$A$2:$A$100,0)),"")</f>
        <v/>
      </c>
      <c r="D1050" s="12"/>
      <c r="E1050" s="12"/>
      <c r="F1050" s="12"/>
      <c r="G1050" s="12"/>
      <c r="H1050" s="5"/>
      <c r="I1050" s="5"/>
      <c r="J1050" s="5"/>
      <c r="K1050" s="5"/>
      <c r="L1050" s="18">
        <v>0</v>
      </c>
      <c r="M1050" t="str">
        <f t="shared" si="67"/>
        <v/>
      </c>
      <c r="N1050" t="str">
        <f>IF(OR($D1050="",$S1050=""),"",IFERROR(MAX(0,ROUND(($D1050-INDEX(Config!$C$15:$C$18,MATCH($S1050,Config!$B$15:$B$18,0)))*24*60,0)),""))</f>
        <v/>
      </c>
      <c r="O1050" t="str">
        <f t="shared" si="68"/>
        <v/>
      </c>
      <c r="P1050" t="str">
        <f t="shared" si="69"/>
        <v/>
      </c>
      <c r="Q1050" t="str">
        <f>IF(OR($P1050="",$S1050=""),"",IFERROR($P1050-INDEX(Config!$E$15:$E$18,MATCH($S1050,Config!$B$15:$B$18,0)),""))</f>
        <v/>
      </c>
      <c r="R1050" t="str">
        <f t="shared" si="70"/>
        <v/>
      </c>
      <c r="S1050" s="6" t="str">
        <f>IF(OR($A1050="",$C1050=""),"",IFERROR(INDEX(Turno!$C$3:$V$32,MATCH($C1050,Turno!$B$3:$B$32,0),MATCH(DAY($A1050),Turno!$C$1:$V$1,0)),""))</f>
        <v/>
      </c>
      <c r="T1050" t="str">
        <f>IF(OR($E1050="",$S1050=""),"",IFERROR(MAX(0,ROUND((INDEX(Config!$D$15:$D$18,MATCH($S1050,Config!$B$15:$B$18,0))-$E1050)*1440,0)),""))</f>
        <v/>
      </c>
      <c r="U1050" s="13" t="str">
        <f>IF(OR($N1050="",$T1050=""),"",IFERROR(MAX(0,1-($N1050+$T1050+MAX(0,N($Q1050)))/ROUND((INDEX(Config!$D$15:$D$18,MATCH($S1050,Config!$B$15:$B$18,0))-INDEX(Config!$C$15:$C$18,MATCH($S1050,Config!$B$15:$B$18,0)))*1440,0)),""))</f>
        <v/>
      </c>
      <c r="V1050" s="5"/>
    </row>
    <row r="1051" spans="1:22" x14ac:dyDescent="0.25">
      <c r="A1051" s="11"/>
      <c r="B1051" s="5"/>
      <c r="C1051" s="6" t="str">
        <f>IFERROR(INDEX(Ejecutivos!$B$2:$B$100,MATCH(B1051,Ejecutivos!$A$2:$A$100,0)),"")</f>
        <v/>
      </c>
      <c r="D1051" s="12"/>
      <c r="E1051" s="12"/>
      <c r="F1051" s="12"/>
      <c r="G1051" s="12"/>
      <c r="H1051" s="5"/>
      <c r="I1051" s="5"/>
      <c r="J1051" s="5"/>
      <c r="K1051" s="5"/>
      <c r="L1051" s="18">
        <v>0</v>
      </c>
      <c r="M1051" t="str">
        <f t="shared" si="67"/>
        <v/>
      </c>
      <c r="N1051" t="str">
        <f>IF(OR($D1051="",$S1051=""),"",IFERROR(MAX(0,ROUND(($D1051-INDEX(Config!$C$15:$C$18,MATCH($S1051,Config!$B$15:$B$18,0)))*24*60,0)),""))</f>
        <v/>
      </c>
      <c r="O1051" t="str">
        <f t="shared" si="68"/>
        <v/>
      </c>
      <c r="P1051" t="str">
        <f t="shared" si="69"/>
        <v/>
      </c>
      <c r="Q1051" t="str">
        <f>IF(OR($P1051="",$S1051=""),"",IFERROR($P1051-INDEX(Config!$E$15:$E$18,MATCH($S1051,Config!$B$15:$B$18,0)),""))</f>
        <v/>
      </c>
      <c r="R1051" t="str">
        <f t="shared" si="70"/>
        <v/>
      </c>
      <c r="S1051" s="6" t="str">
        <f>IF(OR($A1051="",$C1051=""),"",IFERROR(INDEX(Turno!$C$3:$V$32,MATCH($C1051,Turno!$B$3:$B$32,0),MATCH(DAY($A1051),Turno!$C$1:$V$1,0)),""))</f>
        <v/>
      </c>
      <c r="T1051" t="str">
        <f>IF(OR($E1051="",$S1051=""),"",IFERROR(MAX(0,ROUND((INDEX(Config!$D$15:$D$18,MATCH($S1051,Config!$B$15:$B$18,0))-$E1051)*1440,0)),""))</f>
        <v/>
      </c>
      <c r="U1051" s="13" t="str">
        <f>IF(OR($N1051="",$T1051=""),"",IFERROR(MAX(0,1-($N1051+$T1051+MAX(0,N($Q1051)))/ROUND((INDEX(Config!$D$15:$D$18,MATCH($S1051,Config!$B$15:$B$18,0))-INDEX(Config!$C$15:$C$18,MATCH($S1051,Config!$B$15:$B$18,0)))*1440,0)),""))</f>
        <v/>
      </c>
      <c r="V1051" s="5"/>
    </row>
    <row r="1052" spans="1:22" x14ac:dyDescent="0.25">
      <c r="A1052" s="11"/>
      <c r="B1052" s="5"/>
      <c r="C1052" s="6" t="str">
        <f>IFERROR(INDEX(Ejecutivos!$B$2:$B$100,MATCH(B1052,Ejecutivos!$A$2:$A$100,0)),"")</f>
        <v/>
      </c>
      <c r="D1052" s="12"/>
      <c r="E1052" s="12"/>
      <c r="F1052" s="12"/>
      <c r="G1052" s="12"/>
      <c r="H1052" s="5"/>
      <c r="I1052" s="5"/>
      <c r="J1052" s="5"/>
      <c r="K1052" s="5"/>
      <c r="L1052" s="18">
        <v>0</v>
      </c>
      <c r="M1052" t="str">
        <f t="shared" si="67"/>
        <v/>
      </c>
      <c r="N1052" t="str">
        <f>IF(OR($D1052="",$S1052=""),"",IFERROR(MAX(0,ROUND(($D1052-INDEX(Config!$C$15:$C$18,MATCH($S1052,Config!$B$15:$B$18,0)))*24*60,0)),""))</f>
        <v/>
      </c>
      <c r="O1052" t="str">
        <f t="shared" si="68"/>
        <v/>
      </c>
      <c r="P1052" t="str">
        <f t="shared" si="69"/>
        <v/>
      </c>
      <c r="Q1052" t="str">
        <f>IF(OR($P1052="",$S1052=""),"",IFERROR($P1052-INDEX(Config!$E$15:$E$18,MATCH($S1052,Config!$B$15:$B$18,0)),""))</f>
        <v/>
      </c>
      <c r="R1052" t="str">
        <f t="shared" si="70"/>
        <v/>
      </c>
      <c r="S1052" s="6" t="str">
        <f>IF(OR($A1052="",$C1052=""),"",IFERROR(INDEX(Turno!$C$3:$V$32,MATCH($C1052,Turno!$B$3:$B$32,0),MATCH(DAY($A1052),Turno!$C$1:$V$1,0)),""))</f>
        <v/>
      </c>
      <c r="T1052" t="str">
        <f>IF(OR($E1052="",$S1052=""),"",IFERROR(MAX(0,ROUND((INDEX(Config!$D$15:$D$18,MATCH($S1052,Config!$B$15:$B$18,0))-$E1052)*1440,0)),""))</f>
        <v/>
      </c>
      <c r="U1052" s="13" t="str">
        <f>IF(OR($N1052="",$T1052=""),"",IFERROR(MAX(0,1-($N1052+$T1052+MAX(0,N($Q1052)))/ROUND((INDEX(Config!$D$15:$D$18,MATCH($S1052,Config!$B$15:$B$18,0))-INDEX(Config!$C$15:$C$18,MATCH($S1052,Config!$B$15:$B$18,0)))*1440,0)),""))</f>
        <v/>
      </c>
      <c r="V1052" s="5"/>
    </row>
    <row r="1053" spans="1:22" x14ac:dyDescent="0.25">
      <c r="A1053" s="11"/>
      <c r="B1053" s="5"/>
      <c r="C1053" s="6" t="str">
        <f>IFERROR(INDEX(Ejecutivos!$B$2:$B$100,MATCH(B1053,Ejecutivos!$A$2:$A$100,0)),"")</f>
        <v/>
      </c>
      <c r="D1053" s="12"/>
      <c r="E1053" s="12"/>
      <c r="F1053" s="12"/>
      <c r="G1053" s="12"/>
      <c r="H1053" s="5"/>
      <c r="I1053" s="5"/>
      <c r="J1053" s="5"/>
      <c r="K1053" s="5"/>
      <c r="L1053" s="18">
        <v>0</v>
      </c>
      <c r="M1053" t="str">
        <f t="shared" si="67"/>
        <v/>
      </c>
      <c r="N1053" t="str">
        <f>IF(OR($D1053="",$S1053=""),"",IFERROR(MAX(0,ROUND(($D1053-INDEX(Config!$C$15:$C$18,MATCH($S1053,Config!$B$15:$B$18,0)))*24*60,0)),""))</f>
        <v/>
      </c>
      <c r="O1053" t="str">
        <f t="shared" si="68"/>
        <v/>
      </c>
      <c r="P1053" t="str">
        <f t="shared" si="69"/>
        <v/>
      </c>
      <c r="Q1053" t="str">
        <f>IF(OR($P1053="",$S1053=""),"",IFERROR($P1053-INDEX(Config!$E$15:$E$18,MATCH($S1053,Config!$B$15:$B$18,0)),""))</f>
        <v/>
      </c>
      <c r="R1053" t="str">
        <f t="shared" si="70"/>
        <v/>
      </c>
      <c r="S1053" s="6" t="str">
        <f>IF(OR($A1053="",$C1053=""),"",IFERROR(INDEX(Turno!$C$3:$V$32,MATCH($C1053,Turno!$B$3:$B$32,0),MATCH(DAY($A1053),Turno!$C$1:$V$1,0)),""))</f>
        <v/>
      </c>
      <c r="T1053" t="str">
        <f>IF(OR($E1053="",$S1053=""),"",IFERROR(MAX(0,ROUND((INDEX(Config!$D$15:$D$18,MATCH($S1053,Config!$B$15:$B$18,0))-$E1053)*1440,0)),""))</f>
        <v/>
      </c>
      <c r="U1053" s="13" t="str">
        <f>IF(OR($N1053="",$T1053=""),"",IFERROR(MAX(0,1-($N1053+$T1053+MAX(0,N($Q1053)))/ROUND((INDEX(Config!$D$15:$D$18,MATCH($S1053,Config!$B$15:$B$18,0))-INDEX(Config!$C$15:$C$18,MATCH($S1053,Config!$B$15:$B$18,0)))*1440,0)),""))</f>
        <v/>
      </c>
      <c r="V1053" s="5"/>
    </row>
    <row r="1054" spans="1:22" x14ac:dyDescent="0.25">
      <c r="A1054" s="11"/>
      <c r="B1054" s="5"/>
      <c r="C1054" s="6" t="str">
        <f>IFERROR(INDEX(Ejecutivos!$B$2:$B$100,MATCH(B1054,Ejecutivos!$A$2:$A$100,0)),"")</f>
        <v/>
      </c>
      <c r="D1054" s="12"/>
      <c r="E1054" s="12"/>
      <c r="F1054" s="12"/>
      <c r="G1054" s="12"/>
      <c r="H1054" s="5"/>
      <c r="I1054" s="5"/>
      <c r="J1054" s="5"/>
      <c r="K1054" s="5"/>
      <c r="L1054" s="18">
        <v>0</v>
      </c>
      <c r="M1054" t="str">
        <f t="shared" si="67"/>
        <v/>
      </c>
      <c r="N1054" t="str">
        <f>IF(OR($D1054="",$S1054=""),"",IFERROR(MAX(0,ROUND(($D1054-INDEX(Config!$C$15:$C$18,MATCH($S1054,Config!$B$15:$B$18,0)))*24*60,0)),""))</f>
        <v/>
      </c>
      <c r="O1054" t="str">
        <f t="shared" si="68"/>
        <v/>
      </c>
      <c r="P1054" t="str">
        <f t="shared" si="69"/>
        <v/>
      </c>
      <c r="Q1054" t="str">
        <f>IF(OR($P1054="",$S1054=""),"",IFERROR($P1054-INDEX(Config!$E$15:$E$18,MATCH($S1054,Config!$B$15:$B$18,0)),""))</f>
        <v/>
      </c>
      <c r="R1054" t="str">
        <f t="shared" si="70"/>
        <v/>
      </c>
      <c r="S1054" s="6" t="str">
        <f>IF(OR($A1054="",$C1054=""),"",IFERROR(INDEX(Turno!$C$3:$V$32,MATCH($C1054,Turno!$B$3:$B$32,0),MATCH(DAY($A1054),Turno!$C$1:$V$1,0)),""))</f>
        <v/>
      </c>
      <c r="T1054" t="str">
        <f>IF(OR($E1054="",$S1054=""),"",IFERROR(MAX(0,ROUND((INDEX(Config!$D$15:$D$18,MATCH($S1054,Config!$B$15:$B$18,0))-$E1054)*1440,0)),""))</f>
        <v/>
      </c>
      <c r="U1054" s="13" t="str">
        <f>IF(OR($N1054="",$T1054=""),"",IFERROR(MAX(0,1-($N1054+$T1054+MAX(0,N($Q1054)))/ROUND((INDEX(Config!$D$15:$D$18,MATCH($S1054,Config!$B$15:$B$18,0))-INDEX(Config!$C$15:$C$18,MATCH($S1054,Config!$B$15:$B$18,0)))*1440,0)),""))</f>
        <v/>
      </c>
      <c r="V1054" s="5"/>
    </row>
    <row r="1055" spans="1:22" x14ac:dyDescent="0.25">
      <c r="A1055" s="11"/>
      <c r="B1055" s="5"/>
      <c r="C1055" s="6" t="str">
        <f>IFERROR(INDEX(Ejecutivos!$B$2:$B$100,MATCH(B1055,Ejecutivos!$A$2:$A$100,0)),"")</f>
        <v/>
      </c>
      <c r="D1055" s="12"/>
      <c r="E1055" s="12"/>
      <c r="F1055" s="12"/>
      <c r="G1055" s="12"/>
      <c r="H1055" s="5"/>
      <c r="I1055" s="5"/>
      <c r="J1055" s="5"/>
      <c r="K1055" s="5"/>
      <c r="L1055" s="18">
        <v>0</v>
      </c>
      <c r="M1055" t="str">
        <f t="shared" si="67"/>
        <v/>
      </c>
      <c r="N1055" t="str">
        <f>IF(OR($D1055="",$S1055=""),"",IFERROR(MAX(0,ROUND(($D1055-INDEX(Config!$C$15:$C$18,MATCH($S1055,Config!$B$15:$B$18,0)))*24*60,0)),""))</f>
        <v/>
      </c>
      <c r="O1055" t="str">
        <f t="shared" si="68"/>
        <v/>
      </c>
      <c r="P1055" t="str">
        <f t="shared" si="69"/>
        <v/>
      </c>
      <c r="Q1055" t="str">
        <f>IF(OR($P1055="",$S1055=""),"",IFERROR($P1055-INDEX(Config!$E$15:$E$18,MATCH($S1055,Config!$B$15:$B$18,0)),""))</f>
        <v/>
      </c>
      <c r="R1055" t="str">
        <f t="shared" si="70"/>
        <v/>
      </c>
      <c r="S1055" s="6" t="str">
        <f>IF(OR($A1055="",$C1055=""),"",IFERROR(INDEX(Turno!$C$3:$V$32,MATCH($C1055,Turno!$B$3:$B$32,0),MATCH(DAY($A1055),Turno!$C$1:$V$1,0)),""))</f>
        <v/>
      </c>
      <c r="T1055" t="str">
        <f>IF(OR($E1055="",$S1055=""),"",IFERROR(MAX(0,ROUND((INDEX(Config!$D$15:$D$18,MATCH($S1055,Config!$B$15:$B$18,0))-$E1055)*1440,0)),""))</f>
        <v/>
      </c>
      <c r="U1055" s="13" t="str">
        <f>IF(OR($N1055="",$T1055=""),"",IFERROR(MAX(0,1-($N1055+$T1055+MAX(0,N($Q1055)))/ROUND((INDEX(Config!$D$15:$D$18,MATCH($S1055,Config!$B$15:$B$18,0))-INDEX(Config!$C$15:$C$18,MATCH($S1055,Config!$B$15:$B$18,0)))*1440,0)),""))</f>
        <v/>
      </c>
      <c r="V1055" s="5"/>
    </row>
    <row r="1056" spans="1:22" x14ac:dyDescent="0.25">
      <c r="A1056" s="11"/>
      <c r="B1056" s="5"/>
      <c r="C1056" s="6" t="str">
        <f>IFERROR(INDEX(Ejecutivos!$B$2:$B$100,MATCH(B1056,Ejecutivos!$A$2:$A$100,0)),"")</f>
        <v/>
      </c>
      <c r="D1056" s="12"/>
      <c r="E1056" s="12"/>
      <c r="F1056" s="12"/>
      <c r="G1056" s="12"/>
      <c r="H1056" s="5"/>
      <c r="I1056" s="5"/>
      <c r="J1056" s="5"/>
      <c r="K1056" s="5"/>
      <c r="L1056" s="18">
        <v>0</v>
      </c>
      <c r="M1056" t="str">
        <f t="shared" si="67"/>
        <v/>
      </c>
      <c r="N1056" t="str">
        <f>IF(OR($D1056="",$S1056=""),"",IFERROR(MAX(0,ROUND(($D1056-INDEX(Config!$C$15:$C$18,MATCH($S1056,Config!$B$15:$B$18,0)))*24*60,0)),""))</f>
        <v/>
      </c>
      <c r="O1056" t="str">
        <f t="shared" si="68"/>
        <v/>
      </c>
      <c r="P1056" t="str">
        <f t="shared" si="69"/>
        <v/>
      </c>
      <c r="Q1056" t="str">
        <f>IF(OR($P1056="",$S1056=""),"",IFERROR($P1056-INDEX(Config!$E$15:$E$18,MATCH($S1056,Config!$B$15:$B$18,0)),""))</f>
        <v/>
      </c>
      <c r="R1056" t="str">
        <f t="shared" si="70"/>
        <v/>
      </c>
      <c r="S1056" s="6" t="str">
        <f>IF(OR($A1056="",$C1056=""),"",IFERROR(INDEX(Turno!$C$3:$V$32,MATCH($C1056,Turno!$B$3:$B$32,0),MATCH(DAY($A1056),Turno!$C$1:$V$1,0)),""))</f>
        <v/>
      </c>
      <c r="T1056" t="str">
        <f>IF(OR($E1056="",$S1056=""),"",IFERROR(MAX(0,ROUND((INDEX(Config!$D$15:$D$18,MATCH($S1056,Config!$B$15:$B$18,0))-$E1056)*1440,0)),""))</f>
        <v/>
      </c>
      <c r="U1056" s="13" t="str">
        <f>IF(OR($N1056="",$T1056=""),"",IFERROR(MAX(0,1-($N1056+$T1056+MAX(0,N($Q1056)))/ROUND((INDEX(Config!$D$15:$D$18,MATCH($S1056,Config!$B$15:$B$18,0))-INDEX(Config!$C$15:$C$18,MATCH($S1056,Config!$B$15:$B$18,0)))*1440,0)),""))</f>
        <v/>
      </c>
      <c r="V1056" s="5"/>
    </row>
    <row r="1057" spans="1:22" x14ac:dyDescent="0.25">
      <c r="A1057" s="11"/>
      <c r="B1057" s="5"/>
      <c r="C1057" s="6" t="str">
        <f>IFERROR(INDEX(Ejecutivos!$B$2:$B$100,MATCH(B1057,Ejecutivos!$A$2:$A$100,0)),"")</f>
        <v/>
      </c>
      <c r="D1057" s="12"/>
      <c r="E1057" s="12"/>
      <c r="F1057" s="12"/>
      <c r="G1057" s="12"/>
      <c r="H1057" s="5"/>
      <c r="I1057" s="5"/>
      <c r="J1057" s="5"/>
      <c r="K1057" s="5"/>
      <c r="L1057" s="18">
        <v>0</v>
      </c>
      <c r="M1057" t="str">
        <f t="shared" si="67"/>
        <v/>
      </c>
      <c r="N1057" t="str">
        <f>IF(OR($D1057="",$S1057=""),"",IFERROR(MAX(0,ROUND(($D1057-INDEX(Config!$C$15:$C$18,MATCH($S1057,Config!$B$15:$B$18,0)))*24*60,0)),""))</f>
        <v/>
      </c>
      <c r="O1057" t="str">
        <f t="shared" si="68"/>
        <v/>
      </c>
      <c r="P1057" t="str">
        <f t="shared" si="69"/>
        <v/>
      </c>
      <c r="Q1057" t="str">
        <f>IF(OR($P1057="",$S1057=""),"",IFERROR($P1057-INDEX(Config!$E$15:$E$18,MATCH($S1057,Config!$B$15:$B$18,0)),""))</f>
        <v/>
      </c>
      <c r="R1057" t="str">
        <f t="shared" si="70"/>
        <v/>
      </c>
      <c r="S1057" s="6" t="str">
        <f>IF(OR($A1057="",$C1057=""),"",IFERROR(INDEX(Turno!$C$3:$V$32,MATCH($C1057,Turno!$B$3:$B$32,0),MATCH(DAY($A1057),Turno!$C$1:$V$1,0)),""))</f>
        <v/>
      </c>
      <c r="T1057" t="str">
        <f>IF(OR($E1057="",$S1057=""),"",IFERROR(MAX(0,ROUND((INDEX(Config!$D$15:$D$18,MATCH($S1057,Config!$B$15:$B$18,0))-$E1057)*1440,0)),""))</f>
        <v/>
      </c>
      <c r="U1057" s="13" t="str">
        <f>IF(OR($N1057="",$T1057=""),"",IFERROR(MAX(0,1-($N1057+$T1057+MAX(0,N($Q1057)))/ROUND((INDEX(Config!$D$15:$D$18,MATCH($S1057,Config!$B$15:$B$18,0))-INDEX(Config!$C$15:$C$18,MATCH($S1057,Config!$B$15:$B$18,0)))*1440,0)),""))</f>
        <v/>
      </c>
      <c r="V1057" s="5"/>
    </row>
    <row r="1058" spans="1:22" x14ac:dyDescent="0.25">
      <c r="A1058" s="11"/>
      <c r="B1058" s="5"/>
      <c r="C1058" s="6" t="str">
        <f>IFERROR(INDEX(Ejecutivos!$B$2:$B$100,MATCH(B1058,Ejecutivos!$A$2:$A$100,0)),"")</f>
        <v/>
      </c>
      <c r="D1058" s="12"/>
      <c r="E1058" s="12"/>
      <c r="F1058" s="12"/>
      <c r="G1058" s="12"/>
      <c r="H1058" s="5"/>
      <c r="I1058" s="5"/>
      <c r="J1058" s="5"/>
      <c r="K1058" s="5"/>
      <c r="L1058" s="18">
        <v>0</v>
      </c>
      <c r="M1058" t="str">
        <f t="shared" si="67"/>
        <v/>
      </c>
      <c r="N1058" t="str">
        <f>IF(OR($D1058="",$S1058=""),"",IFERROR(MAX(0,ROUND(($D1058-INDEX(Config!$C$15:$C$18,MATCH($S1058,Config!$B$15:$B$18,0)))*24*60,0)),""))</f>
        <v/>
      </c>
      <c r="O1058" t="str">
        <f t="shared" si="68"/>
        <v/>
      </c>
      <c r="P1058" t="str">
        <f t="shared" si="69"/>
        <v/>
      </c>
      <c r="Q1058" t="str">
        <f>IF(OR($P1058="",$S1058=""),"",IFERROR($P1058-INDEX(Config!$E$15:$E$18,MATCH($S1058,Config!$B$15:$B$18,0)),""))</f>
        <v/>
      </c>
      <c r="R1058" t="str">
        <f t="shared" si="70"/>
        <v/>
      </c>
      <c r="S1058" s="6" t="str">
        <f>IF(OR($A1058="",$C1058=""),"",IFERROR(INDEX(Turno!$C$3:$V$32,MATCH($C1058,Turno!$B$3:$B$32,0),MATCH(DAY($A1058),Turno!$C$1:$V$1,0)),""))</f>
        <v/>
      </c>
      <c r="T1058" t="str">
        <f>IF(OR($E1058="",$S1058=""),"",IFERROR(MAX(0,ROUND((INDEX(Config!$D$15:$D$18,MATCH($S1058,Config!$B$15:$B$18,0))-$E1058)*1440,0)),""))</f>
        <v/>
      </c>
      <c r="U1058" s="13" t="str">
        <f>IF(OR($N1058="",$T1058=""),"",IFERROR(MAX(0,1-($N1058+$T1058+MAX(0,N($Q1058)))/ROUND((INDEX(Config!$D$15:$D$18,MATCH($S1058,Config!$B$15:$B$18,0))-INDEX(Config!$C$15:$C$18,MATCH($S1058,Config!$B$15:$B$18,0)))*1440,0)),""))</f>
        <v/>
      </c>
      <c r="V1058" s="5"/>
    </row>
    <row r="1059" spans="1:22" x14ac:dyDescent="0.25">
      <c r="A1059" s="11"/>
      <c r="B1059" s="5"/>
      <c r="C1059" s="6" t="str">
        <f>IFERROR(INDEX(Ejecutivos!$B$2:$B$100,MATCH(B1059,Ejecutivos!$A$2:$A$100,0)),"")</f>
        <v/>
      </c>
      <c r="D1059" s="12"/>
      <c r="E1059" s="12"/>
      <c r="F1059" s="12"/>
      <c r="G1059" s="12"/>
      <c r="H1059" s="5"/>
      <c r="I1059" s="5"/>
      <c r="J1059" s="5"/>
      <c r="K1059" s="5"/>
      <c r="L1059" s="18">
        <v>0</v>
      </c>
      <c r="M1059" t="str">
        <f t="shared" si="67"/>
        <v/>
      </c>
      <c r="N1059" t="str">
        <f>IF(OR($D1059="",$S1059=""),"",IFERROR(MAX(0,ROUND(($D1059-INDEX(Config!$C$15:$C$18,MATCH($S1059,Config!$B$15:$B$18,0)))*24*60,0)),""))</f>
        <v/>
      </c>
      <c r="O1059" t="str">
        <f t="shared" si="68"/>
        <v/>
      </c>
      <c r="P1059" t="str">
        <f t="shared" si="69"/>
        <v/>
      </c>
      <c r="Q1059" t="str">
        <f>IF(OR($P1059="",$S1059=""),"",IFERROR($P1059-INDEX(Config!$E$15:$E$18,MATCH($S1059,Config!$B$15:$B$18,0)),""))</f>
        <v/>
      </c>
      <c r="R1059" t="str">
        <f t="shared" si="70"/>
        <v/>
      </c>
      <c r="S1059" s="6" t="str">
        <f>IF(OR($A1059="",$C1059=""),"",IFERROR(INDEX(Turno!$C$3:$V$32,MATCH($C1059,Turno!$B$3:$B$32,0),MATCH(DAY($A1059),Turno!$C$1:$V$1,0)),""))</f>
        <v/>
      </c>
      <c r="T1059" t="str">
        <f>IF(OR($E1059="",$S1059=""),"",IFERROR(MAX(0,ROUND((INDEX(Config!$D$15:$D$18,MATCH($S1059,Config!$B$15:$B$18,0))-$E1059)*1440,0)),""))</f>
        <v/>
      </c>
      <c r="U1059" s="13" t="str">
        <f>IF(OR($N1059="",$T1059=""),"",IFERROR(MAX(0,1-($N1059+$T1059+MAX(0,N($Q1059)))/ROUND((INDEX(Config!$D$15:$D$18,MATCH($S1059,Config!$B$15:$B$18,0))-INDEX(Config!$C$15:$C$18,MATCH($S1059,Config!$B$15:$B$18,0)))*1440,0)),""))</f>
        <v/>
      </c>
      <c r="V1059" s="5"/>
    </row>
    <row r="1060" spans="1:22" x14ac:dyDescent="0.25">
      <c r="A1060" s="11"/>
      <c r="B1060" s="5"/>
      <c r="C1060" s="6" t="str">
        <f>IFERROR(INDEX(Ejecutivos!$B$2:$B$100,MATCH(B1060,Ejecutivos!$A$2:$A$100,0)),"")</f>
        <v/>
      </c>
      <c r="D1060" s="12"/>
      <c r="E1060" s="12"/>
      <c r="F1060" s="12"/>
      <c r="G1060" s="12"/>
      <c r="H1060" s="5"/>
      <c r="I1060" s="5"/>
      <c r="J1060" s="5"/>
      <c r="K1060" s="5"/>
      <c r="L1060" s="18">
        <v>0</v>
      </c>
      <c r="M1060" t="str">
        <f t="shared" si="67"/>
        <v/>
      </c>
      <c r="N1060" t="str">
        <f>IF(OR($D1060="",$S1060=""),"",IFERROR(MAX(0,ROUND(($D1060-INDEX(Config!$C$15:$C$18,MATCH($S1060,Config!$B$15:$B$18,0)))*24*60,0)),""))</f>
        <v/>
      </c>
      <c r="O1060" t="str">
        <f t="shared" si="68"/>
        <v/>
      </c>
      <c r="P1060" t="str">
        <f t="shared" si="69"/>
        <v/>
      </c>
      <c r="Q1060" t="str">
        <f>IF(OR($P1060="",$S1060=""),"",IFERROR($P1060-INDEX(Config!$E$15:$E$18,MATCH($S1060,Config!$B$15:$B$18,0)),""))</f>
        <v/>
      </c>
      <c r="R1060" t="str">
        <f t="shared" si="70"/>
        <v/>
      </c>
      <c r="S1060" s="6" t="str">
        <f>IF(OR($A1060="",$C1060=""),"",IFERROR(INDEX(Turno!$C$3:$V$32,MATCH($C1060,Turno!$B$3:$B$32,0),MATCH(DAY($A1060),Turno!$C$1:$V$1,0)),""))</f>
        <v/>
      </c>
      <c r="T1060" t="str">
        <f>IF(OR($E1060="",$S1060=""),"",IFERROR(MAX(0,ROUND((INDEX(Config!$D$15:$D$18,MATCH($S1060,Config!$B$15:$B$18,0))-$E1060)*1440,0)),""))</f>
        <v/>
      </c>
      <c r="U1060" s="13" t="str">
        <f>IF(OR($N1060="",$T1060=""),"",IFERROR(MAX(0,1-($N1060+$T1060+MAX(0,N($Q1060)))/ROUND((INDEX(Config!$D$15:$D$18,MATCH($S1060,Config!$B$15:$B$18,0))-INDEX(Config!$C$15:$C$18,MATCH($S1060,Config!$B$15:$B$18,0)))*1440,0)),""))</f>
        <v/>
      </c>
      <c r="V1060" s="5"/>
    </row>
    <row r="1061" spans="1:22" x14ac:dyDescent="0.25">
      <c r="A1061" s="11"/>
      <c r="B1061" s="5"/>
      <c r="C1061" s="6" t="str">
        <f>IFERROR(INDEX(Ejecutivos!$B$2:$B$100,MATCH(B1061,Ejecutivos!$A$2:$A$100,0)),"")</f>
        <v/>
      </c>
      <c r="D1061" s="12"/>
      <c r="E1061" s="12"/>
      <c r="F1061" s="12"/>
      <c r="G1061" s="12"/>
      <c r="H1061" s="5"/>
      <c r="I1061" s="5"/>
      <c r="J1061" s="5"/>
      <c r="K1061" s="5"/>
      <c r="L1061" s="18">
        <v>0</v>
      </c>
      <c r="M1061" t="str">
        <f t="shared" si="67"/>
        <v/>
      </c>
      <c r="N1061" t="str">
        <f>IF(OR($D1061="",$S1061=""),"",IFERROR(MAX(0,ROUND(($D1061-INDEX(Config!$C$15:$C$18,MATCH($S1061,Config!$B$15:$B$18,0)))*24*60,0)),""))</f>
        <v/>
      </c>
      <c r="O1061" t="str">
        <f t="shared" si="68"/>
        <v/>
      </c>
      <c r="P1061" t="str">
        <f t="shared" si="69"/>
        <v/>
      </c>
      <c r="Q1061" t="str">
        <f>IF(OR($P1061="",$S1061=""),"",IFERROR($P1061-INDEX(Config!$E$15:$E$18,MATCH($S1061,Config!$B$15:$B$18,0)),""))</f>
        <v/>
      </c>
      <c r="R1061" t="str">
        <f t="shared" si="70"/>
        <v/>
      </c>
      <c r="S1061" s="6" t="str">
        <f>IF(OR($A1061="",$C1061=""),"",IFERROR(INDEX(Turno!$C$3:$V$32,MATCH($C1061,Turno!$B$3:$B$32,0),MATCH(DAY($A1061),Turno!$C$1:$V$1,0)),""))</f>
        <v/>
      </c>
      <c r="T1061" t="str">
        <f>IF(OR($E1061="",$S1061=""),"",IFERROR(MAX(0,ROUND((INDEX(Config!$D$15:$D$18,MATCH($S1061,Config!$B$15:$B$18,0))-$E1061)*1440,0)),""))</f>
        <v/>
      </c>
      <c r="U1061" s="13" t="str">
        <f>IF(OR($N1061="",$T1061=""),"",IFERROR(MAX(0,1-($N1061+$T1061+MAX(0,N($Q1061)))/ROUND((INDEX(Config!$D$15:$D$18,MATCH($S1061,Config!$B$15:$B$18,0))-INDEX(Config!$C$15:$C$18,MATCH($S1061,Config!$B$15:$B$18,0)))*1440,0)),""))</f>
        <v/>
      </c>
      <c r="V1061" s="5"/>
    </row>
    <row r="1062" spans="1:22" x14ac:dyDescent="0.25">
      <c r="A1062" s="11"/>
      <c r="B1062" s="5"/>
      <c r="C1062" s="6" t="str">
        <f>IFERROR(INDEX(Ejecutivos!$B$2:$B$100,MATCH(B1062,Ejecutivos!$A$2:$A$100,0)),"")</f>
        <v/>
      </c>
      <c r="D1062" s="12"/>
      <c r="E1062" s="12"/>
      <c r="F1062" s="12"/>
      <c r="G1062" s="12"/>
      <c r="H1062" s="5"/>
      <c r="I1062" s="5"/>
      <c r="J1062" s="5"/>
      <c r="K1062" s="5"/>
      <c r="L1062" s="18">
        <v>0</v>
      </c>
      <c r="M1062" t="str">
        <f t="shared" si="67"/>
        <v/>
      </c>
      <c r="N1062" t="str">
        <f>IF(OR($D1062="",$S1062=""),"",IFERROR(MAX(0,ROUND(($D1062-INDEX(Config!$C$15:$C$18,MATCH($S1062,Config!$B$15:$B$18,0)))*24*60,0)),""))</f>
        <v/>
      </c>
      <c r="O1062" t="str">
        <f t="shared" si="68"/>
        <v/>
      </c>
      <c r="P1062" t="str">
        <f t="shared" si="69"/>
        <v/>
      </c>
      <c r="Q1062" t="str">
        <f>IF(OR($P1062="",$S1062=""),"",IFERROR($P1062-INDEX(Config!$E$15:$E$18,MATCH($S1062,Config!$B$15:$B$18,0)),""))</f>
        <v/>
      </c>
      <c r="R1062" t="str">
        <f t="shared" si="70"/>
        <v/>
      </c>
      <c r="S1062" s="6" t="str">
        <f>IF(OR($A1062="",$C1062=""),"",IFERROR(INDEX(Turno!$C$3:$V$32,MATCH($C1062,Turno!$B$3:$B$32,0),MATCH(DAY($A1062),Turno!$C$1:$V$1,0)),""))</f>
        <v/>
      </c>
      <c r="T1062" t="str">
        <f>IF(OR($E1062="",$S1062=""),"",IFERROR(MAX(0,ROUND((INDEX(Config!$D$15:$D$18,MATCH($S1062,Config!$B$15:$B$18,0))-$E1062)*1440,0)),""))</f>
        <v/>
      </c>
      <c r="U1062" s="13" t="str">
        <f>IF(OR($N1062="",$T1062=""),"",IFERROR(MAX(0,1-($N1062+$T1062+MAX(0,N($Q1062)))/ROUND((INDEX(Config!$D$15:$D$18,MATCH($S1062,Config!$B$15:$B$18,0))-INDEX(Config!$C$15:$C$18,MATCH($S1062,Config!$B$15:$B$18,0)))*1440,0)),""))</f>
        <v/>
      </c>
      <c r="V1062" s="5"/>
    </row>
    <row r="1063" spans="1:22" x14ac:dyDescent="0.25">
      <c r="A1063" s="11"/>
      <c r="B1063" s="5"/>
      <c r="C1063" s="6" t="str">
        <f>IFERROR(INDEX(Ejecutivos!$B$2:$B$100,MATCH(B1063,Ejecutivos!$A$2:$A$100,0)),"")</f>
        <v/>
      </c>
      <c r="D1063" s="12"/>
      <c r="E1063" s="12"/>
      <c r="F1063" s="12"/>
      <c r="G1063" s="12"/>
      <c r="H1063" s="5"/>
      <c r="I1063" s="5"/>
      <c r="J1063" s="5"/>
      <c r="K1063" s="5"/>
      <c r="L1063" s="18">
        <v>0</v>
      </c>
      <c r="M1063" t="str">
        <f t="shared" si="67"/>
        <v/>
      </c>
      <c r="N1063" t="str">
        <f>IF(OR($D1063="",$S1063=""),"",IFERROR(MAX(0,ROUND(($D1063-INDEX(Config!$C$15:$C$18,MATCH($S1063,Config!$B$15:$B$18,0)))*24*60,0)),""))</f>
        <v/>
      </c>
      <c r="O1063" t="str">
        <f t="shared" si="68"/>
        <v/>
      </c>
      <c r="P1063" t="str">
        <f t="shared" si="69"/>
        <v/>
      </c>
      <c r="Q1063" t="str">
        <f>IF(OR($P1063="",$S1063=""),"",IFERROR($P1063-INDEX(Config!$E$15:$E$18,MATCH($S1063,Config!$B$15:$B$18,0)),""))</f>
        <v/>
      </c>
      <c r="R1063" t="str">
        <f t="shared" si="70"/>
        <v/>
      </c>
      <c r="S1063" s="6" t="str">
        <f>IF(OR($A1063="",$C1063=""),"",IFERROR(INDEX(Turno!$C$3:$V$32,MATCH($C1063,Turno!$B$3:$B$32,0),MATCH(DAY($A1063),Turno!$C$1:$V$1,0)),""))</f>
        <v/>
      </c>
      <c r="T1063" t="str">
        <f>IF(OR($E1063="",$S1063=""),"",IFERROR(MAX(0,ROUND((INDEX(Config!$D$15:$D$18,MATCH($S1063,Config!$B$15:$B$18,0))-$E1063)*1440,0)),""))</f>
        <v/>
      </c>
      <c r="U1063" s="13" t="str">
        <f>IF(OR($N1063="",$T1063=""),"",IFERROR(MAX(0,1-($N1063+$T1063+MAX(0,N($Q1063)))/ROUND((INDEX(Config!$D$15:$D$18,MATCH($S1063,Config!$B$15:$B$18,0))-INDEX(Config!$C$15:$C$18,MATCH($S1063,Config!$B$15:$B$18,0)))*1440,0)),""))</f>
        <v/>
      </c>
      <c r="V1063" s="5"/>
    </row>
    <row r="1064" spans="1:22" x14ac:dyDescent="0.25">
      <c r="A1064" s="11"/>
      <c r="B1064" s="5"/>
      <c r="C1064" s="6" t="str">
        <f>IFERROR(INDEX(Ejecutivos!$B$2:$B$100,MATCH(B1064,Ejecutivos!$A$2:$A$100,0)),"")</f>
        <v/>
      </c>
      <c r="D1064" s="12"/>
      <c r="E1064" s="12"/>
      <c r="F1064" s="12"/>
      <c r="G1064" s="12"/>
      <c r="H1064" s="5"/>
      <c r="I1064" s="5"/>
      <c r="J1064" s="5"/>
      <c r="K1064" s="5"/>
      <c r="L1064" s="18">
        <v>0</v>
      </c>
      <c r="M1064" t="str">
        <f t="shared" si="67"/>
        <v/>
      </c>
      <c r="N1064" t="str">
        <f>IF(OR($D1064="",$S1064=""),"",IFERROR(MAX(0,ROUND(($D1064-INDEX(Config!$C$15:$C$18,MATCH($S1064,Config!$B$15:$B$18,0)))*24*60,0)),""))</f>
        <v/>
      </c>
      <c r="O1064" t="str">
        <f t="shared" si="68"/>
        <v/>
      </c>
      <c r="P1064" t="str">
        <f t="shared" si="69"/>
        <v/>
      </c>
      <c r="Q1064" t="str">
        <f>IF(OR($P1064="",$S1064=""),"",IFERROR($P1064-INDEX(Config!$E$15:$E$18,MATCH($S1064,Config!$B$15:$B$18,0)),""))</f>
        <v/>
      </c>
      <c r="R1064" t="str">
        <f t="shared" si="70"/>
        <v/>
      </c>
      <c r="S1064" s="6" t="str">
        <f>IF(OR($A1064="",$C1064=""),"",IFERROR(INDEX(Turno!$C$3:$V$32,MATCH($C1064,Turno!$B$3:$B$32,0),MATCH(DAY($A1064),Turno!$C$1:$V$1,0)),""))</f>
        <v/>
      </c>
      <c r="T1064" t="str">
        <f>IF(OR($E1064="",$S1064=""),"",IFERROR(MAX(0,ROUND((INDEX(Config!$D$15:$D$18,MATCH($S1064,Config!$B$15:$B$18,0))-$E1064)*1440,0)),""))</f>
        <v/>
      </c>
      <c r="U1064" s="13" t="str">
        <f>IF(OR($N1064="",$T1064=""),"",IFERROR(MAX(0,1-($N1064+$T1064+MAX(0,N($Q1064)))/ROUND((INDEX(Config!$D$15:$D$18,MATCH($S1064,Config!$B$15:$B$18,0))-INDEX(Config!$C$15:$C$18,MATCH($S1064,Config!$B$15:$B$18,0)))*1440,0)),""))</f>
        <v/>
      </c>
      <c r="V1064" s="5"/>
    </row>
    <row r="1065" spans="1:22" x14ac:dyDescent="0.25">
      <c r="A1065" s="11"/>
      <c r="B1065" s="5"/>
      <c r="C1065" s="6" t="str">
        <f>IFERROR(INDEX(Ejecutivos!$B$2:$B$100,MATCH(B1065,Ejecutivos!$A$2:$A$100,0)),"")</f>
        <v/>
      </c>
      <c r="D1065" s="12"/>
      <c r="E1065" s="12"/>
      <c r="F1065" s="12"/>
      <c r="G1065" s="12"/>
      <c r="H1065" s="5"/>
      <c r="I1065" s="5"/>
      <c r="J1065" s="5"/>
      <c r="K1065" s="5"/>
      <c r="L1065" s="18">
        <v>0</v>
      </c>
      <c r="M1065" t="str">
        <f t="shared" si="67"/>
        <v/>
      </c>
      <c r="N1065" t="str">
        <f>IF(OR($D1065="",$S1065=""),"",IFERROR(MAX(0,ROUND(($D1065-INDEX(Config!$C$15:$C$18,MATCH($S1065,Config!$B$15:$B$18,0)))*24*60,0)),""))</f>
        <v/>
      </c>
      <c r="O1065" t="str">
        <f t="shared" si="68"/>
        <v/>
      </c>
      <c r="P1065" t="str">
        <f t="shared" si="69"/>
        <v/>
      </c>
      <c r="Q1065" t="str">
        <f>IF(OR($P1065="",$S1065=""),"",IFERROR($P1065-INDEX(Config!$E$15:$E$18,MATCH($S1065,Config!$B$15:$B$18,0)),""))</f>
        <v/>
      </c>
      <c r="R1065" t="str">
        <f t="shared" si="70"/>
        <v/>
      </c>
      <c r="S1065" s="6" t="str">
        <f>IF(OR($A1065="",$C1065=""),"",IFERROR(INDEX(Turno!$C$3:$V$32,MATCH($C1065,Turno!$B$3:$B$32,0),MATCH(DAY($A1065),Turno!$C$1:$V$1,0)),""))</f>
        <v/>
      </c>
      <c r="T1065" t="str">
        <f>IF(OR($E1065="",$S1065=""),"",IFERROR(MAX(0,ROUND((INDEX(Config!$D$15:$D$18,MATCH($S1065,Config!$B$15:$B$18,0))-$E1065)*1440,0)),""))</f>
        <v/>
      </c>
      <c r="U1065" s="13" t="str">
        <f>IF(OR($N1065="",$T1065=""),"",IFERROR(MAX(0,1-($N1065+$T1065+MAX(0,N($Q1065)))/ROUND((INDEX(Config!$D$15:$D$18,MATCH($S1065,Config!$B$15:$B$18,0))-INDEX(Config!$C$15:$C$18,MATCH($S1065,Config!$B$15:$B$18,0)))*1440,0)),""))</f>
        <v/>
      </c>
      <c r="V1065" s="5"/>
    </row>
    <row r="1066" spans="1:22" x14ac:dyDescent="0.25">
      <c r="A1066" s="11"/>
      <c r="B1066" s="5"/>
      <c r="C1066" s="6" t="str">
        <f>IFERROR(INDEX(Ejecutivos!$B$2:$B$100,MATCH(B1066,Ejecutivos!$A$2:$A$100,0)),"")</f>
        <v/>
      </c>
      <c r="D1066" s="12"/>
      <c r="E1066" s="12"/>
      <c r="F1066" s="12"/>
      <c r="G1066" s="12"/>
      <c r="H1066" s="5"/>
      <c r="I1066" s="5"/>
      <c r="J1066" s="5"/>
      <c r="K1066" s="5"/>
      <c r="L1066" s="18">
        <v>0</v>
      </c>
      <c r="M1066" t="str">
        <f t="shared" si="67"/>
        <v/>
      </c>
      <c r="N1066" t="str">
        <f>IF(OR($D1066="",$S1066=""),"",IFERROR(MAX(0,ROUND(($D1066-INDEX(Config!$C$15:$C$18,MATCH($S1066,Config!$B$15:$B$18,0)))*24*60,0)),""))</f>
        <v/>
      </c>
      <c r="O1066" t="str">
        <f t="shared" si="68"/>
        <v/>
      </c>
      <c r="P1066" t="str">
        <f t="shared" si="69"/>
        <v/>
      </c>
      <c r="Q1066" t="str">
        <f>IF(OR($P1066="",$S1066=""),"",IFERROR($P1066-INDEX(Config!$E$15:$E$18,MATCH($S1066,Config!$B$15:$B$18,0)),""))</f>
        <v/>
      </c>
      <c r="R1066" t="str">
        <f t="shared" si="70"/>
        <v/>
      </c>
      <c r="S1066" s="6" t="str">
        <f>IF(OR($A1066="",$C1066=""),"",IFERROR(INDEX(Turno!$C$3:$V$32,MATCH($C1066,Turno!$B$3:$B$32,0),MATCH(DAY($A1066),Turno!$C$1:$V$1,0)),""))</f>
        <v/>
      </c>
      <c r="T1066" t="str">
        <f>IF(OR($E1066="",$S1066=""),"",IFERROR(MAX(0,ROUND((INDEX(Config!$D$15:$D$18,MATCH($S1066,Config!$B$15:$B$18,0))-$E1066)*1440,0)),""))</f>
        <v/>
      </c>
      <c r="U1066" s="13" t="str">
        <f>IF(OR($N1066="",$T1066=""),"",IFERROR(MAX(0,1-($N1066+$T1066+MAX(0,N($Q1066)))/ROUND((INDEX(Config!$D$15:$D$18,MATCH($S1066,Config!$B$15:$B$18,0))-INDEX(Config!$C$15:$C$18,MATCH($S1066,Config!$B$15:$B$18,0)))*1440,0)),""))</f>
        <v/>
      </c>
      <c r="V1066" s="5"/>
    </row>
    <row r="1067" spans="1:22" x14ac:dyDescent="0.25">
      <c r="A1067" s="11"/>
      <c r="B1067" s="5"/>
      <c r="C1067" s="6" t="str">
        <f>IFERROR(INDEX(Ejecutivos!$B$2:$B$100,MATCH(B1067,Ejecutivos!$A$2:$A$100,0)),"")</f>
        <v/>
      </c>
      <c r="D1067" s="12"/>
      <c r="E1067" s="12"/>
      <c r="F1067" s="12"/>
      <c r="G1067" s="12"/>
      <c r="H1067" s="5"/>
      <c r="I1067" s="5"/>
      <c r="J1067" s="5"/>
      <c r="K1067" s="5"/>
      <c r="L1067" s="18">
        <v>0</v>
      </c>
      <c r="M1067" t="str">
        <f t="shared" si="67"/>
        <v/>
      </c>
      <c r="N1067" t="str">
        <f>IF(OR($D1067="",$S1067=""),"",IFERROR(MAX(0,ROUND(($D1067-INDEX(Config!$C$15:$C$18,MATCH($S1067,Config!$B$15:$B$18,0)))*24*60,0)),""))</f>
        <v/>
      </c>
      <c r="O1067" t="str">
        <f t="shared" si="68"/>
        <v/>
      </c>
      <c r="P1067" t="str">
        <f t="shared" si="69"/>
        <v/>
      </c>
      <c r="Q1067" t="str">
        <f>IF(OR($P1067="",$S1067=""),"",IFERROR($P1067-INDEX(Config!$E$15:$E$18,MATCH($S1067,Config!$B$15:$B$18,0)),""))</f>
        <v/>
      </c>
      <c r="R1067" t="str">
        <f t="shared" si="70"/>
        <v/>
      </c>
      <c r="S1067" s="6" t="str">
        <f>IF(OR($A1067="",$C1067=""),"",IFERROR(INDEX(Turno!$C$3:$V$32,MATCH($C1067,Turno!$B$3:$B$32,0),MATCH(DAY($A1067),Turno!$C$1:$V$1,0)),""))</f>
        <v/>
      </c>
      <c r="T1067" t="str">
        <f>IF(OR($E1067="",$S1067=""),"",IFERROR(MAX(0,ROUND((INDEX(Config!$D$15:$D$18,MATCH($S1067,Config!$B$15:$B$18,0))-$E1067)*1440,0)),""))</f>
        <v/>
      </c>
      <c r="U1067" s="13" t="str">
        <f>IF(OR($N1067="",$T1067=""),"",IFERROR(MAX(0,1-($N1067+$T1067+MAX(0,N($Q1067)))/ROUND((INDEX(Config!$D$15:$D$18,MATCH($S1067,Config!$B$15:$B$18,0))-INDEX(Config!$C$15:$C$18,MATCH($S1067,Config!$B$15:$B$18,0)))*1440,0)),""))</f>
        <v/>
      </c>
      <c r="V1067" s="5"/>
    </row>
    <row r="1068" spans="1:22" x14ac:dyDescent="0.25">
      <c r="A1068" s="11"/>
      <c r="B1068" s="5"/>
      <c r="C1068" s="6" t="str">
        <f>IFERROR(INDEX(Ejecutivos!$B$2:$B$100,MATCH(B1068,Ejecutivos!$A$2:$A$100,0)),"")</f>
        <v/>
      </c>
      <c r="D1068" s="12"/>
      <c r="E1068" s="12"/>
      <c r="F1068" s="12"/>
      <c r="G1068" s="12"/>
      <c r="H1068" s="5"/>
      <c r="I1068" s="5"/>
      <c r="J1068" s="5"/>
      <c r="K1068" s="5"/>
      <c r="L1068" s="18">
        <v>0</v>
      </c>
      <c r="M1068" t="str">
        <f t="shared" si="67"/>
        <v/>
      </c>
      <c r="N1068" t="str">
        <f>IF(OR($D1068="",$S1068=""),"",IFERROR(MAX(0,ROUND(($D1068-INDEX(Config!$C$15:$C$18,MATCH($S1068,Config!$B$15:$B$18,0)))*24*60,0)),""))</f>
        <v/>
      </c>
      <c r="O1068" t="str">
        <f t="shared" si="68"/>
        <v/>
      </c>
      <c r="P1068" t="str">
        <f t="shared" si="69"/>
        <v/>
      </c>
      <c r="Q1068" t="str">
        <f>IF(OR($P1068="",$S1068=""),"",IFERROR($P1068-INDEX(Config!$E$15:$E$18,MATCH($S1068,Config!$B$15:$B$18,0)),""))</f>
        <v/>
      </c>
      <c r="R1068" t="str">
        <f t="shared" si="70"/>
        <v/>
      </c>
      <c r="S1068" s="6" t="str">
        <f>IF(OR($A1068="",$C1068=""),"",IFERROR(INDEX(Turno!$C$3:$V$32,MATCH($C1068,Turno!$B$3:$B$32,0),MATCH(DAY($A1068),Turno!$C$1:$V$1,0)),""))</f>
        <v/>
      </c>
      <c r="T1068" t="str">
        <f>IF(OR($E1068="",$S1068=""),"",IFERROR(MAX(0,ROUND((INDEX(Config!$D$15:$D$18,MATCH($S1068,Config!$B$15:$B$18,0))-$E1068)*1440,0)),""))</f>
        <v/>
      </c>
      <c r="U1068" s="13" t="str">
        <f>IF(OR($N1068="",$T1068=""),"",IFERROR(MAX(0,1-($N1068+$T1068+MAX(0,N($Q1068)))/ROUND((INDEX(Config!$D$15:$D$18,MATCH($S1068,Config!$B$15:$B$18,0))-INDEX(Config!$C$15:$C$18,MATCH($S1068,Config!$B$15:$B$18,0)))*1440,0)),""))</f>
        <v/>
      </c>
      <c r="V1068" s="5"/>
    </row>
    <row r="1069" spans="1:22" x14ac:dyDescent="0.25">
      <c r="A1069" s="11"/>
      <c r="B1069" s="5"/>
      <c r="C1069" s="6" t="str">
        <f>IFERROR(INDEX(Ejecutivos!$B$2:$B$100,MATCH(B1069,Ejecutivos!$A$2:$A$100,0)),"")</f>
        <v/>
      </c>
      <c r="D1069" s="12"/>
      <c r="E1069" s="12"/>
      <c r="F1069" s="12"/>
      <c r="G1069" s="12"/>
      <c r="H1069" s="5"/>
      <c r="I1069" s="5"/>
      <c r="J1069" s="5"/>
      <c r="K1069" s="5"/>
      <c r="L1069" s="18">
        <v>0</v>
      </c>
      <c r="M1069" t="str">
        <f t="shared" si="67"/>
        <v/>
      </c>
      <c r="N1069" t="str">
        <f>IF(OR($D1069="",$S1069=""),"",IFERROR(MAX(0,ROUND(($D1069-INDEX(Config!$C$15:$C$18,MATCH($S1069,Config!$B$15:$B$18,0)))*24*60,0)),""))</f>
        <v/>
      </c>
      <c r="O1069" t="str">
        <f t="shared" si="68"/>
        <v/>
      </c>
      <c r="P1069" t="str">
        <f t="shared" si="69"/>
        <v/>
      </c>
      <c r="Q1069" t="str">
        <f>IF(OR($P1069="",$S1069=""),"",IFERROR($P1069-INDEX(Config!$E$15:$E$18,MATCH($S1069,Config!$B$15:$B$18,0)),""))</f>
        <v/>
      </c>
      <c r="R1069" t="str">
        <f t="shared" si="70"/>
        <v/>
      </c>
      <c r="S1069" s="6" t="str">
        <f>IF(OR($A1069="",$C1069=""),"",IFERROR(INDEX(Turno!$C$3:$V$32,MATCH($C1069,Turno!$B$3:$B$32,0),MATCH(DAY($A1069),Turno!$C$1:$V$1,0)),""))</f>
        <v/>
      </c>
      <c r="T1069" t="str">
        <f>IF(OR($E1069="",$S1069=""),"",IFERROR(MAX(0,ROUND((INDEX(Config!$D$15:$D$18,MATCH($S1069,Config!$B$15:$B$18,0))-$E1069)*1440,0)),""))</f>
        <v/>
      </c>
      <c r="U1069" s="13" t="str">
        <f>IF(OR($N1069="",$T1069=""),"",IFERROR(MAX(0,1-($N1069+$T1069+MAX(0,N($Q1069)))/ROUND((INDEX(Config!$D$15:$D$18,MATCH($S1069,Config!$B$15:$B$18,0))-INDEX(Config!$C$15:$C$18,MATCH($S1069,Config!$B$15:$B$18,0)))*1440,0)),""))</f>
        <v/>
      </c>
      <c r="V1069" s="5"/>
    </row>
    <row r="1070" spans="1:22" x14ac:dyDescent="0.25">
      <c r="A1070" s="11"/>
      <c r="B1070" s="5"/>
      <c r="C1070" s="6" t="str">
        <f>IFERROR(INDEX(Ejecutivos!$B$2:$B$100,MATCH(B1070,Ejecutivos!$A$2:$A$100,0)),"")</f>
        <v/>
      </c>
      <c r="D1070" s="12"/>
      <c r="E1070" s="12"/>
      <c r="F1070" s="12"/>
      <c r="G1070" s="12"/>
      <c r="H1070" s="5"/>
      <c r="I1070" s="5"/>
      <c r="J1070" s="5"/>
      <c r="K1070" s="5"/>
      <c r="L1070" s="18">
        <v>0</v>
      </c>
      <c r="M1070" t="str">
        <f t="shared" si="67"/>
        <v/>
      </c>
      <c r="N1070" t="str">
        <f>IF(OR($D1070="",$S1070=""),"",IFERROR(MAX(0,ROUND(($D1070-INDEX(Config!$C$15:$C$18,MATCH($S1070,Config!$B$15:$B$18,0)))*24*60,0)),""))</f>
        <v/>
      </c>
      <c r="O1070" t="str">
        <f t="shared" si="68"/>
        <v/>
      </c>
      <c r="P1070" t="str">
        <f t="shared" si="69"/>
        <v/>
      </c>
      <c r="Q1070" t="str">
        <f>IF(OR($P1070="",$S1070=""),"",IFERROR($P1070-INDEX(Config!$E$15:$E$18,MATCH($S1070,Config!$B$15:$B$18,0)),""))</f>
        <v/>
      </c>
      <c r="R1070" t="str">
        <f t="shared" si="70"/>
        <v/>
      </c>
      <c r="S1070" s="6" t="str">
        <f>IF(OR($A1070="",$C1070=""),"",IFERROR(INDEX(Turno!$C$3:$V$32,MATCH($C1070,Turno!$B$3:$B$32,0),MATCH(DAY($A1070),Turno!$C$1:$V$1,0)),""))</f>
        <v/>
      </c>
      <c r="T1070" t="str">
        <f>IF(OR($E1070="",$S1070=""),"",IFERROR(MAX(0,ROUND((INDEX(Config!$D$15:$D$18,MATCH($S1070,Config!$B$15:$B$18,0))-$E1070)*1440,0)),""))</f>
        <v/>
      </c>
      <c r="U1070" s="13" t="str">
        <f>IF(OR($N1070="",$T1070=""),"",IFERROR(MAX(0,1-($N1070+$T1070+MAX(0,N($Q1070)))/ROUND((INDEX(Config!$D$15:$D$18,MATCH($S1070,Config!$B$15:$B$18,0))-INDEX(Config!$C$15:$C$18,MATCH($S1070,Config!$B$15:$B$18,0)))*1440,0)),""))</f>
        <v/>
      </c>
      <c r="V1070" s="5"/>
    </row>
    <row r="1071" spans="1:22" x14ac:dyDescent="0.25">
      <c r="A1071" s="11"/>
      <c r="B1071" s="5"/>
      <c r="C1071" s="6" t="str">
        <f>IFERROR(INDEX(Ejecutivos!$B$2:$B$100,MATCH(B1071,Ejecutivos!$A$2:$A$100,0)),"")</f>
        <v/>
      </c>
      <c r="D1071" s="12"/>
      <c r="E1071" s="12"/>
      <c r="F1071" s="12"/>
      <c r="G1071" s="12"/>
      <c r="H1071" s="5"/>
      <c r="I1071" s="5"/>
      <c r="J1071" s="5"/>
      <c r="K1071" s="5"/>
      <c r="L1071" s="18">
        <v>0</v>
      </c>
      <c r="M1071" t="str">
        <f t="shared" si="67"/>
        <v/>
      </c>
      <c r="N1071" t="str">
        <f>IF(OR($D1071="",$S1071=""),"",IFERROR(MAX(0,ROUND(($D1071-INDEX(Config!$C$15:$C$18,MATCH($S1071,Config!$B$15:$B$18,0)))*24*60,0)),""))</f>
        <v/>
      </c>
      <c r="O1071" t="str">
        <f t="shared" si="68"/>
        <v/>
      </c>
      <c r="P1071" t="str">
        <f t="shared" si="69"/>
        <v/>
      </c>
      <c r="Q1071" t="str">
        <f>IF(OR($P1071="",$S1071=""),"",IFERROR($P1071-INDEX(Config!$E$15:$E$18,MATCH($S1071,Config!$B$15:$B$18,0)),""))</f>
        <v/>
      </c>
      <c r="R1071" t="str">
        <f t="shared" si="70"/>
        <v/>
      </c>
      <c r="S1071" s="6" t="str">
        <f>IF(OR($A1071="",$C1071=""),"",IFERROR(INDEX(Turno!$C$3:$V$32,MATCH($C1071,Turno!$B$3:$B$32,0),MATCH(DAY($A1071),Turno!$C$1:$V$1,0)),""))</f>
        <v/>
      </c>
      <c r="T1071" t="str">
        <f>IF(OR($E1071="",$S1071=""),"",IFERROR(MAX(0,ROUND((INDEX(Config!$D$15:$D$18,MATCH($S1071,Config!$B$15:$B$18,0))-$E1071)*1440,0)),""))</f>
        <v/>
      </c>
      <c r="U1071" s="13" t="str">
        <f>IF(OR($N1071="",$T1071=""),"",IFERROR(MAX(0,1-($N1071+$T1071+MAX(0,N($Q1071)))/ROUND((INDEX(Config!$D$15:$D$18,MATCH($S1071,Config!$B$15:$B$18,0))-INDEX(Config!$C$15:$C$18,MATCH($S1071,Config!$B$15:$B$18,0)))*1440,0)),""))</f>
        <v/>
      </c>
      <c r="V1071" s="5"/>
    </row>
    <row r="1072" spans="1:22" x14ac:dyDescent="0.25">
      <c r="A1072" s="11"/>
      <c r="B1072" s="5"/>
      <c r="C1072" s="6" t="str">
        <f>IFERROR(INDEX(Ejecutivos!$B$2:$B$100,MATCH(B1072,Ejecutivos!$A$2:$A$100,0)),"")</f>
        <v/>
      </c>
      <c r="D1072" s="12"/>
      <c r="E1072" s="12"/>
      <c r="F1072" s="12"/>
      <c r="G1072" s="12"/>
      <c r="H1072" s="5"/>
      <c r="I1072" s="5"/>
      <c r="J1072" s="5"/>
      <c r="K1072" s="5"/>
      <c r="L1072" s="18">
        <v>0</v>
      </c>
      <c r="M1072" t="str">
        <f t="shared" si="67"/>
        <v/>
      </c>
      <c r="N1072" t="str">
        <f>IF(OR($D1072="",$S1072=""),"",IFERROR(MAX(0,ROUND(($D1072-INDEX(Config!$C$15:$C$18,MATCH($S1072,Config!$B$15:$B$18,0)))*24*60,0)),""))</f>
        <v/>
      </c>
      <c r="O1072" t="str">
        <f t="shared" si="68"/>
        <v/>
      </c>
      <c r="P1072" t="str">
        <f t="shared" si="69"/>
        <v/>
      </c>
      <c r="Q1072" t="str">
        <f>IF(OR($P1072="",$S1072=""),"",IFERROR($P1072-INDEX(Config!$E$15:$E$18,MATCH($S1072,Config!$B$15:$B$18,0)),""))</f>
        <v/>
      </c>
      <c r="R1072" t="str">
        <f t="shared" si="70"/>
        <v/>
      </c>
      <c r="S1072" s="6" t="str">
        <f>IF(OR($A1072="",$C1072=""),"",IFERROR(INDEX(Turno!$C$3:$V$32,MATCH($C1072,Turno!$B$3:$B$32,0),MATCH(DAY($A1072),Turno!$C$1:$V$1,0)),""))</f>
        <v/>
      </c>
      <c r="T1072" t="str">
        <f>IF(OR($E1072="",$S1072=""),"",IFERROR(MAX(0,ROUND((INDEX(Config!$D$15:$D$18,MATCH($S1072,Config!$B$15:$B$18,0))-$E1072)*1440,0)),""))</f>
        <v/>
      </c>
      <c r="U1072" s="13" t="str">
        <f>IF(OR($N1072="",$T1072=""),"",IFERROR(MAX(0,1-($N1072+$T1072+MAX(0,N($Q1072)))/ROUND((INDEX(Config!$D$15:$D$18,MATCH($S1072,Config!$B$15:$B$18,0))-INDEX(Config!$C$15:$C$18,MATCH($S1072,Config!$B$15:$B$18,0)))*1440,0)),""))</f>
        <v/>
      </c>
      <c r="V1072" s="5"/>
    </row>
    <row r="1073" spans="1:22" x14ac:dyDescent="0.25">
      <c r="A1073" s="11"/>
      <c r="B1073" s="5"/>
      <c r="C1073" s="6" t="str">
        <f>IFERROR(INDEX(Ejecutivos!$B$2:$B$100,MATCH(B1073,Ejecutivos!$A$2:$A$100,0)),"")</f>
        <v/>
      </c>
      <c r="D1073" s="12"/>
      <c r="E1073" s="12"/>
      <c r="F1073" s="12"/>
      <c r="G1073" s="12"/>
      <c r="H1073" s="5"/>
      <c r="I1073" s="5"/>
      <c r="J1073" s="5"/>
      <c r="K1073" s="5"/>
      <c r="L1073" s="18">
        <v>0</v>
      </c>
      <c r="M1073" t="str">
        <f t="shared" si="67"/>
        <v/>
      </c>
      <c r="N1073" t="str">
        <f>IF(OR($D1073="",$S1073=""),"",IFERROR(MAX(0,ROUND(($D1073-INDEX(Config!$C$15:$C$18,MATCH($S1073,Config!$B$15:$B$18,0)))*24*60,0)),""))</f>
        <v/>
      </c>
      <c r="O1073" t="str">
        <f t="shared" si="68"/>
        <v/>
      </c>
      <c r="P1073" t="str">
        <f t="shared" si="69"/>
        <v/>
      </c>
      <c r="Q1073" t="str">
        <f>IF(OR($P1073="",$S1073=""),"",IFERROR($P1073-INDEX(Config!$E$15:$E$18,MATCH($S1073,Config!$B$15:$B$18,0)),""))</f>
        <v/>
      </c>
      <c r="R1073" t="str">
        <f t="shared" si="70"/>
        <v/>
      </c>
      <c r="S1073" s="6" t="str">
        <f>IF(OR($A1073="",$C1073=""),"",IFERROR(INDEX(Turno!$C$3:$V$32,MATCH($C1073,Turno!$B$3:$B$32,0),MATCH(DAY($A1073),Turno!$C$1:$V$1,0)),""))</f>
        <v/>
      </c>
      <c r="T1073" t="str">
        <f>IF(OR($E1073="",$S1073=""),"",IFERROR(MAX(0,ROUND((INDEX(Config!$D$15:$D$18,MATCH($S1073,Config!$B$15:$B$18,0))-$E1073)*1440,0)),""))</f>
        <v/>
      </c>
      <c r="U1073" s="13" t="str">
        <f>IF(OR($N1073="",$T1073=""),"",IFERROR(MAX(0,1-($N1073+$T1073+MAX(0,N($Q1073)))/ROUND((INDEX(Config!$D$15:$D$18,MATCH($S1073,Config!$B$15:$B$18,0))-INDEX(Config!$C$15:$C$18,MATCH($S1073,Config!$B$15:$B$18,0)))*1440,0)),""))</f>
        <v/>
      </c>
      <c r="V1073" s="5"/>
    </row>
    <row r="1074" spans="1:22" x14ac:dyDescent="0.25">
      <c r="A1074" s="11"/>
      <c r="B1074" s="5"/>
      <c r="C1074" s="6" t="str">
        <f>IFERROR(INDEX(Ejecutivos!$B$2:$B$100,MATCH(B1074,Ejecutivos!$A$2:$A$100,0)),"")</f>
        <v/>
      </c>
      <c r="D1074" s="12"/>
      <c r="E1074" s="12"/>
      <c r="F1074" s="12"/>
      <c r="G1074" s="12"/>
      <c r="H1074" s="5"/>
      <c r="I1074" s="5"/>
      <c r="J1074" s="5"/>
      <c r="K1074" s="5"/>
      <c r="L1074" s="18">
        <v>0</v>
      </c>
      <c r="M1074" t="str">
        <f t="shared" si="67"/>
        <v/>
      </c>
      <c r="N1074" t="str">
        <f>IF(OR($D1074="",$S1074=""),"",IFERROR(MAX(0,ROUND(($D1074-INDEX(Config!$C$15:$C$18,MATCH($S1074,Config!$B$15:$B$18,0)))*24*60,0)),""))</f>
        <v/>
      </c>
      <c r="O1074" t="str">
        <f t="shared" si="68"/>
        <v/>
      </c>
      <c r="P1074" t="str">
        <f t="shared" si="69"/>
        <v/>
      </c>
      <c r="Q1074" t="str">
        <f>IF(OR($P1074="",$S1074=""),"",IFERROR($P1074-INDEX(Config!$E$15:$E$18,MATCH($S1074,Config!$B$15:$B$18,0)),""))</f>
        <v/>
      </c>
      <c r="R1074" t="str">
        <f t="shared" si="70"/>
        <v/>
      </c>
      <c r="S1074" s="6" t="str">
        <f>IF(OR($A1074="",$C1074=""),"",IFERROR(INDEX(Turno!$C$3:$V$32,MATCH($C1074,Turno!$B$3:$B$32,0),MATCH(DAY($A1074),Turno!$C$1:$V$1,0)),""))</f>
        <v/>
      </c>
      <c r="T1074" t="str">
        <f>IF(OR($E1074="",$S1074=""),"",IFERROR(MAX(0,ROUND((INDEX(Config!$D$15:$D$18,MATCH($S1074,Config!$B$15:$B$18,0))-$E1074)*1440,0)),""))</f>
        <v/>
      </c>
      <c r="U1074" s="13" t="str">
        <f>IF(OR($N1074="",$T1074=""),"",IFERROR(MAX(0,1-($N1074+$T1074+MAX(0,N($Q1074)))/ROUND((INDEX(Config!$D$15:$D$18,MATCH($S1074,Config!$B$15:$B$18,0))-INDEX(Config!$C$15:$C$18,MATCH($S1074,Config!$B$15:$B$18,0)))*1440,0)),""))</f>
        <v/>
      </c>
      <c r="V1074" s="5"/>
    </row>
    <row r="1075" spans="1:22" x14ac:dyDescent="0.25">
      <c r="A1075" s="11"/>
      <c r="B1075" s="5"/>
      <c r="C1075" s="6" t="str">
        <f>IFERROR(INDEX(Ejecutivos!$B$2:$B$100,MATCH(B1075,Ejecutivos!$A$2:$A$100,0)),"")</f>
        <v/>
      </c>
      <c r="D1075" s="12"/>
      <c r="E1075" s="12"/>
      <c r="F1075" s="12"/>
      <c r="G1075" s="12"/>
      <c r="H1075" s="5"/>
      <c r="I1075" s="5"/>
      <c r="J1075" s="5"/>
      <c r="K1075" s="5"/>
      <c r="L1075" s="18">
        <v>0</v>
      </c>
      <c r="M1075" t="str">
        <f t="shared" si="67"/>
        <v/>
      </c>
      <c r="N1075" t="str">
        <f>IF(OR($D1075="",$S1075=""),"",IFERROR(MAX(0,ROUND(($D1075-INDEX(Config!$C$15:$C$18,MATCH($S1075,Config!$B$15:$B$18,0)))*24*60,0)),""))</f>
        <v/>
      </c>
      <c r="O1075" t="str">
        <f t="shared" si="68"/>
        <v/>
      </c>
      <c r="P1075" t="str">
        <f t="shared" si="69"/>
        <v/>
      </c>
      <c r="Q1075" t="str">
        <f>IF(OR($P1075="",$S1075=""),"",IFERROR($P1075-INDEX(Config!$E$15:$E$18,MATCH($S1075,Config!$B$15:$B$18,0)),""))</f>
        <v/>
      </c>
      <c r="R1075" t="str">
        <f t="shared" si="70"/>
        <v/>
      </c>
      <c r="S1075" s="6" t="str">
        <f>IF(OR($A1075="",$C1075=""),"",IFERROR(INDEX(Turno!$C$3:$V$32,MATCH($C1075,Turno!$B$3:$B$32,0),MATCH(DAY($A1075),Turno!$C$1:$V$1,0)),""))</f>
        <v/>
      </c>
      <c r="T1075" t="str">
        <f>IF(OR($E1075="",$S1075=""),"",IFERROR(MAX(0,ROUND((INDEX(Config!$D$15:$D$18,MATCH($S1075,Config!$B$15:$B$18,0))-$E1075)*1440,0)),""))</f>
        <v/>
      </c>
      <c r="U1075" s="13" t="str">
        <f>IF(OR($N1075="",$T1075=""),"",IFERROR(MAX(0,1-($N1075+$T1075+MAX(0,N($Q1075)))/ROUND((INDEX(Config!$D$15:$D$18,MATCH($S1075,Config!$B$15:$B$18,0))-INDEX(Config!$C$15:$C$18,MATCH($S1075,Config!$B$15:$B$18,0)))*1440,0)),""))</f>
        <v/>
      </c>
      <c r="V1075" s="5"/>
    </row>
    <row r="1076" spans="1:22" x14ac:dyDescent="0.25">
      <c r="A1076" s="11"/>
      <c r="B1076" s="5"/>
      <c r="C1076" s="6" t="str">
        <f>IFERROR(INDEX(Ejecutivos!$B$2:$B$100,MATCH(B1076,Ejecutivos!$A$2:$A$100,0)),"")</f>
        <v/>
      </c>
      <c r="D1076" s="12"/>
      <c r="E1076" s="12"/>
      <c r="F1076" s="12"/>
      <c r="G1076" s="12"/>
      <c r="H1076" s="5"/>
      <c r="I1076" s="5"/>
      <c r="J1076" s="5"/>
      <c r="K1076" s="5"/>
      <c r="L1076" s="18">
        <v>0</v>
      </c>
      <c r="M1076" t="str">
        <f t="shared" si="67"/>
        <v/>
      </c>
      <c r="N1076" t="str">
        <f>IF(OR($D1076="",$S1076=""),"",IFERROR(MAX(0,ROUND(($D1076-INDEX(Config!$C$15:$C$18,MATCH($S1076,Config!$B$15:$B$18,0)))*24*60,0)),""))</f>
        <v/>
      </c>
      <c r="O1076" t="str">
        <f t="shared" si="68"/>
        <v/>
      </c>
      <c r="P1076" t="str">
        <f t="shared" si="69"/>
        <v/>
      </c>
      <c r="Q1076" t="str">
        <f>IF(OR($P1076="",$S1076=""),"",IFERROR($P1076-INDEX(Config!$E$15:$E$18,MATCH($S1076,Config!$B$15:$B$18,0)),""))</f>
        <v/>
      </c>
      <c r="R1076" t="str">
        <f t="shared" si="70"/>
        <v/>
      </c>
      <c r="S1076" s="6" t="str">
        <f>IF(OR($A1076="",$C1076=""),"",IFERROR(INDEX(Turno!$C$3:$V$32,MATCH($C1076,Turno!$B$3:$B$32,0),MATCH(DAY($A1076),Turno!$C$1:$V$1,0)),""))</f>
        <v/>
      </c>
      <c r="T1076" t="str">
        <f>IF(OR($E1076="",$S1076=""),"",IFERROR(MAX(0,ROUND((INDEX(Config!$D$15:$D$18,MATCH($S1076,Config!$B$15:$B$18,0))-$E1076)*1440,0)),""))</f>
        <v/>
      </c>
      <c r="U1076" s="13" t="str">
        <f>IF(OR($N1076="",$T1076=""),"",IFERROR(MAX(0,1-($N1076+$T1076+MAX(0,N($Q1076)))/ROUND((INDEX(Config!$D$15:$D$18,MATCH($S1076,Config!$B$15:$B$18,0))-INDEX(Config!$C$15:$C$18,MATCH($S1076,Config!$B$15:$B$18,0)))*1440,0)),""))</f>
        <v/>
      </c>
      <c r="V1076" s="5"/>
    </row>
    <row r="1077" spans="1:22" x14ac:dyDescent="0.25">
      <c r="A1077" s="11"/>
      <c r="B1077" s="5"/>
      <c r="C1077" s="6" t="str">
        <f>IFERROR(INDEX(Ejecutivos!$B$2:$B$100,MATCH(B1077,Ejecutivos!$A$2:$A$100,0)),"")</f>
        <v/>
      </c>
      <c r="D1077" s="12"/>
      <c r="E1077" s="12"/>
      <c r="F1077" s="12"/>
      <c r="G1077" s="12"/>
      <c r="H1077" s="5"/>
      <c r="I1077" s="5"/>
      <c r="J1077" s="5"/>
      <c r="K1077" s="5"/>
      <c r="L1077" s="18">
        <v>0</v>
      </c>
      <c r="M1077" t="str">
        <f t="shared" ref="M1077:M1140" si="71">IF(OR(D1077="",E1077=""),"",ROUND(((E1077-D1077)*24)-((G1077-F1077)*24)-((H1077+I1077)/60),2))</f>
        <v/>
      </c>
      <c r="N1077" t="str">
        <f>IF(OR($D1077="",$S1077=""),"",IFERROR(MAX(0,ROUND(($D1077-INDEX(Config!$C$15:$C$18,MATCH($S1077,Config!$B$15:$B$18,0)))*24*60,0)),""))</f>
        <v/>
      </c>
      <c r="O1077" t="str">
        <f t="shared" ref="O1077:O1140" si="72">IF(OR(F1077="",G1077=""),"",ROUND((G1077-F1077)*24*60,0))</f>
        <v/>
      </c>
      <c r="P1077" t="str">
        <f t="shared" ref="P1077:P1140" si="73">IF(O1077="","",O1077+H1077+I1077)</f>
        <v/>
      </c>
      <c r="Q1077" t="str">
        <f>IF(OR($P1077="",$S1077=""),"",IFERROR($P1077-INDEX(Config!$E$15:$E$18,MATCH($S1077,Config!$B$15:$B$18,0)),""))</f>
        <v/>
      </c>
      <c r="R1077" t="str">
        <f t="shared" ref="R1077:R1140" si="74">IF($A1077="","",IF($D1077="","Ausente",IF($N1077="","",IF($N1077&gt;0,"Atrasado","Puntual"))))</f>
        <v/>
      </c>
      <c r="S1077" s="6" t="str">
        <f>IF(OR($A1077="",$C1077=""),"",IFERROR(INDEX(Turno!$C$3:$V$32,MATCH($C1077,Turno!$B$3:$B$32,0),MATCH(DAY($A1077),Turno!$C$1:$V$1,0)),""))</f>
        <v/>
      </c>
      <c r="T1077" t="str">
        <f>IF(OR($E1077="",$S1077=""),"",IFERROR(MAX(0,ROUND((INDEX(Config!$D$15:$D$18,MATCH($S1077,Config!$B$15:$B$18,0))-$E1077)*1440,0)),""))</f>
        <v/>
      </c>
      <c r="U1077" s="13" t="str">
        <f>IF(OR($N1077="",$T1077=""),"",IFERROR(MAX(0,1-($N1077+$T1077+MAX(0,N($Q1077)))/ROUND((INDEX(Config!$D$15:$D$18,MATCH($S1077,Config!$B$15:$B$18,0))-INDEX(Config!$C$15:$C$18,MATCH($S1077,Config!$B$15:$B$18,0)))*1440,0)),""))</f>
        <v/>
      </c>
      <c r="V1077" s="5"/>
    </row>
    <row r="1078" spans="1:22" x14ac:dyDescent="0.25">
      <c r="A1078" s="11"/>
      <c r="B1078" s="5"/>
      <c r="C1078" s="6" t="str">
        <f>IFERROR(INDEX(Ejecutivos!$B$2:$B$100,MATCH(B1078,Ejecutivos!$A$2:$A$100,0)),"")</f>
        <v/>
      </c>
      <c r="D1078" s="12"/>
      <c r="E1078" s="12"/>
      <c r="F1078" s="12"/>
      <c r="G1078" s="12"/>
      <c r="H1078" s="5"/>
      <c r="I1078" s="5"/>
      <c r="J1078" s="5"/>
      <c r="K1078" s="5"/>
      <c r="L1078" s="18">
        <v>0</v>
      </c>
      <c r="M1078" t="str">
        <f t="shared" si="71"/>
        <v/>
      </c>
      <c r="N1078" t="str">
        <f>IF(OR($D1078="",$S1078=""),"",IFERROR(MAX(0,ROUND(($D1078-INDEX(Config!$C$15:$C$18,MATCH($S1078,Config!$B$15:$B$18,0)))*24*60,0)),""))</f>
        <v/>
      </c>
      <c r="O1078" t="str">
        <f t="shared" si="72"/>
        <v/>
      </c>
      <c r="P1078" t="str">
        <f t="shared" si="73"/>
        <v/>
      </c>
      <c r="Q1078" t="str">
        <f>IF(OR($P1078="",$S1078=""),"",IFERROR($P1078-INDEX(Config!$E$15:$E$18,MATCH($S1078,Config!$B$15:$B$18,0)),""))</f>
        <v/>
      </c>
      <c r="R1078" t="str">
        <f t="shared" si="74"/>
        <v/>
      </c>
      <c r="S1078" s="6" t="str">
        <f>IF(OR($A1078="",$C1078=""),"",IFERROR(INDEX(Turno!$C$3:$V$32,MATCH($C1078,Turno!$B$3:$B$32,0),MATCH(DAY($A1078),Turno!$C$1:$V$1,0)),""))</f>
        <v/>
      </c>
      <c r="T1078" t="str">
        <f>IF(OR($E1078="",$S1078=""),"",IFERROR(MAX(0,ROUND((INDEX(Config!$D$15:$D$18,MATCH($S1078,Config!$B$15:$B$18,0))-$E1078)*1440,0)),""))</f>
        <v/>
      </c>
      <c r="U1078" s="13" t="str">
        <f>IF(OR($N1078="",$T1078=""),"",IFERROR(MAX(0,1-($N1078+$T1078+MAX(0,N($Q1078)))/ROUND((INDEX(Config!$D$15:$D$18,MATCH($S1078,Config!$B$15:$B$18,0))-INDEX(Config!$C$15:$C$18,MATCH($S1078,Config!$B$15:$B$18,0)))*1440,0)),""))</f>
        <v/>
      </c>
      <c r="V1078" s="5"/>
    </row>
    <row r="1079" spans="1:22" x14ac:dyDescent="0.25">
      <c r="A1079" s="11"/>
      <c r="B1079" s="5"/>
      <c r="C1079" s="6" t="str">
        <f>IFERROR(INDEX(Ejecutivos!$B$2:$B$100,MATCH(B1079,Ejecutivos!$A$2:$A$100,0)),"")</f>
        <v/>
      </c>
      <c r="D1079" s="12"/>
      <c r="E1079" s="12"/>
      <c r="F1079" s="12"/>
      <c r="G1079" s="12"/>
      <c r="H1079" s="5"/>
      <c r="I1079" s="5"/>
      <c r="J1079" s="5"/>
      <c r="K1079" s="5"/>
      <c r="L1079" s="18">
        <v>0</v>
      </c>
      <c r="M1079" t="str">
        <f t="shared" si="71"/>
        <v/>
      </c>
      <c r="N1079" t="str">
        <f>IF(OR($D1079="",$S1079=""),"",IFERROR(MAX(0,ROUND(($D1079-INDEX(Config!$C$15:$C$18,MATCH($S1079,Config!$B$15:$B$18,0)))*24*60,0)),""))</f>
        <v/>
      </c>
      <c r="O1079" t="str">
        <f t="shared" si="72"/>
        <v/>
      </c>
      <c r="P1079" t="str">
        <f t="shared" si="73"/>
        <v/>
      </c>
      <c r="Q1079" t="str">
        <f>IF(OR($P1079="",$S1079=""),"",IFERROR($P1079-INDEX(Config!$E$15:$E$18,MATCH($S1079,Config!$B$15:$B$18,0)),""))</f>
        <v/>
      </c>
      <c r="R1079" t="str">
        <f t="shared" si="74"/>
        <v/>
      </c>
      <c r="S1079" s="6" t="str">
        <f>IF(OR($A1079="",$C1079=""),"",IFERROR(INDEX(Turno!$C$3:$V$32,MATCH($C1079,Turno!$B$3:$B$32,0),MATCH(DAY($A1079),Turno!$C$1:$V$1,0)),""))</f>
        <v/>
      </c>
      <c r="T1079" t="str">
        <f>IF(OR($E1079="",$S1079=""),"",IFERROR(MAX(0,ROUND((INDEX(Config!$D$15:$D$18,MATCH($S1079,Config!$B$15:$B$18,0))-$E1079)*1440,0)),""))</f>
        <v/>
      </c>
      <c r="U1079" s="13" t="str">
        <f>IF(OR($N1079="",$T1079=""),"",IFERROR(MAX(0,1-($N1079+$T1079+MAX(0,N($Q1079)))/ROUND((INDEX(Config!$D$15:$D$18,MATCH($S1079,Config!$B$15:$B$18,0))-INDEX(Config!$C$15:$C$18,MATCH($S1079,Config!$B$15:$B$18,0)))*1440,0)),""))</f>
        <v/>
      </c>
      <c r="V1079" s="5"/>
    </row>
    <row r="1080" spans="1:22" x14ac:dyDescent="0.25">
      <c r="A1080" s="11"/>
      <c r="B1080" s="5"/>
      <c r="C1080" s="6" t="str">
        <f>IFERROR(INDEX(Ejecutivos!$B$2:$B$100,MATCH(B1080,Ejecutivos!$A$2:$A$100,0)),"")</f>
        <v/>
      </c>
      <c r="D1080" s="12"/>
      <c r="E1080" s="12"/>
      <c r="F1080" s="12"/>
      <c r="G1080" s="12"/>
      <c r="H1080" s="5"/>
      <c r="I1080" s="5"/>
      <c r="J1080" s="5"/>
      <c r="K1080" s="5"/>
      <c r="L1080" s="18">
        <v>0</v>
      </c>
      <c r="M1080" t="str">
        <f t="shared" si="71"/>
        <v/>
      </c>
      <c r="N1080" t="str">
        <f>IF(OR($D1080="",$S1080=""),"",IFERROR(MAX(0,ROUND(($D1080-INDEX(Config!$C$15:$C$18,MATCH($S1080,Config!$B$15:$B$18,0)))*24*60,0)),""))</f>
        <v/>
      </c>
      <c r="O1080" t="str">
        <f t="shared" si="72"/>
        <v/>
      </c>
      <c r="P1080" t="str">
        <f t="shared" si="73"/>
        <v/>
      </c>
      <c r="Q1080" t="str">
        <f>IF(OR($P1080="",$S1080=""),"",IFERROR($P1080-INDEX(Config!$E$15:$E$18,MATCH($S1080,Config!$B$15:$B$18,0)),""))</f>
        <v/>
      </c>
      <c r="R1080" t="str">
        <f t="shared" si="74"/>
        <v/>
      </c>
      <c r="S1080" s="6" t="str">
        <f>IF(OR($A1080="",$C1080=""),"",IFERROR(INDEX(Turno!$C$3:$V$32,MATCH($C1080,Turno!$B$3:$B$32,0),MATCH(DAY($A1080),Turno!$C$1:$V$1,0)),""))</f>
        <v/>
      </c>
      <c r="T1080" t="str">
        <f>IF(OR($E1080="",$S1080=""),"",IFERROR(MAX(0,ROUND((INDEX(Config!$D$15:$D$18,MATCH($S1080,Config!$B$15:$B$18,0))-$E1080)*1440,0)),""))</f>
        <v/>
      </c>
      <c r="U1080" s="13" t="str">
        <f>IF(OR($N1080="",$T1080=""),"",IFERROR(MAX(0,1-($N1080+$T1080+MAX(0,N($Q1080)))/ROUND((INDEX(Config!$D$15:$D$18,MATCH($S1080,Config!$B$15:$B$18,0))-INDEX(Config!$C$15:$C$18,MATCH($S1080,Config!$B$15:$B$18,0)))*1440,0)),""))</f>
        <v/>
      </c>
      <c r="V1080" s="5"/>
    </row>
    <row r="1081" spans="1:22" x14ac:dyDescent="0.25">
      <c r="A1081" s="11"/>
      <c r="B1081" s="5"/>
      <c r="C1081" s="6" t="str">
        <f>IFERROR(INDEX(Ejecutivos!$B$2:$B$100,MATCH(B1081,Ejecutivos!$A$2:$A$100,0)),"")</f>
        <v/>
      </c>
      <c r="D1081" s="12"/>
      <c r="E1081" s="12"/>
      <c r="F1081" s="12"/>
      <c r="G1081" s="12"/>
      <c r="H1081" s="5"/>
      <c r="I1081" s="5"/>
      <c r="J1081" s="5"/>
      <c r="K1081" s="5"/>
      <c r="L1081" s="18">
        <v>0</v>
      </c>
      <c r="M1081" t="str">
        <f t="shared" si="71"/>
        <v/>
      </c>
      <c r="N1081" t="str">
        <f>IF(OR($D1081="",$S1081=""),"",IFERROR(MAX(0,ROUND(($D1081-INDEX(Config!$C$15:$C$18,MATCH($S1081,Config!$B$15:$B$18,0)))*24*60,0)),""))</f>
        <v/>
      </c>
      <c r="O1081" t="str">
        <f t="shared" si="72"/>
        <v/>
      </c>
      <c r="P1081" t="str">
        <f t="shared" si="73"/>
        <v/>
      </c>
      <c r="Q1081" t="str">
        <f>IF(OR($P1081="",$S1081=""),"",IFERROR($P1081-INDEX(Config!$E$15:$E$18,MATCH($S1081,Config!$B$15:$B$18,0)),""))</f>
        <v/>
      </c>
      <c r="R1081" t="str">
        <f t="shared" si="74"/>
        <v/>
      </c>
      <c r="S1081" s="6" t="str">
        <f>IF(OR($A1081="",$C1081=""),"",IFERROR(INDEX(Turno!$C$3:$V$32,MATCH($C1081,Turno!$B$3:$B$32,0),MATCH(DAY($A1081),Turno!$C$1:$V$1,0)),""))</f>
        <v/>
      </c>
      <c r="T1081" t="str">
        <f>IF(OR($E1081="",$S1081=""),"",IFERROR(MAX(0,ROUND((INDEX(Config!$D$15:$D$18,MATCH($S1081,Config!$B$15:$B$18,0))-$E1081)*1440,0)),""))</f>
        <v/>
      </c>
      <c r="U1081" s="13" t="str">
        <f>IF(OR($N1081="",$T1081=""),"",IFERROR(MAX(0,1-($N1081+$T1081+MAX(0,N($Q1081)))/ROUND((INDEX(Config!$D$15:$D$18,MATCH($S1081,Config!$B$15:$B$18,0))-INDEX(Config!$C$15:$C$18,MATCH($S1081,Config!$B$15:$B$18,0)))*1440,0)),""))</f>
        <v/>
      </c>
      <c r="V1081" s="5"/>
    </row>
    <row r="1082" spans="1:22" x14ac:dyDescent="0.25">
      <c r="A1082" s="11"/>
      <c r="B1082" s="5"/>
      <c r="C1082" s="6" t="str">
        <f>IFERROR(INDEX(Ejecutivos!$B$2:$B$100,MATCH(B1082,Ejecutivos!$A$2:$A$100,0)),"")</f>
        <v/>
      </c>
      <c r="D1082" s="12"/>
      <c r="E1082" s="12"/>
      <c r="F1082" s="12"/>
      <c r="G1082" s="12"/>
      <c r="H1082" s="5"/>
      <c r="I1082" s="5"/>
      <c r="J1082" s="5"/>
      <c r="K1082" s="5"/>
      <c r="L1082" s="18">
        <v>0</v>
      </c>
      <c r="M1082" t="str">
        <f t="shared" si="71"/>
        <v/>
      </c>
      <c r="N1082" t="str">
        <f>IF(OR($D1082="",$S1082=""),"",IFERROR(MAX(0,ROUND(($D1082-INDEX(Config!$C$15:$C$18,MATCH($S1082,Config!$B$15:$B$18,0)))*24*60,0)),""))</f>
        <v/>
      </c>
      <c r="O1082" t="str">
        <f t="shared" si="72"/>
        <v/>
      </c>
      <c r="P1082" t="str">
        <f t="shared" si="73"/>
        <v/>
      </c>
      <c r="Q1082" t="str">
        <f>IF(OR($P1082="",$S1082=""),"",IFERROR($P1082-INDEX(Config!$E$15:$E$18,MATCH($S1082,Config!$B$15:$B$18,0)),""))</f>
        <v/>
      </c>
      <c r="R1082" t="str">
        <f t="shared" si="74"/>
        <v/>
      </c>
      <c r="S1082" s="6" t="str">
        <f>IF(OR($A1082="",$C1082=""),"",IFERROR(INDEX(Turno!$C$3:$V$32,MATCH($C1082,Turno!$B$3:$B$32,0),MATCH(DAY($A1082),Turno!$C$1:$V$1,0)),""))</f>
        <v/>
      </c>
      <c r="T1082" t="str">
        <f>IF(OR($E1082="",$S1082=""),"",IFERROR(MAX(0,ROUND((INDEX(Config!$D$15:$D$18,MATCH($S1082,Config!$B$15:$B$18,0))-$E1082)*1440,0)),""))</f>
        <v/>
      </c>
      <c r="U1082" s="13" t="str">
        <f>IF(OR($N1082="",$T1082=""),"",IFERROR(MAX(0,1-($N1082+$T1082+MAX(0,N($Q1082)))/ROUND((INDEX(Config!$D$15:$D$18,MATCH($S1082,Config!$B$15:$B$18,0))-INDEX(Config!$C$15:$C$18,MATCH($S1082,Config!$B$15:$B$18,0)))*1440,0)),""))</f>
        <v/>
      </c>
      <c r="V1082" s="5"/>
    </row>
    <row r="1083" spans="1:22" x14ac:dyDescent="0.25">
      <c r="A1083" s="11"/>
      <c r="B1083" s="5"/>
      <c r="C1083" s="6" t="str">
        <f>IFERROR(INDEX(Ejecutivos!$B$2:$B$100,MATCH(B1083,Ejecutivos!$A$2:$A$100,0)),"")</f>
        <v/>
      </c>
      <c r="D1083" s="12"/>
      <c r="E1083" s="12"/>
      <c r="F1083" s="12"/>
      <c r="G1083" s="12"/>
      <c r="H1083" s="5"/>
      <c r="I1083" s="5"/>
      <c r="J1083" s="5"/>
      <c r="K1083" s="5"/>
      <c r="L1083" s="18">
        <v>0</v>
      </c>
      <c r="M1083" t="str">
        <f t="shared" si="71"/>
        <v/>
      </c>
      <c r="N1083" t="str">
        <f>IF(OR($D1083="",$S1083=""),"",IFERROR(MAX(0,ROUND(($D1083-INDEX(Config!$C$15:$C$18,MATCH($S1083,Config!$B$15:$B$18,0)))*24*60,0)),""))</f>
        <v/>
      </c>
      <c r="O1083" t="str">
        <f t="shared" si="72"/>
        <v/>
      </c>
      <c r="P1083" t="str">
        <f t="shared" si="73"/>
        <v/>
      </c>
      <c r="Q1083" t="str">
        <f>IF(OR($P1083="",$S1083=""),"",IFERROR($P1083-INDEX(Config!$E$15:$E$18,MATCH($S1083,Config!$B$15:$B$18,0)),""))</f>
        <v/>
      </c>
      <c r="R1083" t="str">
        <f t="shared" si="74"/>
        <v/>
      </c>
      <c r="S1083" s="6" t="str">
        <f>IF(OR($A1083="",$C1083=""),"",IFERROR(INDEX(Turno!$C$3:$V$32,MATCH($C1083,Turno!$B$3:$B$32,0),MATCH(DAY($A1083),Turno!$C$1:$V$1,0)),""))</f>
        <v/>
      </c>
      <c r="T1083" t="str">
        <f>IF(OR($E1083="",$S1083=""),"",IFERROR(MAX(0,ROUND((INDEX(Config!$D$15:$D$18,MATCH($S1083,Config!$B$15:$B$18,0))-$E1083)*1440,0)),""))</f>
        <v/>
      </c>
      <c r="U1083" s="13" t="str">
        <f>IF(OR($N1083="",$T1083=""),"",IFERROR(MAX(0,1-($N1083+$T1083+MAX(0,N($Q1083)))/ROUND((INDEX(Config!$D$15:$D$18,MATCH($S1083,Config!$B$15:$B$18,0))-INDEX(Config!$C$15:$C$18,MATCH($S1083,Config!$B$15:$B$18,0)))*1440,0)),""))</f>
        <v/>
      </c>
      <c r="V1083" s="5"/>
    </row>
    <row r="1084" spans="1:22" x14ac:dyDescent="0.25">
      <c r="A1084" s="11"/>
      <c r="B1084" s="5"/>
      <c r="C1084" s="6" t="str">
        <f>IFERROR(INDEX(Ejecutivos!$B$2:$B$100,MATCH(B1084,Ejecutivos!$A$2:$A$100,0)),"")</f>
        <v/>
      </c>
      <c r="D1084" s="12"/>
      <c r="E1084" s="12"/>
      <c r="F1084" s="12"/>
      <c r="G1084" s="12"/>
      <c r="H1084" s="5"/>
      <c r="I1084" s="5"/>
      <c r="J1084" s="5"/>
      <c r="K1084" s="5"/>
      <c r="L1084" s="18">
        <v>0</v>
      </c>
      <c r="M1084" t="str">
        <f t="shared" si="71"/>
        <v/>
      </c>
      <c r="N1084" t="str">
        <f>IF(OR($D1084="",$S1084=""),"",IFERROR(MAX(0,ROUND(($D1084-INDEX(Config!$C$15:$C$18,MATCH($S1084,Config!$B$15:$B$18,0)))*24*60,0)),""))</f>
        <v/>
      </c>
      <c r="O1084" t="str">
        <f t="shared" si="72"/>
        <v/>
      </c>
      <c r="P1084" t="str">
        <f t="shared" si="73"/>
        <v/>
      </c>
      <c r="Q1084" t="str">
        <f>IF(OR($P1084="",$S1084=""),"",IFERROR($P1084-INDEX(Config!$E$15:$E$18,MATCH($S1084,Config!$B$15:$B$18,0)),""))</f>
        <v/>
      </c>
      <c r="R1084" t="str">
        <f t="shared" si="74"/>
        <v/>
      </c>
      <c r="S1084" s="6" t="str">
        <f>IF(OR($A1084="",$C1084=""),"",IFERROR(INDEX(Turno!$C$3:$V$32,MATCH($C1084,Turno!$B$3:$B$32,0),MATCH(DAY($A1084),Turno!$C$1:$V$1,0)),""))</f>
        <v/>
      </c>
      <c r="T1084" t="str">
        <f>IF(OR($E1084="",$S1084=""),"",IFERROR(MAX(0,ROUND((INDEX(Config!$D$15:$D$18,MATCH($S1084,Config!$B$15:$B$18,0))-$E1084)*1440,0)),""))</f>
        <v/>
      </c>
      <c r="U1084" s="13" t="str">
        <f>IF(OR($N1084="",$T1084=""),"",IFERROR(MAX(0,1-($N1084+$T1084+MAX(0,N($Q1084)))/ROUND((INDEX(Config!$D$15:$D$18,MATCH($S1084,Config!$B$15:$B$18,0))-INDEX(Config!$C$15:$C$18,MATCH($S1084,Config!$B$15:$B$18,0)))*1440,0)),""))</f>
        <v/>
      </c>
      <c r="V1084" s="5"/>
    </row>
    <row r="1085" spans="1:22" x14ac:dyDescent="0.25">
      <c r="A1085" s="11"/>
      <c r="B1085" s="5"/>
      <c r="C1085" s="6" t="str">
        <f>IFERROR(INDEX(Ejecutivos!$B$2:$B$100,MATCH(B1085,Ejecutivos!$A$2:$A$100,0)),"")</f>
        <v/>
      </c>
      <c r="D1085" s="12"/>
      <c r="E1085" s="12"/>
      <c r="F1085" s="12"/>
      <c r="G1085" s="12"/>
      <c r="H1085" s="5"/>
      <c r="I1085" s="5"/>
      <c r="J1085" s="5"/>
      <c r="K1085" s="5"/>
      <c r="L1085" s="18">
        <v>0</v>
      </c>
      <c r="M1085" t="str">
        <f t="shared" si="71"/>
        <v/>
      </c>
      <c r="N1085" t="str">
        <f>IF(OR($D1085="",$S1085=""),"",IFERROR(MAX(0,ROUND(($D1085-INDEX(Config!$C$15:$C$18,MATCH($S1085,Config!$B$15:$B$18,0)))*24*60,0)),""))</f>
        <v/>
      </c>
      <c r="O1085" t="str">
        <f t="shared" si="72"/>
        <v/>
      </c>
      <c r="P1085" t="str">
        <f t="shared" si="73"/>
        <v/>
      </c>
      <c r="Q1085" t="str">
        <f>IF(OR($P1085="",$S1085=""),"",IFERROR($P1085-INDEX(Config!$E$15:$E$18,MATCH($S1085,Config!$B$15:$B$18,0)),""))</f>
        <v/>
      </c>
      <c r="R1085" t="str">
        <f t="shared" si="74"/>
        <v/>
      </c>
      <c r="S1085" s="6" t="str">
        <f>IF(OR($A1085="",$C1085=""),"",IFERROR(INDEX(Turno!$C$3:$V$32,MATCH($C1085,Turno!$B$3:$B$32,0),MATCH(DAY($A1085),Turno!$C$1:$V$1,0)),""))</f>
        <v/>
      </c>
      <c r="T1085" t="str">
        <f>IF(OR($E1085="",$S1085=""),"",IFERROR(MAX(0,ROUND((INDEX(Config!$D$15:$D$18,MATCH($S1085,Config!$B$15:$B$18,0))-$E1085)*1440,0)),""))</f>
        <v/>
      </c>
      <c r="U1085" s="13" t="str">
        <f>IF(OR($N1085="",$T1085=""),"",IFERROR(MAX(0,1-($N1085+$T1085+MAX(0,N($Q1085)))/ROUND((INDEX(Config!$D$15:$D$18,MATCH($S1085,Config!$B$15:$B$18,0))-INDEX(Config!$C$15:$C$18,MATCH($S1085,Config!$B$15:$B$18,0)))*1440,0)),""))</f>
        <v/>
      </c>
      <c r="V1085" s="5"/>
    </row>
    <row r="1086" spans="1:22" x14ac:dyDescent="0.25">
      <c r="A1086" s="11"/>
      <c r="B1086" s="5"/>
      <c r="C1086" s="6" t="str">
        <f>IFERROR(INDEX(Ejecutivos!$B$2:$B$100,MATCH(B1086,Ejecutivos!$A$2:$A$100,0)),"")</f>
        <v/>
      </c>
      <c r="D1086" s="12"/>
      <c r="E1086" s="12"/>
      <c r="F1086" s="12"/>
      <c r="G1086" s="12"/>
      <c r="H1086" s="5"/>
      <c r="I1086" s="5"/>
      <c r="J1086" s="5"/>
      <c r="K1086" s="5"/>
      <c r="L1086" s="18">
        <v>0</v>
      </c>
      <c r="M1086" t="str">
        <f t="shared" si="71"/>
        <v/>
      </c>
      <c r="N1086" t="str">
        <f>IF(OR($D1086="",$S1086=""),"",IFERROR(MAX(0,ROUND(($D1086-INDEX(Config!$C$15:$C$18,MATCH($S1086,Config!$B$15:$B$18,0)))*24*60,0)),""))</f>
        <v/>
      </c>
      <c r="O1086" t="str">
        <f t="shared" si="72"/>
        <v/>
      </c>
      <c r="P1086" t="str">
        <f t="shared" si="73"/>
        <v/>
      </c>
      <c r="Q1086" t="str">
        <f>IF(OR($P1086="",$S1086=""),"",IFERROR($P1086-INDEX(Config!$E$15:$E$18,MATCH($S1086,Config!$B$15:$B$18,0)),""))</f>
        <v/>
      </c>
      <c r="R1086" t="str">
        <f t="shared" si="74"/>
        <v/>
      </c>
      <c r="S1086" s="6" t="str">
        <f>IF(OR($A1086="",$C1086=""),"",IFERROR(INDEX(Turno!$C$3:$V$32,MATCH($C1086,Turno!$B$3:$B$32,0),MATCH(DAY($A1086),Turno!$C$1:$V$1,0)),""))</f>
        <v/>
      </c>
      <c r="T1086" t="str">
        <f>IF(OR($E1086="",$S1086=""),"",IFERROR(MAX(0,ROUND((INDEX(Config!$D$15:$D$18,MATCH($S1086,Config!$B$15:$B$18,0))-$E1086)*1440,0)),""))</f>
        <v/>
      </c>
      <c r="U1086" s="13" t="str">
        <f>IF(OR($N1086="",$T1086=""),"",IFERROR(MAX(0,1-($N1086+$T1086+MAX(0,N($Q1086)))/ROUND((INDEX(Config!$D$15:$D$18,MATCH($S1086,Config!$B$15:$B$18,0))-INDEX(Config!$C$15:$C$18,MATCH($S1086,Config!$B$15:$B$18,0)))*1440,0)),""))</f>
        <v/>
      </c>
      <c r="V1086" s="5"/>
    </row>
    <row r="1087" spans="1:22" x14ac:dyDescent="0.25">
      <c r="A1087" s="11"/>
      <c r="B1087" s="5"/>
      <c r="C1087" s="6" t="str">
        <f>IFERROR(INDEX(Ejecutivos!$B$2:$B$100,MATCH(B1087,Ejecutivos!$A$2:$A$100,0)),"")</f>
        <v/>
      </c>
      <c r="D1087" s="12"/>
      <c r="E1087" s="12"/>
      <c r="F1087" s="12"/>
      <c r="G1087" s="12"/>
      <c r="H1087" s="5"/>
      <c r="I1087" s="5"/>
      <c r="J1087" s="5"/>
      <c r="K1087" s="5"/>
      <c r="L1087" s="18">
        <v>0</v>
      </c>
      <c r="M1087" t="str">
        <f t="shared" si="71"/>
        <v/>
      </c>
      <c r="N1087" t="str">
        <f>IF(OR($D1087="",$S1087=""),"",IFERROR(MAX(0,ROUND(($D1087-INDEX(Config!$C$15:$C$18,MATCH($S1087,Config!$B$15:$B$18,0)))*24*60,0)),""))</f>
        <v/>
      </c>
      <c r="O1087" t="str">
        <f t="shared" si="72"/>
        <v/>
      </c>
      <c r="P1087" t="str">
        <f t="shared" si="73"/>
        <v/>
      </c>
      <c r="Q1087" t="str">
        <f>IF(OR($P1087="",$S1087=""),"",IFERROR($P1087-INDEX(Config!$E$15:$E$18,MATCH($S1087,Config!$B$15:$B$18,0)),""))</f>
        <v/>
      </c>
      <c r="R1087" t="str">
        <f t="shared" si="74"/>
        <v/>
      </c>
      <c r="S1087" s="6" t="str">
        <f>IF(OR($A1087="",$C1087=""),"",IFERROR(INDEX(Turno!$C$3:$V$32,MATCH($C1087,Turno!$B$3:$B$32,0),MATCH(DAY($A1087),Turno!$C$1:$V$1,0)),""))</f>
        <v/>
      </c>
      <c r="T1087" t="str">
        <f>IF(OR($E1087="",$S1087=""),"",IFERROR(MAX(0,ROUND((INDEX(Config!$D$15:$D$18,MATCH($S1087,Config!$B$15:$B$18,0))-$E1087)*1440,0)),""))</f>
        <v/>
      </c>
      <c r="U1087" s="13" t="str">
        <f>IF(OR($N1087="",$T1087=""),"",IFERROR(MAX(0,1-($N1087+$T1087+MAX(0,N($Q1087)))/ROUND((INDEX(Config!$D$15:$D$18,MATCH($S1087,Config!$B$15:$B$18,0))-INDEX(Config!$C$15:$C$18,MATCH($S1087,Config!$B$15:$B$18,0)))*1440,0)),""))</f>
        <v/>
      </c>
      <c r="V1087" s="5"/>
    </row>
    <row r="1088" spans="1:22" x14ac:dyDescent="0.25">
      <c r="A1088" s="11"/>
      <c r="B1088" s="5"/>
      <c r="C1088" s="6" t="str">
        <f>IFERROR(INDEX(Ejecutivos!$B$2:$B$100,MATCH(B1088,Ejecutivos!$A$2:$A$100,0)),"")</f>
        <v/>
      </c>
      <c r="D1088" s="12"/>
      <c r="E1088" s="12"/>
      <c r="F1088" s="12"/>
      <c r="G1088" s="12"/>
      <c r="H1088" s="5"/>
      <c r="I1088" s="5"/>
      <c r="J1088" s="5"/>
      <c r="K1088" s="5"/>
      <c r="L1088" s="18">
        <v>0</v>
      </c>
      <c r="M1088" t="str">
        <f t="shared" si="71"/>
        <v/>
      </c>
      <c r="N1088" t="str">
        <f>IF(OR($D1088="",$S1088=""),"",IFERROR(MAX(0,ROUND(($D1088-INDEX(Config!$C$15:$C$18,MATCH($S1088,Config!$B$15:$B$18,0)))*24*60,0)),""))</f>
        <v/>
      </c>
      <c r="O1088" t="str">
        <f t="shared" si="72"/>
        <v/>
      </c>
      <c r="P1088" t="str">
        <f t="shared" si="73"/>
        <v/>
      </c>
      <c r="Q1088" t="str">
        <f>IF(OR($P1088="",$S1088=""),"",IFERROR($P1088-INDEX(Config!$E$15:$E$18,MATCH($S1088,Config!$B$15:$B$18,0)),""))</f>
        <v/>
      </c>
      <c r="R1088" t="str">
        <f t="shared" si="74"/>
        <v/>
      </c>
      <c r="S1088" s="6" t="str">
        <f>IF(OR($A1088="",$C1088=""),"",IFERROR(INDEX(Turno!$C$3:$V$32,MATCH($C1088,Turno!$B$3:$B$32,0),MATCH(DAY($A1088),Turno!$C$1:$V$1,0)),""))</f>
        <v/>
      </c>
      <c r="T1088" t="str">
        <f>IF(OR($E1088="",$S1088=""),"",IFERROR(MAX(0,ROUND((INDEX(Config!$D$15:$D$18,MATCH($S1088,Config!$B$15:$B$18,0))-$E1088)*1440,0)),""))</f>
        <v/>
      </c>
      <c r="U1088" s="13" t="str">
        <f>IF(OR($N1088="",$T1088=""),"",IFERROR(MAX(0,1-($N1088+$T1088+MAX(0,N($Q1088)))/ROUND((INDEX(Config!$D$15:$D$18,MATCH($S1088,Config!$B$15:$B$18,0))-INDEX(Config!$C$15:$C$18,MATCH($S1088,Config!$B$15:$B$18,0)))*1440,0)),""))</f>
        <v/>
      </c>
      <c r="V1088" s="5"/>
    </row>
    <row r="1089" spans="1:22" x14ac:dyDescent="0.25">
      <c r="A1089" s="11"/>
      <c r="B1089" s="5"/>
      <c r="C1089" s="6" t="str">
        <f>IFERROR(INDEX(Ejecutivos!$B$2:$B$100,MATCH(B1089,Ejecutivos!$A$2:$A$100,0)),"")</f>
        <v/>
      </c>
      <c r="D1089" s="12"/>
      <c r="E1089" s="12"/>
      <c r="F1089" s="12"/>
      <c r="G1089" s="12"/>
      <c r="H1089" s="5"/>
      <c r="I1089" s="5"/>
      <c r="J1089" s="5"/>
      <c r="K1089" s="5"/>
      <c r="L1089" s="18">
        <v>0</v>
      </c>
      <c r="M1089" t="str">
        <f t="shared" si="71"/>
        <v/>
      </c>
      <c r="N1089" t="str">
        <f>IF(OR($D1089="",$S1089=""),"",IFERROR(MAX(0,ROUND(($D1089-INDEX(Config!$C$15:$C$18,MATCH($S1089,Config!$B$15:$B$18,0)))*24*60,0)),""))</f>
        <v/>
      </c>
      <c r="O1089" t="str">
        <f t="shared" si="72"/>
        <v/>
      </c>
      <c r="P1089" t="str">
        <f t="shared" si="73"/>
        <v/>
      </c>
      <c r="Q1089" t="str">
        <f>IF(OR($P1089="",$S1089=""),"",IFERROR($P1089-INDEX(Config!$E$15:$E$18,MATCH($S1089,Config!$B$15:$B$18,0)),""))</f>
        <v/>
      </c>
      <c r="R1089" t="str">
        <f t="shared" si="74"/>
        <v/>
      </c>
      <c r="S1089" s="6" t="str">
        <f>IF(OR($A1089="",$C1089=""),"",IFERROR(INDEX(Turno!$C$3:$V$32,MATCH($C1089,Turno!$B$3:$B$32,0),MATCH(DAY($A1089),Turno!$C$1:$V$1,0)),""))</f>
        <v/>
      </c>
      <c r="T1089" t="str">
        <f>IF(OR($E1089="",$S1089=""),"",IFERROR(MAX(0,ROUND((INDEX(Config!$D$15:$D$18,MATCH($S1089,Config!$B$15:$B$18,0))-$E1089)*1440,0)),""))</f>
        <v/>
      </c>
      <c r="U1089" s="13" t="str">
        <f>IF(OR($N1089="",$T1089=""),"",IFERROR(MAX(0,1-($N1089+$T1089+MAX(0,N($Q1089)))/ROUND((INDEX(Config!$D$15:$D$18,MATCH($S1089,Config!$B$15:$B$18,0))-INDEX(Config!$C$15:$C$18,MATCH($S1089,Config!$B$15:$B$18,0)))*1440,0)),""))</f>
        <v/>
      </c>
      <c r="V1089" s="5"/>
    </row>
    <row r="1090" spans="1:22" x14ac:dyDescent="0.25">
      <c r="A1090" s="11"/>
      <c r="B1090" s="5"/>
      <c r="C1090" s="6" t="str">
        <f>IFERROR(INDEX(Ejecutivos!$B$2:$B$100,MATCH(B1090,Ejecutivos!$A$2:$A$100,0)),"")</f>
        <v/>
      </c>
      <c r="D1090" s="12"/>
      <c r="E1090" s="12"/>
      <c r="F1090" s="12"/>
      <c r="G1090" s="12"/>
      <c r="H1090" s="5"/>
      <c r="I1090" s="5"/>
      <c r="J1090" s="5"/>
      <c r="K1090" s="5"/>
      <c r="L1090" s="18">
        <v>0</v>
      </c>
      <c r="M1090" t="str">
        <f t="shared" si="71"/>
        <v/>
      </c>
      <c r="N1090" t="str">
        <f>IF(OR($D1090="",$S1090=""),"",IFERROR(MAX(0,ROUND(($D1090-INDEX(Config!$C$15:$C$18,MATCH($S1090,Config!$B$15:$B$18,0)))*24*60,0)),""))</f>
        <v/>
      </c>
      <c r="O1090" t="str">
        <f t="shared" si="72"/>
        <v/>
      </c>
      <c r="P1090" t="str">
        <f t="shared" si="73"/>
        <v/>
      </c>
      <c r="Q1090" t="str">
        <f>IF(OR($P1090="",$S1090=""),"",IFERROR($P1090-INDEX(Config!$E$15:$E$18,MATCH($S1090,Config!$B$15:$B$18,0)),""))</f>
        <v/>
      </c>
      <c r="R1090" t="str">
        <f t="shared" si="74"/>
        <v/>
      </c>
      <c r="S1090" s="6" t="str">
        <f>IF(OR($A1090="",$C1090=""),"",IFERROR(INDEX(Turno!$C$3:$V$32,MATCH($C1090,Turno!$B$3:$B$32,0),MATCH(DAY($A1090),Turno!$C$1:$V$1,0)),""))</f>
        <v/>
      </c>
      <c r="T1090" t="str">
        <f>IF(OR($E1090="",$S1090=""),"",IFERROR(MAX(0,ROUND((INDEX(Config!$D$15:$D$18,MATCH($S1090,Config!$B$15:$B$18,0))-$E1090)*1440,0)),""))</f>
        <v/>
      </c>
      <c r="U1090" s="13" t="str">
        <f>IF(OR($N1090="",$T1090=""),"",IFERROR(MAX(0,1-($N1090+$T1090+MAX(0,N($Q1090)))/ROUND((INDEX(Config!$D$15:$D$18,MATCH($S1090,Config!$B$15:$B$18,0))-INDEX(Config!$C$15:$C$18,MATCH($S1090,Config!$B$15:$B$18,0)))*1440,0)),""))</f>
        <v/>
      </c>
      <c r="V1090" s="5"/>
    </row>
    <row r="1091" spans="1:22" x14ac:dyDescent="0.25">
      <c r="A1091" s="11"/>
      <c r="B1091" s="5"/>
      <c r="C1091" s="6" t="str">
        <f>IFERROR(INDEX(Ejecutivos!$B$2:$B$100,MATCH(B1091,Ejecutivos!$A$2:$A$100,0)),"")</f>
        <v/>
      </c>
      <c r="D1091" s="12"/>
      <c r="E1091" s="12"/>
      <c r="F1091" s="12"/>
      <c r="G1091" s="12"/>
      <c r="H1091" s="5"/>
      <c r="I1091" s="5"/>
      <c r="J1091" s="5"/>
      <c r="K1091" s="5"/>
      <c r="L1091" s="18">
        <v>0</v>
      </c>
      <c r="M1091" t="str">
        <f t="shared" si="71"/>
        <v/>
      </c>
      <c r="N1091" t="str">
        <f>IF(OR($D1091="",$S1091=""),"",IFERROR(MAX(0,ROUND(($D1091-INDEX(Config!$C$15:$C$18,MATCH($S1091,Config!$B$15:$B$18,0)))*24*60,0)),""))</f>
        <v/>
      </c>
      <c r="O1091" t="str">
        <f t="shared" si="72"/>
        <v/>
      </c>
      <c r="P1091" t="str">
        <f t="shared" si="73"/>
        <v/>
      </c>
      <c r="Q1091" t="str">
        <f>IF(OR($P1091="",$S1091=""),"",IFERROR($P1091-INDEX(Config!$E$15:$E$18,MATCH($S1091,Config!$B$15:$B$18,0)),""))</f>
        <v/>
      </c>
      <c r="R1091" t="str">
        <f t="shared" si="74"/>
        <v/>
      </c>
      <c r="S1091" s="6" t="str">
        <f>IF(OR($A1091="",$C1091=""),"",IFERROR(INDEX(Turno!$C$3:$V$32,MATCH($C1091,Turno!$B$3:$B$32,0),MATCH(DAY($A1091),Turno!$C$1:$V$1,0)),""))</f>
        <v/>
      </c>
      <c r="T1091" t="str">
        <f>IF(OR($E1091="",$S1091=""),"",IFERROR(MAX(0,ROUND((INDEX(Config!$D$15:$D$18,MATCH($S1091,Config!$B$15:$B$18,0))-$E1091)*1440,0)),""))</f>
        <v/>
      </c>
      <c r="U1091" s="13" t="str">
        <f>IF(OR($N1091="",$T1091=""),"",IFERROR(MAX(0,1-($N1091+$T1091+MAX(0,N($Q1091)))/ROUND((INDEX(Config!$D$15:$D$18,MATCH($S1091,Config!$B$15:$B$18,0))-INDEX(Config!$C$15:$C$18,MATCH($S1091,Config!$B$15:$B$18,0)))*1440,0)),""))</f>
        <v/>
      </c>
      <c r="V1091" s="5"/>
    </row>
    <row r="1092" spans="1:22" x14ac:dyDescent="0.25">
      <c r="A1092" s="11"/>
      <c r="B1092" s="5"/>
      <c r="C1092" s="6" t="str">
        <f>IFERROR(INDEX(Ejecutivos!$B$2:$B$100,MATCH(B1092,Ejecutivos!$A$2:$A$100,0)),"")</f>
        <v/>
      </c>
      <c r="D1092" s="12"/>
      <c r="E1092" s="12"/>
      <c r="F1092" s="12"/>
      <c r="G1092" s="12"/>
      <c r="H1092" s="5"/>
      <c r="I1092" s="5"/>
      <c r="J1092" s="5"/>
      <c r="K1092" s="5"/>
      <c r="L1092" s="18">
        <v>0</v>
      </c>
      <c r="M1092" t="str">
        <f t="shared" si="71"/>
        <v/>
      </c>
      <c r="N1092" t="str">
        <f>IF(OR($D1092="",$S1092=""),"",IFERROR(MAX(0,ROUND(($D1092-INDEX(Config!$C$15:$C$18,MATCH($S1092,Config!$B$15:$B$18,0)))*24*60,0)),""))</f>
        <v/>
      </c>
      <c r="O1092" t="str">
        <f t="shared" si="72"/>
        <v/>
      </c>
      <c r="P1092" t="str">
        <f t="shared" si="73"/>
        <v/>
      </c>
      <c r="Q1092" t="str">
        <f>IF(OR($P1092="",$S1092=""),"",IFERROR($P1092-INDEX(Config!$E$15:$E$18,MATCH($S1092,Config!$B$15:$B$18,0)),""))</f>
        <v/>
      </c>
      <c r="R1092" t="str">
        <f t="shared" si="74"/>
        <v/>
      </c>
      <c r="S1092" s="6" t="str">
        <f>IF(OR($A1092="",$C1092=""),"",IFERROR(INDEX(Turno!$C$3:$V$32,MATCH($C1092,Turno!$B$3:$B$32,0),MATCH(DAY($A1092),Turno!$C$1:$V$1,0)),""))</f>
        <v/>
      </c>
      <c r="T1092" t="str">
        <f>IF(OR($E1092="",$S1092=""),"",IFERROR(MAX(0,ROUND((INDEX(Config!$D$15:$D$18,MATCH($S1092,Config!$B$15:$B$18,0))-$E1092)*1440,0)),""))</f>
        <v/>
      </c>
      <c r="U1092" s="13" t="str">
        <f>IF(OR($N1092="",$T1092=""),"",IFERROR(MAX(0,1-($N1092+$T1092+MAX(0,N($Q1092)))/ROUND((INDEX(Config!$D$15:$D$18,MATCH($S1092,Config!$B$15:$B$18,0))-INDEX(Config!$C$15:$C$18,MATCH($S1092,Config!$B$15:$B$18,0)))*1440,0)),""))</f>
        <v/>
      </c>
      <c r="V1092" s="5"/>
    </row>
    <row r="1093" spans="1:22" x14ac:dyDescent="0.25">
      <c r="A1093" s="11"/>
      <c r="B1093" s="5"/>
      <c r="C1093" s="6" t="str">
        <f>IFERROR(INDEX(Ejecutivos!$B$2:$B$100,MATCH(B1093,Ejecutivos!$A$2:$A$100,0)),"")</f>
        <v/>
      </c>
      <c r="D1093" s="12"/>
      <c r="E1093" s="12"/>
      <c r="F1093" s="12"/>
      <c r="G1093" s="12"/>
      <c r="H1093" s="5"/>
      <c r="I1093" s="5"/>
      <c r="J1093" s="5"/>
      <c r="K1093" s="5"/>
      <c r="L1093" s="18">
        <v>0</v>
      </c>
      <c r="M1093" t="str">
        <f t="shared" si="71"/>
        <v/>
      </c>
      <c r="N1093" t="str">
        <f>IF(OR($D1093="",$S1093=""),"",IFERROR(MAX(0,ROUND(($D1093-INDEX(Config!$C$15:$C$18,MATCH($S1093,Config!$B$15:$B$18,0)))*24*60,0)),""))</f>
        <v/>
      </c>
      <c r="O1093" t="str">
        <f t="shared" si="72"/>
        <v/>
      </c>
      <c r="P1093" t="str">
        <f t="shared" si="73"/>
        <v/>
      </c>
      <c r="Q1093" t="str">
        <f>IF(OR($P1093="",$S1093=""),"",IFERROR($P1093-INDEX(Config!$E$15:$E$18,MATCH($S1093,Config!$B$15:$B$18,0)),""))</f>
        <v/>
      </c>
      <c r="R1093" t="str">
        <f t="shared" si="74"/>
        <v/>
      </c>
      <c r="S1093" s="6" t="str">
        <f>IF(OR($A1093="",$C1093=""),"",IFERROR(INDEX(Turno!$C$3:$V$32,MATCH($C1093,Turno!$B$3:$B$32,0),MATCH(DAY($A1093),Turno!$C$1:$V$1,0)),""))</f>
        <v/>
      </c>
      <c r="T1093" t="str">
        <f>IF(OR($E1093="",$S1093=""),"",IFERROR(MAX(0,ROUND((INDEX(Config!$D$15:$D$18,MATCH($S1093,Config!$B$15:$B$18,0))-$E1093)*1440,0)),""))</f>
        <v/>
      </c>
      <c r="U1093" s="13" t="str">
        <f>IF(OR($N1093="",$T1093=""),"",IFERROR(MAX(0,1-($N1093+$T1093+MAX(0,N($Q1093)))/ROUND((INDEX(Config!$D$15:$D$18,MATCH($S1093,Config!$B$15:$B$18,0))-INDEX(Config!$C$15:$C$18,MATCH($S1093,Config!$B$15:$B$18,0)))*1440,0)),""))</f>
        <v/>
      </c>
      <c r="V1093" s="5"/>
    </row>
    <row r="1094" spans="1:22" x14ac:dyDescent="0.25">
      <c r="A1094" s="11"/>
      <c r="B1094" s="5"/>
      <c r="C1094" s="6" t="str">
        <f>IFERROR(INDEX(Ejecutivos!$B$2:$B$100,MATCH(B1094,Ejecutivos!$A$2:$A$100,0)),"")</f>
        <v/>
      </c>
      <c r="D1094" s="12"/>
      <c r="E1094" s="12"/>
      <c r="F1094" s="12"/>
      <c r="G1094" s="12"/>
      <c r="H1094" s="5"/>
      <c r="I1094" s="5"/>
      <c r="J1094" s="5"/>
      <c r="K1094" s="5"/>
      <c r="L1094" s="18">
        <v>0</v>
      </c>
      <c r="M1094" t="str">
        <f t="shared" si="71"/>
        <v/>
      </c>
      <c r="N1094" t="str">
        <f>IF(OR($D1094="",$S1094=""),"",IFERROR(MAX(0,ROUND(($D1094-INDEX(Config!$C$15:$C$18,MATCH($S1094,Config!$B$15:$B$18,0)))*24*60,0)),""))</f>
        <v/>
      </c>
      <c r="O1094" t="str">
        <f t="shared" si="72"/>
        <v/>
      </c>
      <c r="P1094" t="str">
        <f t="shared" si="73"/>
        <v/>
      </c>
      <c r="Q1094" t="str">
        <f>IF(OR($P1094="",$S1094=""),"",IFERROR($P1094-INDEX(Config!$E$15:$E$18,MATCH($S1094,Config!$B$15:$B$18,0)),""))</f>
        <v/>
      </c>
      <c r="R1094" t="str">
        <f t="shared" si="74"/>
        <v/>
      </c>
      <c r="S1094" s="6" t="str">
        <f>IF(OR($A1094="",$C1094=""),"",IFERROR(INDEX(Turno!$C$3:$V$32,MATCH($C1094,Turno!$B$3:$B$32,0),MATCH(DAY($A1094),Turno!$C$1:$V$1,0)),""))</f>
        <v/>
      </c>
      <c r="T1094" t="str">
        <f>IF(OR($E1094="",$S1094=""),"",IFERROR(MAX(0,ROUND((INDEX(Config!$D$15:$D$18,MATCH($S1094,Config!$B$15:$B$18,0))-$E1094)*1440,0)),""))</f>
        <v/>
      </c>
      <c r="U1094" s="13" t="str">
        <f>IF(OR($N1094="",$T1094=""),"",IFERROR(MAX(0,1-($N1094+$T1094+MAX(0,N($Q1094)))/ROUND((INDEX(Config!$D$15:$D$18,MATCH($S1094,Config!$B$15:$B$18,0))-INDEX(Config!$C$15:$C$18,MATCH($S1094,Config!$B$15:$B$18,0)))*1440,0)),""))</f>
        <v/>
      </c>
      <c r="V1094" s="5"/>
    </row>
    <row r="1095" spans="1:22" x14ac:dyDescent="0.25">
      <c r="A1095" s="11"/>
      <c r="B1095" s="5"/>
      <c r="C1095" s="6" t="str">
        <f>IFERROR(INDEX(Ejecutivos!$B$2:$B$100,MATCH(B1095,Ejecutivos!$A$2:$A$100,0)),"")</f>
        <v/>
      </c>
      <c r="D1095" s="12"/>
      <c r="E1095" s="12"/>
      <c r="F1095" s="12"/>
      <c r="G1095" s="12"/>
      <c r="H1095" s="5"/>
      <c r="I1095" s="5"/>
      <c r="J1095" s="5"/>
      <c r="K1095" s="5"/>
      <c r="L1095" s="18">
        <v>0</v>
      </c>
      <c r="M1095" t="str">
        <f t="shared" si="71"/>
        <v/>
      </c>
      <c r="N1095" t="str">
        <f>IF(OR($D1095="",$S1095=""),"",IFERROR(MAX(0,ROUND(($D1095-INDEX(Config!$C$15:$C$18,MATCH($S1095,Config!$B$15:$B$18,0)))*24*60,0)),""))</f>
        <v/>
      </c>
      <c r="O1095" t="str">
        <f t="shared" si="72"/>
        <v/>
      </c>
      <c r="P1095" t="str">
        <f t="shared" si="73"/>
        <v/>
      </c>
      <c r="Q1095" t="str">
        <f>IF(OR($P1095="",$S1095=""),"",IFERROR($P1095-INDEX(Config!$E$15:$E$18,MATCH($S1095,Config!$B$15:$B$18,0)),""))</f>
        <v/>
      </c>
      <c r="R1095" t="str">
        <f t="shared" si="74"/>
        <v/>
      </c>
      <c r="S1095" s="6" t="str">
        <f>IF(OR($A1095="",$C1095=""),"",IFERROR(INDEX(Turno!$C$3:$V$32,MATCH($C1095,Turno!$B$3:$B$32,0),MATCH(DAY($A1095),Turno!$C$1:$V$1,0)),""))</f>
        <v/>
      </c>
      <c r="T1095" t="str">
        <f>IF(OR($E1095="",$S1095=""),"",IFERROR(MAX(0,ROUND((INDEX(Config!$D$15:$D$18,MATCH($S1095,Config!$B$15:$B$18,0))-$E1095)*1440,0)),""))</f>
        <v/>
      </c>
      <c r="U1095" s="13" t="str">
        <f>IF(OR($N1095="",$T1095=""),"",IFERROR(MAX(0,1-($N1095+$T1095+MAX(0,N($Q1095)))/ROUND((INDEX(Config!$D$15:$D$18,MATCH($S1095,Config!$B$15:$B$18,0))-INDEX(Config!$C$15:$C$18,MATCH($S1095,Config!$B$15:$B$18,0)))*1440,0)),""))</f>
        <v/>
      </c>
      <c r="V1095" s="5"/>
    </row>
    <row r="1096" spans="1:22" x14ac:dyDescent="0.25">
      <c r="A1096" s="11"/>
      <c r="B1096" s="5"/>
      <c r="C1096" s="6" t="str">
        <f>IFERROR(INDEX(Ejecutivos!$B$2:$B$100,MATCH(B1096,Ejecutivos!$A$2:$A$100,0)),"")</f>
        <v/>
      </c>
      <c r="D1096" s="12"/>
      <c r="E1096" s="12"/>
      <c r="F1096" s="12"/>
      <c r="G1096" s="12"/>
      <c r="H1096" s="5"/>
      <c r="I1096" s="5"/>
      <c r="J1096" s="5"/>
      <c r="K1096" s="5"/>
      <c r="L1096" s="18">
        <v>0</v>
      </c>
      <c r="M1096" t="str">
        <f t="shared" si="71"/>
        <v/>
      </c>
      <c r="N1096" t="str">
        <f>IF(OR($D1096="",$S1096=""),"",IFERROR(MAX(0,ROUND(($D1096-INDEX(Config!$C$15:$C$18,MATCH($S1096,Config!$B$15:$B$18,0)))*24*60,0)),""))</f>
        <v/>
      </c>
      <c r="O1096" t="str">
        <f t="shared" si="72"/>
        <v/>
      </c>
      <c r="P1096" t="str">
        <f t="shared" si="73"/>
        <v/>
      </c>
      <c r="Q1096" t="str">
        <f>IF(OR($P1096="",$S1096=""),"",IFERROR($P1096-INDEX(Config!$E$15:$E$18,MATCH($S1096,Config!$B$15:$B$18,0)),""))</f>
        <v/>
      </c>
      <c r="R1096" t="str">
        <f t="shared" si="74"/>
        <v/>
      </c>
      <c r="S1096" s="6" t="str">
        <f>IF(OR($A1096="",$C1096=""),"",IFERROR(INDEX(Turno!$C$3:$V$32,MATCH($C1096,Turno!$B$3:$B$32,0),MATCH(DAY($A1096),Turno!$C$1:$V$1,0)),""))</f>
        <v/>
      </c>
      <c r="T1096" t="str">
        <f>IF(OR($E1096="",$S1096=""),"",IFERROR(MAX(0,ROUND((INDEX(Config!$D$15:$D$18,MATCH($S1096,Config!$B$15:$B$18,0))-$E1096)*1440,0)),""))</f>
        <v/>
      </c>
      <c r="U1096" s="13" t="str">
        <f>IF(OR($N1096="",$T1096=""),"",IFERROR(MAX(0,1-($N1096+$T1096+MAX(0,N($Q1096)))/ROUND((INDEX(Config!$D$15:$D$18,MATCH($S1096,Config!$B$15:$B$18,0))-INDEX(Config!$C$15:$C$18,MATCH($S1096,Config!$B$15:$B$18,0)))*1440,0)),""))</f>
        <v/>
      </c>
      <c r="V1096" s="5"/>
    </row>
    <row r="1097" spans="1:22" x14ac:dyDescent="0.25">
      <c r="A1097" s="11"/>
      <c r="B1097" s="5"/>
      <c r="C1097" s="6" t="str">
        <f>IFERROR(INDEX(Ejecutivos!$B$2:$B$100,MATCH(B1097,Ejecutivos!$A$2:$A$100,0)),"")</f>
        <v/>
      </c>
      <c r="D1097" s="12"/>
      <c r="E1097" s="12"/>
      <c r="F1097" s="12"/>
      <c r="G1097" s="12"/>
      <c r="H1097" s="5"/>
      <c r="I1097" s="5"/>
      <c r="J1097" s="5"/>
      <c r="K1097" s="5"/>
      <c r="L1097" s="18">
        <v>0</v>
      </c>
      <c r="M1097" t="str">
        <f t="shared" si="71"/>
        <v/>
      </c>
      <c r="N1097" t="str">
        <f>IF(OR($D1097="",$S1097=""),"",IFERROR(MAX(0,ROUND(($D1097-INDEX(Config!$C$15:$C$18,MATCH($S1097,Config!$B$15:$B$18,0)))*24*60,0)),""))</f>
        <v/>
      </c>
      <c r="O1097" t="str">
        <f t="shared" si="72"/>
        <v/>
      </c>
      <c r="P1097" t="str">
        <f t="shared" si="73"/>
        <v/>
      </c>
      <c r="Q1097" t="str">
        <f>IF(OR($P1097="",$S1097=""),"",IFERROR($P1097-INDEX(Config!$E$15:$E$18,MATCH($S1097,Config!$B$15:$B$18,0)),""))</f>
        <v/>
      </c>
      <c r="R1097" t="str">
        <f t="shared" si="74"/>
        <v/>
      </c>
      <c r="S1097" s="6" t="str">
        <f>IF(OR($A1097="",$C1097=""),"",IFERROR(INDEX(Turno!$C$3:$V$32,MATCH($C1097,Turno!$B$3:$B$32,0),MATCH(DAY($A1097),Turno!$C$1:$V$1,0)),""))</f>
        <v/>
      </c>
      <c r="T1097" t="str">
        <f>IF(OR($E1097="",$S1097=""),"",IFERROR(MAX(0,ROUND((INDEX(Config!$D$15:$D$18,MATCH($S1097,Config!$B$15:$B$18,0))-$E1097)*1440,0)),""))</f>
        <v/>
      </c>
      <c r="U1097" s="13" t="str">
        <f>IF(OR($N1097="",$T1097=""),"",IFERROR(MAX(0,1-($N1097+$T1097+MAX(0,N($Q1097)))/ROUND((INDEX(Config!$D$15:$D$18,MATCH($S1097,Config!$B$15:$B$18,0))-INDEX(Config!$C$15:$C$18,MATCH($S1097,Config!$B$15:$B$18,0)))*1440,0)),""))</f>
        <v/>
      </c>
      <c r="V1097" s="5"/>
    </row>
    <row r="1098" spans="1:22" x14ac:dyDescent="0.25">
      <c r="A1098" s="11"/>
      <c r="B1098" s="5"/>
      <c r="C1098" s="6" t="str">
        <f>IFERROR(INDEX(Ejecutivos!$B$2:$B$100,MATCH(B1098,Ejecutivos!$A$2:$A$100,0)),"")</f>
        <v/>
      </c>
      <c r="D1098" s="12"/>
      <c r="E1098" s="12"/>
      <c r="F1098" s="12"/>
      <c r="G1098" s="12"/>
      <c r="H1098" s="5"/>
      <c r="I1098" s="5"/>
      <c r="J1098" s="5"/>
      <c r="K1098" s="5"/>
      <c r="L1098" s="18">
        <v>0</v>
      </c>
      <c r="M1098" t="str">
        <f t="shared" si="71"/>
        <v/>
      </c>
      <c r="N1098" t="str">
        <f>IF(OR($D1098="",$S1098=""),"",IFERROR(MAX(0,ROUND(($D1098-INDEX(Config!$C$15:$C$18,MATCH($S1098,Config!$B$15:$B$18,0)))*24*60,0)),""))</f>
        <v/>
      </c>
      <c r="O1098" t="str">
        <f t="shared" si="72"/>
        <v/>
      </c>
      <c r="P1098" t="str">
        <f t="shared" si="73"/>
        <v/>
      </c>
      <c r="Q1098" t="str">
        <f>IF(OR($P1098="",$S1098=""),"",IFERROR($P1098-INDEX(Config!$E$15:$E$18,MATCH($S1098,Config!$B$15:$B$18,0)),""))</f>
        <v/>
      </c>
      <c r="R1098" t="str">
        <f t="shared" si="74"/>
        <v/>
      </c>
      <c r="S1098" s="6" t="str">
        <f>IF(OR($A1098="",$C1098=""),"",IFERROR(INDEX(Turno!$C$3:$V$32,MATCH($C1098,Turno!$B$3:$B$32,0),MATCH(DAY($A1098),Turno!$C$1:$V$1,0)),""))</f>
        <v/>
      </c>
      <c r="T1098" t="str">
        <f>IF(OR($E1098="",$S1098=""),"",IFERROR(MAX(0,ROUND((INDEX(Config!$D$15:$D$18,MATCH($S1098,Config!$B$15:$B$18,0))-$E1098)*1440,0)),""))</f>
        <v/>
      </c>
      <c r="U1098" s="13" t="str">
        <f>IF(OR($N1098="",$T1098=""),"",IFERROR(MAX(0,1-($N1098+$T1098+MAX(0,N($Q1098)))/ROUND((INDEX(Config!$D$15:$D$18,MATCH($S1098,Config!$B$15:$B$18,0))-INDEX(Config!$C$15:$C$18,MATCH($S1098,Config!$B$15:$B$18,0)))*1440,0)),""))</f>
        <v/>
      </c>
      <c r="V1098" s="5"/>
    </row>
    <row r="1099" spans="1:22" x14ac:dyDescent="0.25">
      <c r="A1099" s="11"/>
      <c r="B1099" s="5"/>
      <c r="C1099" s="6" t="str">
        <f>IFERROR(INDEX(Ejecutivos!$B$2:$B$100,MATCH(B1099,Ejecutivos!$A$2:$A$100,0)),"")</f>
        <v/>
      </c>
      <c r="D1099" s="12"/>
      <c r="E1099" s="12"/>
      <c r="F1099" s="12"/>
      <c r="G1099" s="12"/>
      <c r="H1099" s="5"/>
      <c r="I1099" s="5"/>
      <c r="J1099" s="5"/>
      <c r="K1099" s="5"/>
      <c r="L1099" s="18">
        <v>0</v>
      </c>
      <c r="M1099" t="str">
        <f t="shared" si="71"/>
        <v/>
      </c>
      <c r="N1099" t="str">
        <f>IF(OR($D1099="",$S1099=""),"",IFERROR(MAX(0,ROUND(($D1099-INDEX(Config!$C$15:$C$18,MATCH($S1099,Config!$B$15:$B$18,0)))*24*60,0)),""))</f>
        <v/>
      </c>
      <c r="O1099" t="str">
        <f t="shared" si="72"/>
        <v/>
      </c>
      <c r="P1099" t="str">
        <f t="shared" si="73"/>
        <v/>
      </c>
      <c r="Q1099" t="str">
        <f>IF(OR($P1099="",$S1099=""),"",IFERROR($P1099-INDEX(Config!$E$15:$E$18,MATCH($S1099,Config!$B$15:$B$18,0)),""))</f>
        <v/>
      </c>
      <c r="R1099" t="str">
        <f t="shared" si="74"/>
        <v/>
      </c>
      <c r="S1099" s="6" t="str">
        <f>IF(OR($A1099="",$C1099=""),"",IFERROR(INDEX(Turno!$C$3:$V$32,MATCH($C1099,Turno!$B$3:$B$32,0),MATCH(DAY($A1099),Turno!$C$1:$V$1,0)),""))</f>
        <v/>
      </c>
      <c r="T1099" t="str">
        <f>IF(OR($E1099="",$S1099=""),"",IFERROR(MAX(0,ROUND((INDEX(Config!$D$15:$D$18,MATCH($S1099,Config!$B$15:$B$18,0))-$E1099)*1440,0)),""))</f>
        <v/>
      </c>
      <c r="U1099" s="13" t="str">
        <f>IF(OR($N1099="",$T1099=""),"",IFERROR(MAX(0,1-($N1099+$T1099+MAX(0,N($Q1099)))/ROUND((INDEX(Config!$D$15:$D$18,MATCH($S1099,Config!$B$15:$B$18,0))-INDEX(Config!$C$15:$C$18,MATCH($S1099,Config!$B$15:$B$18,0)))*1440,0)),""))</f>
        <v/>
      </c>
      <c r="V1099" s="5"/>
    </row>
    <row r="1100" spans="1:22" x14ac:dyDescent="0.25">
      <c r="A1100" s="11"/>
      <c r="B1100" s="5"/>
      <c r="C1100" s="6" t="str">
        <f>IFERROR(INDEX(Ejecutivos!$B$2:$B$100,MATCH(B1100,Ejecutivos!$A$2:$A$100,0)),"")</f>
        <v/>
      </c>
      <c r="D1100" s="12"/>
      <c r="E1100" s="12"/>
      <c r="F1100" s="12"/>
      <c r="G1100" s="12"/>
      <c r="H1100" s="5"/>
      <c r="I1100" s="5"/>
      <c r="J1100" s="5"/>
      <c r="K1100" s="5"/>
      <c r="L1100" s="18">
        <v>0</v>
      </c>
      <c r="M1100" t="str">
        <f t="shared" si="71"/>
        <v/>
      </c>
      <c r="N1100" t="str">
        <f>IF(OR($D1100="",$S1100=""),"",IFERROR(MAX(0,ROUND(($D1100-INDEX(Config!$C$15:$C$18,MATCH($S1100,Config!$B$15:$B$18,0)))*24*60,0)),""))</f>
        <v/>
      </c>
      <c r="O1100" t="str">
        <f t="shared" si="72"/>
        <v/>
      </c>
      <c r="P1100" t="str">
        <f t="shared" si="73"/>
        <v/>
      </c>
      <c r="Q1100" t="str">
        <f>IF(OR($P1100="",$S1100=""),"",IFERROR($P1100-INDEX(Config!$E$15:$E$18,MATCH($S1100,Config!$B$15:$B$18,0)),""))</f>
        <v/>
      </c>
      <c r="R1100" t="str">
        <f t="shared" si="74"/>
        <v/>
      </c>
      <c r="S1100" s="6" t="str">
        <f>IF(OR($A1100="",$C1100=""),"",IFERROR(INDEX(Turno!$C$3:$V$32,MATCH($C1100,Turno!$B$3:$B$32,0),MATCH(DAY($A1100),Turno!$C$1:$V$1,0)),""))</f>
        <v/>
      </c>
      <c r="T1100" t="str">
        <f>IF(OR($E1100="",$S1100=""),"",IFERROR(MAX(0,ROUND((INDEX(Config!$D$15:$D$18,MATCH($S1100,Config!$B$15:$B$18,0))-$E1100)*1440,0)),""))</f>
        <v/>
      </c>
      <c r="U1100" s="13" t="str">
        <f>IF(OR($N1100="",$T1100=""),"",IFERROR(MAX(0,1-($N1100+$T1100+MAX(0,N($Q1100)))/ROUND((INDEX(Config!$D$15:$D$18,MATCH($S1100,Config!$B$15:$B$18,0))-INDEX(Config!$C$15:$C$18,MATCH($S1100,Config!$B$15:$B$18,0)))*1440,0)),""))</f>
        <v/>
      </c>
      <c r="V1100" s="5"/>
    </row>
    <row r="1101" spans="1:22" x14ac:dyDescent="0.25">
      <c r="A1101" s="11"/>
      <c r="B1101" s="5"/>
      <c r="C1101" s="6" t="str">
        <f>IFERROR(INDEX(Ejecutivos!$B$2:$B$100,MATCH(B1101,Ejecutivos!$A$2:$A$100,0)),"")</f>
        <v/>
      </c>
      <c r="D1101" s="12"/>
      <c r="E1101" s="12"/>
      <c r="F1101" s="12"/>
      <c r="G1101" s="12"/>
      <c r="H1101" s="5"/>
      <c r="I1101" s="5"/>
      <c r="J1101" s="5"/>
      <c r="K1101" s="5"/>
      <c r="L1101" s="18">
        <v>0</v>
      </c>
      <c r="M1101" t="str">
        <f t="shared" si="71"/>
        <v/>
      </c>
      <c r="N1101" t="str">
        <f>IF(OR($D1101="",$S1101=""),"",IFERROR(MAX(0,ROUND(($D1101-INDEX(Config!$C$15:$C$18,MATCH($S1101,Config!$B$15:$B$18,0)))*24*60,0)),""))</f>
        <v/>
      </c>
      <c r="O1101" t="str">
        <f t="shared" si="72"/>
        <v/>
      </c>
      <c r="P1101" t="str">
        <f t="shared" si="73"/>
        <v/>
      </c>
      <c r="Q1101" t="str">
        <f>IF(OR($P1101="",$S1101=""),"",IFERROR($P1101-INDEX(Config!$E$15:$E$18,MATCH($S1101,Config!$B$15:$B$18,0)),""))</f>
        <v/>
      </c>
      <c r="R1101" t="str">
        <f t="shared" si="74"/>
        <v/>
      </c>
      <c r="S1101" s="6" t="str">
        <f>IF(OR($A1101="",$C1101=""),"",IFERROR(INDEX(Turno!$C$3:$V$32,MATCH($C1101,Turno!$B$3:$B$32,0),MATCH(DAY($A1101),Turno!$C$1:$V$1,0)),""))</f>
        <v/>
      </c>
      <c r="T1101" t="str">
        <f>IF(OR($E1101="",$S1101=""),"",IFERROR(MAX(0,ROUND((INDEX(Config!$D$15:$D$18,MATCH($S1101,Config!$B$15:$B$18,0))-$E1101)*1440,0)),""))</f>
        <v/>
      </c>
      <c r="U1101" s="13" t="str">
        <f>IF(OR($N1101="",$T1101=""),"",IFERROR(MAX(0,1-($N1101+$T1101+MAX(0,N($Q1101)))/ROUND((INDEX(Config!$D$15:$D$18,MATCH($S1101,Config!$B$15:$B$18,0))-INDEX(Config!$C$15:$C$18,MATCH($S1101,Config!$B$15:$B$18,0)))*1440,0)),""))</f>
        <v/>
      </c>
      <c r="V1101" s="5"/>
    </row>
    <row r="1102" spans="1:22" x14ac:dyDescent="0.25">
      <c r="A1102" s="11"/>
      <c r="B1102" s="5"/>
      <c r="C1102" s="6" t="str">
        <f>IFERROR(INDEX(Ejecutivos!$B$2:$B$100,MATCH(B1102,Ejecutivos!$A$2:$A$100,0)),"")</f>
        <v/>
      </c>
      <c r="D1102" s="12"/>
      <c r="E1102" s="12"/>
      <c r="F1102" s="12"/>
      <c r="G1102" s="12"/>
      <c r="H1102" s="5"/>
      <c r="I1102" s="5"/>
      <c r="J1102" s="5"/>
      <c r="K1102" s="5"/>
      <c r="L1102" s="18">
        <v>0</v>
      </c>
      <c r="M1102" t="str">
        <f t="shared" si="71"/>
        <v/>
      </c>
      <c r="N1102" t="str">
        <f>IF(OR($D1102="",$S1102=""),"",IFERROR(MAX(0,ROUND(($D1102-INDEX(Config!$C$15:$C$18,MATCH($S1102,Config!$B$15:$B$18,0)))*24*60,0)),""))</f>
        <v/>
      </c>
      <c r="O1102" t="str">
        <f t="shared" si="72"/>
        <v/>
      </c>
      <c r="P1102" t="str">
        <f t="shared" si="73"/>
        <v/>
      </c>
      <c r="Q1102" t="str">
        <f>IF(OR($P1102="",$S1102=""),"",IFERROR($P1102-INDEX(Config!$E$15:$E$18,MATCH($S1102,Config!$B$15:$B$18,0)),""))</f>
        <v/>
      </c>
      <c r="R1102" t="str">
        <f t="shared" si="74"/>
        <v/>
      </c>
      <c r="S1102" s="6" t="str">
        <f>IF(OR($A1102="",$C1102=""),"",IFERROR(INDEX(Turno!$C$3:$V$32,MATCH($C1102,Turno!$B$3:$B$32,0),MATCH(DAY($A1102),Turno!$C$1:$V$1,0)),""))</f>
        <v/>
      </c>
      <c r="T1102" t="str">
        <f>IF(OR($E1102="",$S1102=""),"",IFERROR(MAX(0,ROUND((INDEX(Config!$D$15:$D$18,MATCH($S1102,Config!$B$15:$B$18,0))-$E1102)*1440,0)),""))</f>
        <v/>
      </c>
      <c r="U1102" s="13" t="str">
        <f>IF(OR($N1102="",$T1102=""),"",IFERROR(MAX(0,1-($N1102+$T1102+MAX(0,N($Q1102)))/ROUND((INDEX(Config!$D$15:$D$18,MATCH($S1102,Config!$B$15:$B$18,0))-INDEX(Config!$C$15:$C$18,MATCH($S1102,Config!$B$15:$B$18,0)))*1440,0)),""))</f>
        <v/>
      </c>
      <c r="V1102" s="5"/>
    </row>
    <row r="1103" spans="1:22" x14ac:dyDescent="0.25">
      <c r="A1103" s="11"/>
      <c r="B1103" s="5"/>
      <c r="C1103" s="6" t="str">
        <f>IFERROR(INDEX(Ejecutivos!$B$2:$B$100,MATCH(B1103,Ejecutivos!$A$2:$A$100,0)),"")</f>
        <v/>
      </c>
      <c r="D1103" s="12"/>
      <c r="E1103" s="12"/>
      <c r="F1103" s="12"/>
      <c r="G1103" s="12"/>
      <c r="H1103" s="5"/>
      <c r="I1103" s="5"/>
      <c r="J1103" s="5"/>
      <c r="K1103" s="5"/>
      <c r="L1103" s="18">
        <v>0</v>
      </c>
      <c r="M1103" t="str">
        <f t="shared" si="71"/>
        <v/>
      </c>
      <c r="N1103" t="str">
        <f>IF(OR($D1103="",$S1103=""),"",IFERROR(MAX(0,ROUND(($D1103-INDEX(Config!$C$15:$C$18,MATCH($S1103,Config!$B$15:$B$18,0)))*24*60,0)),""))</f>
        <v/>
      </c>
      <c r="O1103" t="str">
        <f t="shared" si="72"/>
        <v/>
      </c>
      <c r="P1103" t="str">
        <f t="shared" si="73"/>
        <v/>
      </c>
      <c r="Q1103" t="str">
        <f>IF(OR($P1103="",$S1103=""),"",IFERROR($P1103-INDEX(Config!$E$15:$E$18,MATCH($S1103,Config!$B$15:$B$18,0)),""))</f>
        <v/>
      </c>
      <c r="R1103" t="str">
        <f t="shared" si="74"/>
        <v/>
      </c>
      <c r="S1103" s="6" t="str">
        <f>IF(OR($A1103="",$C1103=""),"",IFERROR(INDEX(Turno!$C$3:$V$32,MATCH($C1103,Turno!$B$3:$B$32,0),MATCH(DAY($A1103),Turno!$C$1:$V$1,0)),""))</f>
        <v/>
      </c>
      <c r="T1103" t="str">
        <f>IF(OR($E1103="",$S1103=""),"",IFERROR(MAX(0,ROUND((INDEX(Config!$D$15:$D$18,MATCH($S1103,Config!$B$15:$B$18,0))-$E1103)*1440,0)),""))</f>
        <v/>
      </c>
      <c r="U1103" s="13" t="str">
        <f>IF(OR($N1103="",$T1103=""),"",IFERROR(MAX(0,1-($N1103+$T1103+MAX(0,N($Q1103)))/ROUND((INDEX(Config!$D$15:$D$18,MATCH($S1103,Config!$B$15:$B$18,0))-INDEX(Config!$C$15:$C$18,MATCH($S1103,Config!$B$15:$B$18,0)))*1440,0)),""))</f>
        <v/>
      </c>
      <c r="V1103" s="5"/>
    </row>
    <row r="1104" spans="1:22" x14ac:dyDescent="0.25">
      <c r="A1104" s="11"/>
      <c r="B1104" s="5"/>
      <c r="C1104" s="6" t="str">
        <f>IFERROR(INDEX(Ejecutivos!$B$2:$B$100,MATCH(B1104,Ejecutivos!$A$2:$A$100,0)),"")</f>
        <v/>
      </c>
      <c r="D1104" s="12"/>
      <c r="E1104" s="12"/>
      <c r="F1104" s="12"/>
      <c r="G1104" s="12"/>
      <c r="H1104" s="5"/>
      <c r="I1104" s="5"/>
      <c r="J1104" s="5"/>
      <c r="K1104" s="5"/>
      <c r="L1104" s="18">
        <v>0</v>
      </c>
      <c r="M1104" t="str">
        <f t="shared" si="71"/>
        <v/>
      </c>
      <c r="N1104" t="str">
        <f>IF(OR($D1104="",$S1104=""),"",IFERROR(MAX(0,ROUND(($D1104-INDEX(Config!$C$15:$C$18,MATCH($S1104,Config!$B$15:$B$18,0)))*24*60,0)),""))</f>
        <v/>
      </c>
      <c r="O1104" t="str">
        <f t="shared" si="72"/>
        <v/>
      </c>
      <c r="P1104" t="str">
        <f t="shared" si="73"/>
        <v/>
      </c>
      <c r="Q1104" t="str">
        <f>IF(OR($P1104="",$S1104=""),"",IFERROR($P1104-INDEX(Config!$E$15:$E$18,MATCH($S1104,Config!$B$15:$B$18,0)),""))</f>
        <v/>
      </c>
      <c r="R1104" t="str">
        <f t="shared" si="74"/>
        <v/>
      </c>
      <c r="S1104" s="6" t="str">
        <f>IF(OR($A1104="",$C1104=""),"",IFERROR(INDEX(Turno!$C$3:$V$32,MATCH($C1104,Turno!$B$3:$B$32,0),MATCH(DAY($A1104),Turno!$C$1:$V$1,0)),""))</f>
        <v/>
      </c>
      <c r="T1104" t="str">
        <f>IF(OR($E1104="",$S1104=""),"",IFERROR(MAX(0,ROUND((INDEX(Config!$D$15:$D$18,MATCH($S1104,Config!$B$15:$B$18,0))-$E1104)*1440,0)),""))</f>
        <v/>
      </c>
      <c r="U1104" s="13" t="str">
        <f>IF(OR($N1104="",$T1104=""),"",IFERROR(MAX(0,1-($N1104+$T1104+MAX(0,N($Q1104)))/ROUND((INDEX(Config!$D$15:$D$18,MATCH($S1104,Config!$B$15:$B$18,0))-INDEX(Config!$C$15:$C$18,MATCH($S1104,Config!$B$15:$B$18,0)))*1440,0)),""))</f>
        <v/>
      </c>
      <c r="V1104" s="5"/>
    </row>
    <row r="1105" spans="1:22" x14ac:dyDescent="0.25">
      <c r="A1105" s="11"/>
      <c r="B1105" s="5"/>
      <c r="C1105" s="6" t="str">
        <f>IFERROR(INDEX(Ejecutivos!$B$2:$B$100,MATCH(B1105,Ejecutivos!$A$2:$A$100,0)),"")</f>
        <v/>
      </c>
      <c r="D1105" s="12"/>
      <c r="E1105" s="12"/>
      <c r="F1105" s="12"/>
      <c r="G1105" s="12"/>
      <c r="H1105" s="5"/>
      <c r="I1105" s="5"/>
      <c r="J1105" s="5"/>
      <c r="K1105" s="5"/>
      <c r="L1105" s="18">
        <v>0</v>
      </c>
      <c r="M1105" t="str">
        <f t="shared" si="71"/>
        <v/>
      </c>
      <c r="N1105" t="str">
        <f>IF(OR($D1105="",$S1105=""),"",IFERROR(MAX(0,ROUND(($D1105-INDEX(Config!$C$15:$C$18,MATCH($S1105,Config!$B$15:$B$18,0)))*24*60,0)),""))</f>
        <v/>
      </c>
      <c r="O1105" t="str">
        <f t="shared" si="72"/>
        <v/>
      </c>
      <c r="P1105" t="str">
        <f t="shared" si="73"/>
        <v/>
      </c>
      <c r="Q1105" t="str">
        <f>IF(OR($P1105="",$S1105=""),"",IFERROR($P1105-INDEX(Config!$E$15:$E$18,MATCH($S1105,Config!$B$15:$B$18,0)),""))</f>
        <v/>
      </c>
      <c r="R1105" t="str">
        <f t="shared" si="74"/>
        <v/>
      </c>
      <c r="S1105" s="6" t="str">
        <f>IF(OR($A1105="",$C1105=""),"",IFERROR(INDEX(Turno!$C$3:$V$32,MATCH($C1105,Turno!$B$3:$B$32,0),MATCH(DAY($A1105),Turno!$C$1:$V$1,0)),""))</f>
        <v/>
      </c>
      <c r="T1105" t="str">
        <f>IF(OR($E1105="",$S1105=""),"",IFERROR(MAX(0,ROUND((INDEX(Config!$D$15:$D$18,MATCH($S1105,Config!$B$15:$B$18,0))-$E1105)*1440,0)),""))</f>
        <v/>
      </c>
      <c r="U1105" s="13" t="str">
        <f>IF(OR($N1105="",$T1105=""),"",IFERROR(MAX(0,1-($N1105+$T1105+MAX(0,N($Q1105)))/ROUND((INDEX(Config!$D$15:$D$18,MATCH($S1105,Config!$B$15:$B$18,0))-INDEX(Config!$C$15:$C$18,MATCH($S1105,Config!$B$15:$B$18,0)))*1440,0)),""))</f>
        <v/>
      </c>
      <c r="V1105" s="5"/>
    </row>
    <row r="1106" spans="1:22" x14ac:dyDescent="0.25">
      <c r="A1106" s="11"/>
      <c r="B1106" s="5"/>
      <c r="C1106" s="6" t="str">
        <f>IFERROR(INDEX(Ejecutivos!$B$2:$B$100,MATCH(B1106,Ejecutivos!$A$2:$A$100,0)),"")</f>
        <v/>
      </c>
      <c r="D1106" s="12"/>
      <c r="E1106" s="12"/>
      <c r="F1106" s="12"/>
      <c r="G1106" s="12"/>
      <c r="H1106" s="5"/>
      <c r="I1106" s="5"/>
      <c r="J1106" s="5"/>
      <c r="K1106" s="5"/>
      <c r="L1106" s="18">
        <v>0</v>
      </c>
      <c r="M1106" t="str">
        <f t="shared" si="71"/>
        <v/>
      </c>
      <c r="N1106" t="str">
        <f>IF(OR($D1106="",$S1106=""),"",IFERROR(MAX(0,ROUND(($D1106-INDEX(Config!$C$15:$C$18,MATCH($S1106,Config!$B$15:$B$18,0)))*24*60,0)),""))</f>
        <v/>
      </c>
      <c r="O1106" t="str">
        <f t="shared" si="72"/>
        <v/>
      </c>
      <c r="P1106" t="str">
        <f t="shared" si="73"/>
        <v/>
      </c>
      <c r="Q1106" t="str">
        <f>IF(OR($P1106="",$S1106=""),"",IFERROR($P1106-INDEX(Config!$E$15:$E$18,MATCH($S1106,Config!$B$15:$B$18,0)),""))</f>
        <v/>
      </c>
      <c r="R1106" t="str">
        <f t="shared" si="74"/>
        <v/>
      </c>
      <c r="S1106" s="6" t="str">
        <f>IF(OR($A1106="",$C1106=""),"",IFERROR(INDEX(Turno!$C$3:$V$32,MATCH($C1106,Turno!$B$3:$B$32,0),MATCH(DAY($A1106),Turno!$C$1:$V$1,0)),""))</f>
        <v/>
      </c>
      <c r="T1106" t="str">
        <f>IF(OR($E1106="",$S1106=""),"",IFERROR(MAX(0,ROUND((INDEX(Config!$D$15:$D$18,MATCH($S1106,Config!$B$15:$B$18,0))-$E1106)*1440,0)),""))</f>
        <v/>
      </c>
      <c r="U1106" s="13" t="str">
        <f>IF(OR($N1106="",$T1106=""),"",IFERROR(MAX(0,1-($N1106+$T1106+MAX(0,N($Q1106)))/ROUND((INDEX(Config!$D$15:$D$18,MATCH($S1106,Config!$B$15:$B$18,0))-INDEX(Config!$C$15:$C$18,MATCH($S1106,Config!$B$15:$B$18,0)))*1440,0)),""))</f>
        <v/>
      </c>
      <c r="V1106" s="5"/>
    </row>
    <row r="1107" spans="1:22" x14ac:dyDescent="0.25">
      <c r="A1107" s="11"/>
      <c r="B1107" s="5"/>
      <c r="C1107" s="6" t="str">
        <f>IFERROR(INDEX(Ejecutivos!$B$2:$B$100,MATCH(B1107,Ejecutivos!$A$2:$A$100,0)),"")</f>
        <v/>
      </c>
      <c r="D1107" s="12"/>
      <c r="E1107" s="12"/>
      <c r="F1107" s="12"/>
      <c r="G1107" s="12"/>
      <c r="H1107" s="5"/>
      <c r="I1107" s="5"/>
      <c r="J1107" s="5"/>
      <c r="K1107" s="5"/>
      <c r="L1107" s="18">
        <v>0</v>
      </c>
      <c r="M1107" t="str">
        <f t="shared" si="71"/>
        <v/>
      </c>
      <c r="N1107" t="str">
        <f>IF(OR($D1107="",$S1107=""),"",IFERROR(MAX(0,ROUND(($D1107-INDEX(Config!$C$15:$C$18,MATCH($S1107,Config!$B$15:$B$18,0)))*24*60,0)),""))</f>
        <v/>
      </c>
      <c r="O1107" t="str">
        <f t="shared" si="72"/>
        <v/>
      </c>
      <c r="P1107" t="str">
        <f t="shared" si="73"/>
        <v/>
      </c>
      <c r="Q1107" t="str">
        <f>IF(OR($P1107="",$S1107=""),"",IFERROR($P1107-INDEX(Config!$E$15:$E$18,MATCH($S1107,Config!$B$15:$B$18,0)),""))</f>
        <v/>
      </c>
      <c r="R1107" t="str">
        <f t="shared" si="74"/>
        <v/>
      </c>
      <c r="S1107" s="6" t="str">
        <f>IF(OR($A1107="",$C1107=""),"",IFERROR(INDEX(Turno!$C$3:$V$32,MATCH($C1107,Turno!$B$3:$B$32,0),MATCH(DAY($A1107),Turno!$C$1:$V$1,0)),""))</f>
        <v/>
      </c>
      <c r="T1107" t="str">
        <f>IF(OR($E1107="",$S1107=""),"",IFERROR(MAX(0,ROUND((INDEX(Config!$D$15:$D$18,MATCH($S1107,Config!$B$15:$B$18,0))-$E1107)*1440,0)),""))</f>
        <v/>
      </c>
      <c r="U1107" s="13" t="str">
        <f>IF(OR($N1107="",$T1107=""),"",IFERROR(MAX(0,1-($N1107+$T1107+MAX(0,N($Q1107)))/ROUND((INDEX(Config!$D$15:$D$18,MATCH($S1107,Config!$B$15:$B$18,0))-INDEX(Config!$C$15:$C$18,MATCH($S1107,Config!$B$15:$B$18,0)))*1440,0)),""))</f>
        <v/>
      </c>
      <c r="V1107" s="5"/>
    </row>
    <row r="1108" spans="1:22" x14ac:dyDescent="0.25">
      <c r="A1108" s="11"/>
      <c r="B1108" s="5"/>
      <c r="C1108" s="6" t="str">
        <f>IFERROR(INDEX(Ejecutivos!$B$2:$B$100,MATCH(B1108,Ejecutivos!$A$2:$A$100,0)),"")</f>
        <v/>
      </c>
      <c r="D1108" s="12"/>
      <c r="E1108" s="12"/>
      <c r="F1108" s="12"/>
      <c r="G1108" s="12"/>
      <c r="H1108" s="5"/>
      <c r="I1108" s="5"/>
      <c r="J1108" s="5"/>
      <c r="K1108" s="5"/>
      <c r="L1108" s="18">
        <v>0</v>
      </c>
      <c r="M1108" t="str">
        <f t="shared" si="71"/>
        <v/>
      </c>
      <c r="N1108" t="str">
        <f>IF(OR($D1108="",$S1108=""),"",IFERROR(MAX(0,ROUND(($D1108-INDEX(Config!$C$15:$C$18,MATCH($S1108,Config!$B$15:$B$18,0)))*24*60,0)),""))</f>
        <v/>
      </c>
      <c r="O1108" t="str">
        <f t="shared" si="72"/>
        <v/>
      </c>
      <c r="P1108" t="str">
        <f t="shared" si="73"/>
        <v/>
      </c>
      <c r="Q1108" t="str">
        <f>IF(OR($P1108="",$S1108=""),"",IFERROR($P1108-INDEX(Config!$E$15:$E$18,MATCH($S1108,Config!$B$15:$B$18,0)),""))</f>
        <v/>
      </c>
      <c r="R1108" t="str">
        <f t="shared" si="74"/>
        <v/>
      </c>
      <c r="S1108" s="6" t="str">
        <f>IF(OR($A1108="",$C1108=""),"",IFERROR(INDEX(Turno!$C$3:$V$32,MATCH($C1108,Turno!$B$3:$B$32,0),MATCH(DAY($A1108),Turno!$C$1:$V$1,0)),""))</f>
        <v/>
      </c>
      <c r="T1108" t="str">
        <f>IF(OR($E1108="",$S1108=""),"",IFERROR(MAX(0,ROUND((INDEX(Config!$D$15:$D$18,MATCH($S1108,Config!$B$15:$B$18,0))-$E1108)*1440,0)),""))</f>
        <v/>
      </c>
      <c r="U1108" s="13" t="str">
        <f>IF(OR($N1108="",$T1108=""),"",IFERROR(MAX(0,1-($N1108+$T1108+MAX(0,N($Q1108)))/ROUND((INDEX(Config!$D$15:$D$18,MATCH($S1108,Config!$B$15:$B$18,0))-INDEX(Config!$C$15:$C$18,MATCH($S1108,Config!$B$15:$B$18,0)))*1440,0)),""))</f>
        <v/>
      </c>
      <c r="V1108" s="5"/>
    </row>
    <row r="1109" spans="1:22" x14ac:dyDescent="0.25">
      <c r="A1109" s="11"/>
      <c r="B1109" s="5"/>
      <c r="C1109" s="6" t="str">
        <f>IFERROR(INDEX(Ejecutivos!$B$2:$B$100,MATCH(B1109,Ejecutivos!$A$2:$A$100,0)),"")</f>
        <v/>
      </c>
      <c r="D1109" s="12"/>
      <c r="E1109" s="12"/>
      <c r="F1109" s="12"/>
      <c r="G1109" s="12"/>
      <c r="H1109" s="5"/>
      <c r="I1109" s="5"/>
      <c r="J1109" s="5"/>
      <c r="K1109" s="5"/>
      <c r="L1109" s="18">
        <v>0</v>
      </c>
      <c r="M1109" t="str">
        <f t="shared" si="71"/>
        <v/>
      </c>
      <c r="N1109" t="str">
        <f>IF(OR($D1109="",$S1109=""),"",IFERROR(MAX(0,ROUND(($D1109-INDEX(Config!$C$15:$C$18,MATCH($S1109,Config!$B$15:$B$18,0)))*24*60,0)),""))</f>
        <v/>
      </c>
      <c r="O1109" t="str">
        <f t="shared" si="72"/>
        <v/>
      </c>
      <c r="P1109" t="str">
        <f t="shared" si="73"/>
        <v/>
      </c>
      <c r="Q1109" t="str">
        <f>IF(OR($P1109="",$S1109=""),"",IFERROR($P1109-INDEX(Config!$E$15:$E$18,MATCH($S1109,Config!$B$15:$B$18,0)),""))</f>
        <v/>
      </c>
      <c r="R1109" t="str">
        <f t="shared" si="74"/>
        <v/>
      </c>
      <c r="S1109" s="6" t="str">
        <f>IF(OR($A1109="",$C1109=""),"",IFERROR(INDEX(Turno!$C$3:$V$32,MATCH($C1109,Turno!$B$3:$B$32,0),MATCH(DAY($A1109),Turno!$C$1:$V$1,0)),""))</f>
        <v/>
      </c>
      <c r="T1109" t="str">
        <f>IF(OR($E1109="",$S1109=""),"",IFERROR(MAX(0,ROUND((INDEX(Config!$D$15:$D$18,MATCH($S1109,Config!$B$15:$B$18,0))-$E1109)*1440,0)),""))</f>
        <v/>
      </c>
      <c r="U1109" s="13" t="str">
        <f>IF(OR($N1109="",$T1109=""),"",IFERROR(MAX(0,1-($N1109+$T1109+MAX(0,N($Q1109)))/ROUND((INDEX(Config!$D$15:$D$18,MATCH($S1109,Config!$B$15:$B$18,0))-INDEX(Config!$C$15:$C$18,MATCH($S1109,Config!$B$15:$B$18,0)))*1440,0)),""))</f>
        <v/>
      </c>
      <c r="V1109" s="5"/>
    </row>
    <row r="1110" spans="1:22" x14ac:dyDescent="0.25">
      <c r="A1110" s="11"/>
      <c r="B1110" s="5"/>
      <c r="C1110" s="6" t="str">
        <f>IFERROR(INDEX(Ejecutivos!$B$2:$B$100,MATCH(B1110,Ejecutivos!$A$2:$A$100,0)),"")</f>
        <v/>
      </c>
      <c r="D1110" s="12"/>
      <c r="E1110" s="12"/>
      <c r="F1110" s="12"/>
      <c r="G1110" s="12"/>
      <c r="H1110" s="5"/>
      <c r="I1110" s="5"/>
      <c r="J1110" s="5"/>
      <c r="K1110" s="5"/>
      <c r="L1110" s="18">
        <v>0</v>
      </c>
      <c r="M1110" t="str">
        <f t="shared" si="71"/>
        <v/>
      </c>
      <c r="N1110" t="str">
        <f>IF(OR($D1110="",$S1110=""),"",IFERROR(MAX(0,ROUND(($D1110-INDEX(Config!$C$15:$C$18,MATCH($S1110,Config!$B$15:$B$18,0)))*24*60,0)),""))</f>
        <v/>
      </c>
      <c r="O1110" t="str">
        <f t="shared" si="72"/>
        <v/>
      </c>
      <c r="P1110" t="str">
        <f t="shared" si="73"/>
        <v/>
      </c>
      <c r="Q1110" t="str">
        <f>IF(OR($P1110="",$S1110=""),"",IFERROR($P1110-INDEX(Config!$E$15:$E$18,MATCH($S1110,Config!$B$15:$B$18,0)),""))</f>
        <v/>
      </c>
      <c r="R1110" t="str">
        <f t="shared" si="74"/>
        <v/>
      </c>
      <c r="S1110" s="6" t="str">
        <f>IF(OR($A1110="",$C1110=""),"",IFERROR(INDEX(Turno!$C$3:$V$32,MATCH($C1110,Turno!$B$3:$B$32,0),MATCH(DAY($A1110),Turno!$C$1:$V$1,0)),""))</f>
        <v/>
      </c>
      <c r="T1110" t="str">
        <f>IF(OR($E1110="",$S1110=""),"",IFERROR(MAX(0,ROUND((INDEX(Config!$D$15:$D$18,MATCH($S1110,Config!$B$15:$B$18,0))-$E1110)*1440,0)),""))</f>
        <v/>
      </c>
      <c r="U1110" s="13" t="str">
        <f>IF(OR($N1110="",$T1110=""),"",IFERROR(MAX(0,1-($N1110+$T1110+MAX(0,N($Q1110)))/ROUND((INDEX(Config!$D$15:$D$18,MATCH($S1110,Config!$B$15:$B$18,0))-INDEX(Config!$C$15:$C$18,MATCH($S1110,Config!$B$15:$B$18,0)))*1440,0)),""))</f>
        <v/>
      </c>
      <c r="V1110" s="5"/>
    </row>
    <row r="1111" spans="1:22" x14ac:dyDescent="0.25">
      <c r="A1111" s="11"/>
      <c r="B1111" s="5"/>
      <c r="C1111" s="6" t="str">
        <f>IFERROR(INDEX(Ejecutivos!$B$2:$B$100,MATCH(B1111,Ejecutivos!$A$2:$A$100,0)),"")</f>
        <v/>
      </c>
      <c r="D1111" s="12"/>
      <c r="E1111" s="12"/>
      <c r="F1111" s="12"/>
      <c r="G1111" s="12"/>
      <c r="H1111" s="5"/>
      <c r="I1111" s="5"/>
      <c r="J1111" s="5"/>
      <c r="K1111" s="5"/>
      <c r="L1111" s="18">
        <v>0</v>
      </c>
      <c r="M1111" t="str">
        <f t="shared" si="71"/>
        <v/>
      </c>
      <c r="N1111" t="str">
        <f>IF(OR($D1111="",$S1111=""),"",IFERROR(MAX(0,ROUND(($D1111-INDEX(Config!$C$15:$C$18,MATCH($S1111,Config!$B$15:$B$18,0)))*24*60,0)),""))</f>
        <v/>
      </c>
      <c r="O1111" t="str">
        <f t="shared" si="72"/>
        <v/>
      </c>
      <c r="P1111" t="str">
        <f t="shared" si="73"/>
        <v/>
      </c>
      <c r="Q1111" t="str">
        <f>IF(OR($P1111="",$S1111=""),"",IFERROR($P1111-INDEX(Config!$E$15:$E$18,MATCH($S1111,Config!$B$15:$B$18,0)),""))</f>
        <v/>
      </c>
      <c r="R1111" t="str">
        <f t="shared" si="74"/>
        <v/>
      </c>
      <c r="S1111" s="6" t="str">
        <f>IF(OR($A1111="",$C1111=""),"",IFERROR(INDEX(Turno!$C$3:$V$32,MATCH($C1111,Turno!$B$3:$B$32,0),MATCH(DAY($A1111),Turno!$C$1:$V$1,0)),""))</f>
        <v/>
      </c>
      <c r="T1111" t="str">
        <f>IF(OR($E1111="",$S1111=""),"",IFERROR(MAX(0,ROUND((INDEX(Config!$D$15:$D$18,MATCH($S1111,Config!$B$15:$B$18,0))-$E1111)*1440,0)),""))</f>
        <v/>
      </c>
      <c r="U1111" s="13" t="str">
        <f>IF(OR($N1111="",$T1111=""),"",IFERROR(MAX(0,1-($N1111+$T1111+MAX(0,N($Q1111)))/ROUND((INDEX(Config!$D$15:$D$18,MATCH($S1111,Config!$B$15:$B$18,0))-INDEX(Config!$C$15:$C$18,MATCH($S1111,Config!$B$15:$B$18,0)))*1440,0)),""))</f>
        <v/>
      </c>
      <c r="V1111" s="5"/>
    </row>
    <row r="1112" spans="1:22" x14ac:dyDescent="0.25">
      <c r="A1112" s="11"/>
      <c r="B1112" s="5"/>
      <c r="C1112" s="6" t="str">
        <f>IFERROR(INDEX(Ejecutivos!$B$2:$B$100,MATCH(B1112,Ejecutivos!$A$2:$A$100,0)),"")</f>
        <v/>
      </c>
      <c r="D1112" s="12"/>
      <c r="E1112" s="12"/>
      <c r="F1112" s="12"/>
      <c r="G1112" s="12"/>
      <c r="H1112" s="5"/>
      <c r="I1112" s="5"/>
      <c r="J1112" s="5"/>
      <c r="K1112" s="5"/>
      <c r="L1112" s="18">
        <v>0</v>
      </c>
      <c r="M1112" t="str">
        <f t="shared" si="71"/>
        <v/>
      </c>
      <c r="N1112" t="str">
        <f>IF(OR($D1112="",$S1112=""),"",IFERROR(MAX(0,ROUND(($D1112-INDEX(Config!$C$15:$C$18,MATCH($S1112,Config!$B$15:$B$18,0)))*24*60,0)),""))</f>
        <v/>
      </c>
      <c r="O1112" t="str">
        <f t="shared" si="72"/>
        <v/>
      </c>
      <c r="P1112" t="str">
        <f t="shared" si="73"/>
        <v/>
      </c>
      <c r="Q1112" t="str">
        <f>IF(OR($P1112="",$S1112=""),"",IFERROR($P1112-INDEX(Config!$E$15:$E$18,MATCH($S1112,Config!$B$15:$B$18,0)),""))</f>
        <v/>
      </c>
      <c r="R1112" t="str">
        <f t="shared" si="74"/>
        <v/>
      </c>
      <c r="S1112" s="6" t="str">
        <f>IF(OR($A1112="",$C1112=""),"",IFERROR(INDEX(Turno!$C$3:$V$32,MATCH($C1112,Turno!$B$3:$B$32,0),MATCH(DAY($A1112),Turno!$C$1:$V$1,0)),""))</f>
        <v/>
      </c>
      <c r="T1112" t="str">
        <f>IF(OR($E1112="",$S1112=""),"",IFERROR(MAX(0,ROUND((INDEX(Config!$D$15:$D$18,MATCH($S1112,Config!$B$15:$B$18,0))-$E1112)*1440,0)),""))</f>
        <v/>
      </c>
      <c r="U1112" s="13" t="str">
        <f>IF(OR($N1112="",$T1112=""),"",IFERROR(MAX(0,1-($N1112+$T1112+MAX(0,N($Q1112)))/ROUND((INDEX(Config!$D$15:$D$18,MATCH($S1112,Config!$B$15:$B$18,0))-INDEX(Config!$C$15:$C$18,MATCH($S1112,Config!$B$15:$B$18,0)))*1440,0)),""))</f>
        <v/>
      </c>
      <c r="V1112" s="5"/>
    </row>
    <row r="1113" spans="1:22" x14ac:dyDescent="0.25">
      <c r="A1113" s="11"/>
      <c r="B1113" s="5"/>
      <c r="C1113" s="6" t="str">
        <f>IFERROR(INDEX(Ejecutivos!$B$2:$B$100,MATCH(B1113,Ejecutivos!$A$2:$A$100,0)),"")</f>
        <v/>
      </c>
      <c r="D1113" s="12"/>
      <c r="E1113" s="12"/>
      <c r="F1113" s="12"/>
      <c r="G1113" s="12"/>
      <c r="H1113" s="5"/>
      <c r="I1113" s="5"/>
      <c r="J1113" s="5"/>
      <c r="K1113" s="5"/>
      <c r="L1113" s="18">
        <v>0</v>
      </c>
      <c r="M1113" t="str">
        <f t="shared" si="71"/>
        <v/>
      </c>
      <c r="N1113" t="str">
        <f>IF(OR($D1113="",$S1113=""),"",IFERROR(MAX(0,ROUND(($D1113-INDEX(Config!$C$15:$C$18,MATCH($S1113,Config!$B$15:$B$18,0)))*24*60,0)),""))</f>
        <v/>
      </c>
      <c r="O1113" t="str">
        <f t="shared" si="72"/>
        <v/>
      </c>
      <c r="P1113" t="str">
        <f t="shared" si="73"/>
        <v/>
      </c>
      <c r="Q1113" t="str">
        <f>IF(OR($P1113="",$S1113=""),"",IFERROR($P1113-INDEX(Config!$E$15:$E$18,MATCH($S1113,Config!$B$15:$B$18,0)),""))</f>
        <v/>
      </c>
      <c r="R1113" t="str">
        <f t="shared" si="74"/>
        <v/>
      </c>
      <c r="S1113" s="6" t="str">
        <f>IF(OR($A1113="",$C1113=""),"",IFERROR(INDEX(Turno!$C$3:$V$32,MATCH($C1113,Turno!$B$3:$B$32,0),MATCH(DAY($A1113),Turno!$C$1:$V$1,0)),""))</f>
        <v/>
      </c>
      <c r="T1113" t="str">
        <f>IF(OR($E1113="",$S1113=""),"",IFERROR(MAX(0,ROUND((INDEX(Config!$D$15:$D$18,MATCH($S1113,Config!$B$15:$B$18,0))-$E1113)*1440,0)),""))</f>
        <v/>
      </c>
      <c r="U1113" s="13" t="str">
        <f>IF(OR($N1113="",$T1113=""),"",IFERROR(MAX(0,1-($N1113+$T1113+MAX(0,N($Q1113)))/ROUND((INDEX(Config!$D$15:$D$18,MATCH($S1113,Config!$B$15:$B$18,0))-INDEX(Config!$C$15:$C$18,MATCH($S1113,Config!$B$15:$B$18,0)))*1440,0)),""))</f>
        <v/>
      </c>
      <c r="V1113" s="5"/>
    </row>
    <row r="1114" spans="1:22" x14ac:dyDescent="0.25">
      <c r="A1114" s="11"/>
      <c r="B1114" s="5"/>
      <c r="C1114" s="6" t="str">
        <f>IFERROR(INDEX(Ejecutivos!$B$2:$B$100,MATCH(B1114,Ejecutivos!$A$2:$A$100,0)),"")</f>
        <v/>
      </c>
      <c r="D1114" s="12"/>
      <c r="E1114" s="12"/>
      <c r="F1114" s="12"/>
      <c r="G1114" s="12"/>
      <c r="H1114" s="5"/>
      <c r="I1114" s="5"/>
      <c r="J1114" s="5"/>
      <c r="K1114" s="5"/>
      <c r="L1114" s="18">
        <v>0</v>
      </c>
      <c r="M1114" t="str">
        <f t="shared" si="71"/>
        <v/>
      </c>
      <c r="N1114" t="str">
        <f>IF(OR($D1114="",$S1114=""),"",IFERROR(MAX(0,ROUND(($D1114-INDEX(Config!$C$15:$C$18,MATCH($S1114,Config!$B$15:$B$18,0)))*24*60,0)),""))</f>
        <v/>
      </c>
      <c r="O1114" t="str">
        <f t="shared" si="72"/>
        <v/>
      </c>
      <c r="P1114" t="str">
        <f t="shared" si="73"/>
        <v/>
      </c>
      <c r="Q1114" t="str">
        <f>IF(OR($P1114="",$S1114=""),"",IFERROR($P1114-INDEX(Config!$E$15:$E$18,MATCH($S1114,Config!$B$15:$B$18,0)),""))</f>
        <v/>
      </c>
      <c r="R1114" t="str">
        <f t="shared" si="74"/>
        <v/>
      </c>
      <c r="S1114" s="6" t="str">
        <f>IF(OR($A1114="",$C1114=""),"",IFERROR(INDEX(Turno!$C$3:$V$32,MATCH($C1114,Turno!$B$3:$B$32,0),MATCH(DAY($A1114),Turno!$C$1:$V$1,0)),""))</f>
        <v/>
      </c>
      <c r="T1114" t="str">
        <f>IF(OR($E1114="",$S1114=""),"",IFERROR(MAX(0,ROUND((INDEX(Config!$D$15:$D$18,MATCH($S1114,Config!$B$15:$B$18,0))-$E1114)*1440,0)),""))</f>
        <v/>
      </c>
      <c r="U1114" s="13" t="str">
        <f>IF(OR($N1114="",$T1114=""),"",IFERROR(MAX(0,1-($N1114+$T1114+MAX(0,N($Q1114)))/ROUND((INDEX(Config!$D$15:$D$18,MATCH($S1114,Config!$B$15:$B$18,0))-INDEX(Config!$C$15:$C$18,MATCH($S1114,Config!$B$15:$B$18,0)))*1440,0)),""))</f>
        <v/>
      </c>
      <c r="V1114" s="5"/>
    </row>
    <row r="1115" spans="1:22" x14ac:dyDescent="0.25">
      <c r="A1115" s="11"/>
      <c r="B1115" s="5"/>
      <c r="C1115" s="6" t="str">
        <f>IFERROR(INDEX(Ejecutivos!$B$2:$B$100,MATCH(B1115,Ejecutivos!$A$2:$A$100,0)),"")</f>
        <v/>
      </c>
      <c r="D1115" s="12"/>
      <c r="E1115" s="12"/>
      <c r="F1115" s="12"/>
      <c r="G1115" s="12"/>
      <c r="H1115" s="5"/>
      <c r="I1115" s="5"/>
      <c r="J1115" s="5"/>
      <c r="K1115" s="5"/>
      <c r="L1115" s="18">
        <v>0</v>
      </c>
      <c r="M1115" t="str">
        <f t="shared" si="71"/>
        <v/>
      </c>
      <c r="N1115" t="str">
        <f>IF(OR($D1115="",$S1115=""),"",IFERROR(MAX(0,ROUND(($D1115-INDEX(Config!$C$15:$C$18,MATCH($S1115,Config!$B$15:$B$18,0)))*24*60,0)),""))</f>
        <v/>
      </c>
      <c r="O1115" t="str">
        <f t="shared" si="72"/>
        <v/>
      </c>
      <c r="P1115" t="str">
        <f t="shared" si="73"/>
        <v/>
      </c>
      <c r="Q1115" t="str">
        <f>IF(OR($P1115="",$S1115=""),"",IFERROR($P1115-INDEX(Config!$E$15:$E$18,MATCH($S1115,Config!$B$15:$B$18,0)),""))</f>
        <v/>
      </c>
      <c r="R1115" t="str">
        <f t="shared" si="74"/>
        <v/>
      </c>
      <c r="S1115" s="6" t="str">
        <f>IF(OR($A1115="",$C1115=""),"",IFERROR(INDEX(Turno!$C$3:$V$32,MATCH($C1115,Turno!$B$3:$B$32,0),MATCH(DAY($A1115),Turno!$C$1:$V$1,0)),""))</f>
        <v/>
      </c>
      <c r="T1115" t="str">
        <f>IF(OR($E1115="",$S1115=""),"",IFERROR(MAX(0,ROUND((INDEX(Config!$D$15:$D$18,MATCH($S1115,Config!$B$15:$B$18,0))-$E1115)*1440,0)),""))</f>
        <v/>
      </c>
      <c r="U1115" s="13" t="str">
        <f>IF(OR($N1115="",$T1115=""),"",IFERROR(MAX(0,1-($N1115+$T1115+MAX(0,N($Q1115)))/ROUND((INDEX(Config!$D$15:$D$18,MATCH($S1115,Config!$B$15:$B$18,0))-INDEX(Config!$C$15:$C$18,MATCH($S1115,Config!$B$15:$B$18,0)))*1440,0)),""))</f>
        <v/>
      </c>
      <c r="V1115" s="5"/>
    </row>
    <row r="1116" spans="1:22" x14ac:dyDescent="0.25">
      <c r="A1116" s="11"/>
      <c r="B1116" s="5"/>
      <c r="C1116" s="6" t="str">
        <f>IFERROR(INDEX(Ejecutivos!$B$2:$B$100,MATCH(B1116,Ejecutivos!$A$2:$A$100,0)),"")</f>
        <v/>
      </c>
      <c r="D1116" s="12"/>
      <c r="E1116" s="12"/>
      <c r="F1116" s="12"/>
      <c r="G1116" s="12"/>
      <c r="H1116" s="5"/>
      <c r="I1116" s="5"/>
      <c r="J1116" s="5"/>
      <c r="K1116" s="5"/>
      <c r="L1116" s="18">
        <v>0</v>
      </c>
      <c r="M1116" t="str">
        <f t="shared" si="71"/>
        <v/>
      </c>
      <c r="N1116" t="str">
        <f>IF(OR($D1116="",$S1116=""),"",IFERROR(MAX(0,ROUND(($D1116-INDEX(Config!$C$15:$C$18,MATCH($S1116,Config!$B$15:$B$18,0)))*24*60,0)),""))</f>
        <v/>
      </c>
      <c r="O1116" t="str">
        <f t="shared" si="72"/>
        <v/>
      </c>
      <c r="P1116" t="str">
        <f t="shared" si="73"/>
        <v/>
      </c>
      <c r="Q1116" t="str">
        <f>IF(OR($P1116="",$S1116=""),"",IFERROR($P1116-INDEX(Config!$E$15:$E$18,MATCH($S1116,Config!$B$15:$B$18,0)),""))</f>
        <v/>
      </c>
      <c r="R1116" t="str">
        <f t="shared" si="74"/>
        <v/>
      </c>
      <c r="S1116" s="6" t="str">
        <f>IF(OR($A1116="",$C1116=""),"",IFERROR(INDEX(Turno!$C$3:$V$32,MATCH($C1116,Turno!$B$3:$B$32,0),MATCH(DAY($A1116),Turno!$C$1:$V$1,0)),""))</f>
        <v/>
      </c>
      <c r="T1116" t="str">
        <f>IF(OR($E1116="",$S1116=""),"",IFERROR(MAX(0,ROUND((INDEX(Config!$D$15:$D$18,MATCH($S1116,Config!$B$15:$B$18,0))-$E1116)*1440,0)),""))</f>
        <v/>
      </c>
      <c r="U1116" s="13" t="str">
        <f>IF(OR($N1116="",$T1116=""),"",IFERROR(MAX(0,1-($N1116+$T1116+MAX(0,N($Q1116)))/ROUND((INDEX(Config!$D$15:$D$18,MATCH($S1116,Config!$B$15:$B$18,0))-INDEX(Config!$C$15:$C$18,MATCH($S1116,Config!$B$15:$B$18,0)))*1440,0)),""))</f>
        <v/>
      </c>
      <c r="V1116" s="5"/>
    </row>
    <row r="1117" spans="1:22" x14ac:dyDescent="0.25">
      <c r="A1117" s="11"/>
      <c r="B1117" s="5"/>
      <c r="C1117" s="6" t="str">
        <f>IFERROR(INDEX(Ejecutivos!$B$2:$B$100,MATCH(B1117,Ejecutivos!$A$2:$A$100,0)),"")</f>
        <v/>
      </c>
      <c r="D1117" s="12"/>
      <c r="E1117" s="12"/>
      <c r="F1117" s="12"/>
      <c r="G1117" s="12"/>
      <c r="H1117" s="5"/>
      <c r="I1117" s="5"/>
      <c r="J1117" s="5"/>
      <c r="K1117" s="5"/>
      <c r="L1117" s="18">
        <v>0</v>
      </c>
      <c r="M1117" t="str">
        <f t="shared" si="71"/>
        <v/>
      </c>
      <c r="N1117" t="str">
        <f>IF(OR($D1117="",$S1117=""),"",IFERROR(MAX(0,ROUND(($D1117-INDEX(Config!$C$15:$C$18,MATCH($S1117,Config!$B$15:$B$18,0)))*24*60,0)),""))</f>
        <v/>
      </c>
      <c r="O1117" t="str">
        <f t="shared" si="72"/>
        <v/>
      </c>
      <c r="P1117" t="str">
        <f t="shared" si="73"/>
        <v/>
      </c>
      <c r="Q1117" t="str">
        <f>IF(OR($P1117="",$S1117=""),"",IFERROR($P1117-INDEX(Config!$E$15:$E$18,MATCH($S1117,Config!$B$15:$B$18,0)),""))</f>
        <v/>
      </c>
      <c r="R1117" t="str">
        <f t="shared" si="74"/>
        <v/>
      </c>
      <c r="S1117" s="6" t="str">
        <f>IF(OR($A1117="",$C1117=""),"",IFERROR(INDEX(Turno!$C$3:$V$32,MATCH($C1117,Turno!$B$3:$B$32,0),MATCH(DAY($A1117),Turno!$C$1:$V$1,0)),""))</f>
        <v/>
      </c>
      <c r="T1117" t="str">
        <f>IF(OR($E1117="",$S1117=""),"",IFERROR(MAX(0,ROUND((INDEX(Config!$D$15:$D$18,MATCH($S1117,Config!$B$15:$B$18,0))-$E1117)*1440,0)),""))</f>
        <v/>
      </c>
      <c r="U1117" s="13" t="str">
        <f>IF(OR($N1117="",$T1117=""),"",IFERROR(MAX(0,1-($N1117+$T1117+MAX(0,N($Q1117)))/ROUND((INDEX(Config!$D$15:$D$18,MATCH($S1117,Config!$B$15:$B$18,0))-INDEX(Config!$C$15:$C$18,MATCH($S1117,Config!$B$15:$B$18,0)))*1440,0)),""))</f>
        <v/>
      </c>
      <c r="V1117" s="5"/>
    </row>
    <row r="1118" spans="1:22" x14ac:dyDescent="0.25">
      <c r="A1118" s="11"/>
      <c r="B1118" s="5"/>
      <c r="C1118" s="6" t="str">
        <f>IFERROR(INDEX(Ejecutivos!$B$2:$B$100,MATCH(B1118,Ejecutivos!$A$2:$A$100,0)),"")</f>
        <v/>
      </c>
      <c r="D1118" s="12"/>
      <c r="E1118" s="12"/>
      <c r="F1118" s="12"/>
      <c r="G1118" s="12"/>
      <c r="H1118" s="5"/>
      <c r="I1118" s="5"/>
      <c r="J1118" s="5"/>
      <c r="K1118" s="5"/>
      <c r="L1118" s="18">
        <v>0</v>
      </c>
      <c r="M1118" t="str">
        <f t="shared" si="71"/>
        <v/>
      </c>
      <c r="N1118" t="str">
        <f>IF(OR($D1118="",$S1118=""),"",IFERROR(MAX(0,ROUND(($D1118-INDEX(Config!$C$15:$C$18,MATCH($S1118,Config!$B$15:$B$18,0)))*24*60,0)),""))</f>
        <v/>
      </c>
      <c r="O1118" t="str">
        <f t="shared" si="72"/>
        <v/>
      </c>
      <c r="P1118" t="str">
        <f t="shared" si="73"/>
        <v/>
      </c>
      <c r="Q1118" t="str">
        <f>IF(OR($P1118="",$S1118=""),"",IFERROR($P1118-INDEX(Config!$E$15:$E$18,MATCH($S1118,Config!$B$15:$B$18,0)),""))</f>
        <v/>
      </c>
      <c r="R1118" t="str">
        <f t="shared" si="74"/>
        <v/>
      </c>
      <c r="S1118" s="6" t="str">
        <f>IF(OR($A1118="",$C1118=""),"",IFERROR(INDEX(Turno!$C$3:$V$32,MATCH($C1118,Turno!$B$3:$B$32,0),MATCH(DAY($A1118),Turno!$C$1:$V$1,0)),""))</f>
        <v/>
      </c>
      <c r="T1118" t="str">
        <f>IF(OR($E1118="",$S1118=""),"",IFERROR(MAX(0,ROUND((INDEX(Config!$D$15:$D$18,MATCH($S1118,Config!$B$15:$B$18,0))-$E1118)*1440,0)),""))</f>
        <v/>
      </c>
      <c r="U1118" s="13" t="str">
        <f>IF(OR($N1118="",$T1118=""),"",IFERROR(MAX(0,1-($N1118+$T1118+MAX(0,N($Q1118)))/ROUND((INDEX(Config!$D$15:$D$18,MATCH($S1118,Config!$B$15:$B$18,0))-INDEX(Config!$C$15:$C$18,MATCH($S1118,Config!$B$15:$B$18,0)))*1440,0)),""))</f>
        <v/>
      </c>
      <c r="V1118" s="5"/>
    </row>
    <row r="1119" spans="1:22" x14ac:dyDescent="0.25">
      <c r="A1119" s="11"/>
      <c r="B1119" s="5"/>
      <c r="C1119" s="6" t="str">
        <f>IFERROR(INDEX(Ejecutivos!$B$2:$B$100,MATCH(B1119,Ejecutivos!$A$2:$A$100,0)),"")</f>
        <v/>
      </c>
      <c r="D1119" s="12"/>
      <c r="E1119" s="12"/>
      <c r="F1119" s="12"/>
      <c r="G1119" s="12"/>
      <c r="H1119" s="5"/>
      <c r="I1119" s="5"/>
      <c r="J1119" s="5"/>
      <c r="K1119" s="5"/>
      <c r="L1119" s="18">
        <v>0</v>
      </c>
      <c r="M1119" t="str">
        <f t="shared" si="71"/>
        <v/>
      </c>
      <c r="N1119" t="str">
        <f>IF(OR($D1119="",$S1119=""),"",IFERROR(MAX(0,ROUND(($D1119-INDEX(Config!$C$15:$C$18,MATCH($S1119,Config!$B$15:$B$18,0)))*24*60,0)),""))</f>
        <v/>
      </c>
      <c r="O1119" t="str">
        <f t="shared" si="72"/>
        <v/>
      </c>
      <c r="P1119" t="str">
        <f t="shared" si="73"/>
        <v/>
      </c>
      <c r="Q1119" t="str">
        <f>IF(OR($P1119="",$S1119=""),"",IFERROR($P1119-INDEX(Config!$E$15:$E$18,MATCH($S1119,Config!$B$15:$B$18,0)),""))</f>
        <v/>
      </c>
      <c r="R1119" t="str">
        <f t="shared" si="74"/>
        <v/>
      </c>
      <c r="S1119" s="6" t="str">
        <f>IF(OR($A1119="",$C1119=""),"",IFERROR(INDEX(Turno!$C$3:$V$32,MATCH($C1119,Turno!$B$3:$B$32,0),MATCH(DAY($A1119),Turno!$C$1:$V$1,0)),""))</f>
        <v/>
      </c>
      <c r="T1119" t="str">
        <f>IF(OR($E1119="",$S1119=""),"",IFERROR(MAX(0,ROUND((INDEX(Config!$D$15:$D$18,MATCH($S1119,Config!$B$15:$B$18,0))-$E1119)*1440,0)),""))</f>
        <v/>
      </c>
      <c r="U1119" s="13" t="str">
        <f>IF(OR($N1119="",$T1119=""),"",IFERROR(MAX(0,1-($N1119+$T1119+MAX(0,N($Q1119)))/ROUND((INDEX(Config!$D$15:$D$18,MATCH($S1119,Config!$B$15:$B$18,0))-INDEX(Config!$C$15:$C$18,MATCH($S1119,Config!$B$15:$B$18,0)))*1440,0)),""))</f>
        <v/>
      </c>
      <c r="V1119" s="5"/>
    </row>
    <row r="1120" spans="1:22" x14ac:dyDescent="0.25">
      <c r="A1120" s="11"/>
      <c r="B1120" s="5"/>
      <c r="C1120" s="6" t="str">
        <f>IFERROR(INDEX(Ejecutivos!$B$2:$B$100,MATCH(B1120,Ejecutivos!$A$2:$A$100,0)),"")</f>
        <v/>
      </c>
      <c r="D1120" s="12"/>
      <c r="E1120" s="12"/>
      <c r="F1120" s="12"/>
      <c r="G1120" s="12"/>
      <c r="H1120" s="5"/>
      <c r="I1120" s="5"/>
      <c r="J1120" s="5"/>
      <c r="K1120" s="5"/>
      <c r="L1120" s="18">
        <v>0</v>
      </c>
      <c r="M1120" t="str">
        <f t="shared" si="71"/>
        <v/>
      </c>
      <c r="N1120" t="str">
        <f>IF(OR($D1120="",$S1120=""),"",IFERROR(MAX(0,ROUND(($D1120-INDEX(Config!$C$15:$C$18,MATCH($S1120,Config!$B$15:$B$18,0)))*24*60,0)),""))</f>
        <v/>
      </c>
      <c r="O1120" t="str">
        <f t="shared" si="72"/>
        <v/>
      </c>
      <c r="P1120" t="str">
        <f t="shared" si="73"/>
        <v/>
      </c>
      <c r="Q1120" t="str">
        <f>IF(OR($P1120="",$S1120=""),"",IFERROR($P1120-INDEX(Config!$E$15:$E$18,MATCH($S1120,Config!$B$15:$B$18,0)),""))</f>
        <v/>
      </c>
      <c r="R1120" t="str">
        <f t="shared" si="74"/>
        <v/>
      </c>
      <c r="S1120" s="6" t="str">
        <f>IF(OR($A1120="",$C1120=""),"",IFERROR(INDEX(Turno!$C$3:$V$32,MATCH($C1120,Turno!$B$3:$B$32,0),MATCH(DAY($A1120),Turno!$C$1:$V$1,0)),""))</f>
        <v/>
      </c>
      <c r="T1120" t="str">
        <f>IF(OR($E1120="",$S1120=""),"",IFERROR(MAX(0,ROUND((INDEX(Config!$D$15:$D$18,MATCH($S1120,Config!$B$15:$B$18,0))-$E1120)*1440,0)),""))</f>
        <v/>
      </c>
      <c r="U1120" s="13" t="str">
        <f>IF(OR($N1120="",$T1120=""),"",IFERROR(MAX(0,1-($N1120+$T1120+MAX(0,N($Q1120)))/ROUND((INDEX(Config!$D$15:$D$18,MATCH($S1120,Config!$B$15:$B$18,0))-INDEX(Config!$C$15:$C$18,MATCH($S1120,Config!$B$15:$B$18,0)))*1440,0)),""))</f>
        <v/>
      </c>
      <c r="V1120" s="5"/>
    </row>
    <row r="1121" spans="1:22" x14ac:dyDescent="0.25">
      <c r="A1121" s="11"/>
      <c r="B1121" s="5"/>
      <c r="C1121" s="6" t="str">
        <f>IFERROR(INDEX(Ejecutivos!$B$2:$B$100,MATCH(B1121,Ejecutivos!$A$2:$A$100,0)),"")</f>
        <v/>
      </c>
      <c r="D1121" s="12"/>
      <c r="E1121" s="12"/>
      <c r="F1121" s="12"/>
      <c r="G1121" s="12"/>
      <c r="H1121" s="5"/>
      <c r="I1121" s="5"/>
      <c r="J1121" s="5"/>
      <c r="K1121" s="5"/>
      <c r="L1121" s="18">
        <v>0</v>
      </c>
      <c r="M1121" t="str">
        <f t="shared" si="71"/>
        <v/>
      </c>
      <c r="N1121" t="str">
        <f>IF(OR($D1121="",$S1121=""),"",IFERROR(MAX(0,ROUND(($D1121-INDEX(Config!$C$15:$C$18,MATCH($S1121,Config!$B$15:$B$18,0)))*24*60,0)),""))</f>
        <v/>
      </c>
      <c r="O1121" t="str">
        <f t="shared" si="72"/>
        <v/>
      </c>
      <c r="P1121" t="str">
        <f t="shared" si="73"/>
        <v/>
      </c>
      <c r="Q1121" t="str">
        <f>IF(OR($P1121="",$S1121=""),"",IFERROR($P1121-INDEX(Config!$E$15:$E$18,MATCH($S1121,Config!$B$15:$B$18,0)),""))</f>
        <v/>
      </c>
      <c r="R1121" t="str">
        <f t="shared" si="74"/>
        <v/>
      </c>
      <c r="S1121" s="6" t="str">
        <f>IF(OR($A1121="",$C1121=""),"",IFERROR(INDEX(Turno!$C$3:$V$32,MATCH($C1121,Turno!$B$3:$B$32,0),MATCH(DAY($A1121),Turno!$C$1:$V$1,0)),""))</f>
        <v/>
      </c>
      <c r="T1121" t="str">
        <f>IF(OR($E1121="",$S1121=""),"",IFERROR(MAX(0,ROUND((INDEX(Config!$D$15:$D$18,MATCH($S1121,Config!$B$15:$B$18,0))-$E1121)*1440,0)),""))</f>
        <v/>
      </c>
      <c r="U1121" s="13" t="str">
        <f>IF(OR($N1121="",$T1121=""),"",IFERROR(MAX(0,1-($N1121+$T1121+MAX(0,N($Q1121)))/ROUND((INDEX(Config!$D$15:$D$18,MATCH($S1121,Config!$B$15:$B$18,0))-INDEX(Config!$C$15:$C$18,MATCH($S1121,Config!$B$15:$B$18,0)))*1440,0)),""))</f>
        <v/>
      </c>
      <c r="V1121" s="5"/>
    </row>
    <row r="1122" spans="1:22" x14ac:dyDescent="0.25">
      <c r="A1122" s="11"/>
      <c r="B1122" s="5"/>
      <c r="C1122" s="6" t="str">
        <f>IFERROR(INDEX(Ejecutivos!$B$2:$B$100,MATCH(B1122,Ejecutivos!$A$2:$A$100,0)),"")</f>
        <v/>
      </c>
      <c r="D1122" s="12"/>
      <c r="E1122" s="12"/>
      <c r="F1122" s="12"/>
      <c r="G1122" s="12"/>
      <c r="H1122" s="5"/>
      <c r="I1122" s="5"/>
      <c r="J1122" s="5"/>
      <c r="K1122" s="5"/>
      <c r="L1122" s="18">
        <v>0</v>
      </c>
      <c r="M1122" t="str">
        <f t="shared" si="71"/>
        <v/>
      </c>
      <c r="N1122" t="str">
        <f>IF(OR($D1122="",$S1122=""),"",IFERROR(MAX(0,ROUND(($D1122-INDEX(Config!$C$15:$C$18,MATCH($S1122,Config!$B$15:$B$18,0)))*24*60,0)),""))</f>
        <v/>
      </c>
      <c r="O1122" t="str">
        <f t="shared" si="72"/>
        <v/>
      </c>
      <c r="P1122" t="str">
        <f t="shared" si="73"/>
        <v/>
      </c>
      <c r="Q1122" t="str">
        <f>IF(OR($P1122="",$S1122=""),"",IFERROR($P1122-INDEX(Config!$E$15:$E$18,MATCH($S1122,Config!$B$15:$B$18,0)),""))</f>
        <v/>
      </c>
      <c r="R1122" t="str">
        <f t="shared" si="74"/>
        <v/>
      </c>
      <c r="S1122" s="6" t="str">
        <f>IF(OR($A1122="",$C1122=""),"",IFERROR(INDEX(Turno!$C$3:$V$32,MATCH($C1122,Turno!$B$3:$B$32,0),MATCH(DAY($A1122),Turno!$C$1:$V$1,0)),""))</f>
        <v/>
      </c>
      <c r="T1122" t="str">
        <f>IF(OR($E1122="",$S1122=""),"",IFERROR(MAX(0,ROUND((INDEX(Config!$D$15:$D$18,MATCH($S1122,Config!$B$15:$B$18,0))-$E1122)*1440,0)),""))</f>
        <v/>
      </c>
      <c r="U1122" s="13" t="str">
        <f>IF(OR($N1122="",$T1122=""),"",IFERROR(MAX(0,1-($N1122+$T1122+MAX(0,N($Q1122)))/ROUND((INDEX(Config!$D$15:$D$18,MATCH($S1122,Config!$B$15:$B$18,0))-INDEX(Config!$C$15:$C$18,MATCH($S1122,Config!$B$15:$B$18,0)))*1440,0)),""))</f>
        <v/>
      </c>
      <c r="V1122" s="5"/>
    </row>
    <row r="1123" spans="1:22" x14ac:dyDescent="0.25">
      <c r="A1123" s="11"/>
      <c r="B1123" s="5"/>
      <c r="C1123" s="6" t="str">
        <f>IFERROR(INDEX(Ejecutivos!$B$2:$B$100,MATCH(B1123,Ejecutivos!$A$2:$A$100,0)),"")</f>
        <v/>
      </c>
      <c r="D1123" s="12"/>
      <c r="E1123" s="12"/>
      <c r="F1123" s="12"/>
      <c r="G1123" s="12"/>
      <c r="H1123" s="5"/>
      <c r="I1123" s="5"/>
      <c r="J1123" s="5"/>
      <c r="K1123" s="5"/>
      <c r="L1123" s="18">
        <v>0</v>
      </c>
      <c r="M1123" t="str">
        <f t="shared" si="71"/>
        <v/>
      </c>
      <c r="N1123" t="str">
        <f>IF(OR($D1123="",$S1123=""),"",IFERROR(MAX(0,ROUND(($D1123-INDEX(Config!$C$15:$C$18,MATCH($S1123,Config!$B$15:$B$18,0)))*24*60,0)),""))</f>
        <v/>
      </c>
      <c r="O1123" t="str">
        <f t="shared" si="72"/>
        <v/>
      </c>
      <c r="P1123" t="str">
        <f t="shared" si="73"/>
        <v/>
      </c>
      <c r="Q1123" t="str">
        <f>IF(OR($P1123="",$S1123=""),"",IFERROR($P1123-INDEX(Config!$E$15:$E$18,MATCH($S1123,Config!$B$15:$B$18,0)),""))</f>
        <v/>
      </c>
      <c r="R1123" t="str">
        <f t="shared" si="74"/>
        <v/>
      </c>
      <c r="S1123" s="6" t="str">
        <f>IF(OR($A1123="",$C1123=""),"",IFERROR(INDEX(Turno!$C$3:$V$32,MATCH($C1123,Turno!$B$3:$B$32,0),MATCH(DAY($A1123),Turno!$C$1:$V$1,0)),""))</f>
        <v/>
      </c>
      <c r="T1123" t="str">
        <f>IF(OR($E1123="",$S1123=""),"",IFERROR(MAX(0,ROUND((INDEX(Config!$D$15:$D$18,MATCH($S1123,Config!$B$15:$B$18,0))-$E1123)*1440,0)),""))</f>
        <v/>
      </c>
      <c r="U1123" s="13" t="str">
        <f>IF(OR($N1123="",$T1123=""),"",IFERROR(MAX(0,1-($N1123+$T1123+MAX(0,N($Q1123)))/ROUND((INDEX(Config!$D$15:$D$18,MATCH($S1123,Config!$B$15:$B$18,0))-INDEX(Config!$C$15:$C$18,MATCH($S1123,Config!$B$15:$B$18,0)))*1440,0)),""))</f>
        <v/>
      </c>
      <c r="V1123" s="5"/>
    </row>
    <row r="1124" spans="1:22" x14ac:dyDescent="0.25">
      <c r="A1124" s="11"/>
      <c r="B1124" s="5"/>
      <c r="C1124" s="6" t="str">
        <f>IFERROR(INDEX(Ejecutivos!$B$2:$B$100,MATCH(B1124,Ejecutivos!$A$2:$A$100,0)),"")</f>
        <v/>
      </c>
      <c r="D1124" s="12"/>
      <c r="E1124" s="12"/>
      <c r="F1124" s="12"/>
      <c r="G1124" s="12"/>
      <c r="H1124" s="5"/>
      <c r="I1124" s="5"/>
      <c r="J1124" s="5"/>
      <c r="K1124" s="5"/>
      <c r="L1124" s="18">
        <v>0</v>
      </c>
      <c r="M1124" t="str">
        <f t="shared" si="71"/>
        <v/>
      </c>
      <c r="N1124" t="str">
        <f>IF(OR($D1124="",$S1124=""),"",IFERROR(MAX(0,ROUND(($D1124-INDEX(Config!$C$15:$C$18,MATCH($S1124,Config!$B$15:$B$18,0)))*24*60,0)),""))</f>
        <v/>
      </c>
      <c r="O1124" t="str">
        <f t="shared" si="72"/>
        <v/>
      </c>
      <c r="P1124" t="str">
        <f t="shared" si="73"/>
        <v/>
      </c>
      <c r="Q1124" t="str">
        <f>IF(OR($P1124="",$S1124=""),"",IFERROR($P1124-INDEX(Config!$E$15:$E$18,MATCH($S1124,Config!$B$15:$B$18,0)),""))</f>
        <v/>
      </c>
      <c r="R1124" t="str">
        <f t="shared" si="74"/>
        <v/>
      </c>
      <c r="S1124" s="6" t="str">
        <f>IF(OR($A1124="",$C1124=""),"",IFERROR(INDEX(Turno!$C$3:$V$32,MATCH($C1124,Turno!$B$3:$B$32,0),MATCH(DAY($A1124),Turno!$C$1:$V$1,0)),""))</f>
        <v/>
      </c>
      <c r="T1124" t="str">
        <f>IF(OR($E1124="",$S1124=""),"",IFERROR(MAX(0,ROUND((INDEX(Config!$D$15:$D$18,MATCH($S1124,Config!$B$15:$B$18,0))-$E1124)*1440,0)),""))</f>
        <v/>
      </c>
      <c r="U1124" s="13" t="str">
        <f>IF(OR($N1124="",$T1124=""),"",IFERROR(MAX(0,1-($N1124+$T1124+MAX(0,N($Q1124)))/ROUND((INDEX(Config!$D$15:$D$18,MATCH($S1124,Config!$B$15:$B$18,0))-INDEX(Config!$C$15:$C$18,MATCH($S1124,Config!$B$15:$B$18,0)))*1440,0)),""))</f>
        <v/>
      </c>
      <c r="V1124" s="5"/>
    </row>
    <row r="1125" spans="1:22" x14ac:dyDescent="0.25">
      <c r="A1125" s="11"/>
      <c r="B1125" s="5"/>
      <c r="C1125" s="6" t="str">
        <f>IFERROR(INDEX(Ejecutivos!$B$2:$B$100,MATCH(B1125,Ejecutivos!$A$2:$A$100,0)),"")</f>
        <v/>
      </c>
      <c r="D1125" s="12"/>
      <c r="E1125" s="12"/>
      <c r="F1125" s="12"/>
      <c r="G1125" s="12"/>
      <c r="H1125" s="5"/>
      <c r="I1125" s="5"/>
      <c r="J1125" s="5"/>
      <c r="K1125" s="5"/>
      <c r="L1125" s="18">
        <v>0</v>
      </c>
      <c r="M1125" t="str">
        <f t="shared" si="71"/>
        <v/>
      </c>
      <c r="N1125" t="str">
        <f>IF(OR($D1125="",$S1125=""),"",IFERROR(MAX(0,ROUND(($D1125-INDEX(Config!$C$15:$C$18,MATCH($S1125,Config!$B$15:$B$18,0)))*24*60,0)),""))</f>
        <v/>
      </c>
      <c r="O1125" t="str">
        <f t="shared" si="72"/>
        <v/>
      </c>
      <c r="P1125" t="str">
        <f t="shared" si="73"/>
        <v/>
      </c>
      <c r="Q1125" t="str">
        <f>IF(OR($P1125="",$S1125=""),"",IFERROR($P1125-INDEX(Config!$E$15:$E$18,MATCH($S1125,Config!$B$15:$B$18,0)),""))</f>
        <v/>
      </c>
      <c r="R1125" t="str">
        <f t="shared" si="74"/>
        <v/>
      </c>
      <c r="S1125" s="6" t="str">
        <f>IF(OR($A1125="",$C1125=""),"",IFERROR(INDEX(Turno!$C$3:$V$32,MATCH($C1125,Turno!$B$3:$B$32,0),MATCH(DAY($A1125),Turno!$C$1:$V$1,0)),""))</f>
        <v/>
      </c>
      <c r="T1125" t="str">
        <f>IF(OR($E1125="",$S1125=""),"",IFERROR(MAX(0,ROUND((INDEX(Config!$D$15:$D$18,MATCH($S1125,Config!$B$15:$B$18,0))-$E1125)*1440,0)),""))</f>
        <v/>
      </c>
      <c r="U1125" s="13" t="str">
        <f>IF(OR($N1125="",$T1125=""),"",IFERROR(MAX(0,1-($N1125+$T1125+MAX(0,N($Q1125)))/ROUND((INDEX(Config!$D$15:$D$18,MATCH($S1125,Config!$B$15:$B$18,0))-INDEX(Config!$C$15:$C$18,MATCH($S1125,Config!$B$15:$B$18,0)))*1440,0)),""))</f>
        <v/>
      </c>
      <c r="V1125" s="5"/>
    </row>
    <row r="1126" spans="1:22" x14ac:dyDescent="0.25">
      <c r="A1126" s="11"/>
      <c r="B1126" s="5"/>
      <c r="C1126" s="6" t="str">
        <f>IFERROR(INDEX(Ejecutivos!$B$2:$B$100,MATCH(B1126,Ejecutivos!$A$2:$A$100,0)),"")</f>
        <v/>
      </c>
      <c r="D1126" s="12"/>
      <c r="E1126" s="12"/>
      <c r="F1126" s="12"/>
      <c r="G1126" s="12"/>
      <c r="H1126" s="5"/>
      <c r="I1126" s="5"/>
      <c r="J1126" s="5"/>
      <c r="K1126" s="5"/>
      <c r="L1126" s="18">
        <v>0</v>
      </c>
      <c r="M1126" t="str">
        <f t="shared" si="71"/>
        <v/>
      </c>
      <c r="N1126" t="str">
        <f>IF(OR($D1126="",$S1126=""),"",IFERROR(MAX(0,ROUND(($D1126-INDEX(Config!$C$15:$C$18,MATCH($S1126,Config!$B$15:$B$18,0)))*24*60,0)),""))</f>
        <v/>
      </c>
      <c r="O1126" t="str">
        <f t="shared" si="72"/>
        <v/>
      </c>
      <c r="P1126" t="str">
        <f t="shared" si="73"/>
        <v/>
      </c>
      <c r="Q1126" t="str">
        <f>IF(OR($P1126="",$S1126=""),"",IFERROR($P1126-INDEX(Config!$E$15:$E$18,MATCH($S1126,Config!$B$15:$B$18,0)),""))</f>
        <v/>
      </c>
      <c r="R1126" t="str">
        <f t="shared" si="74"/>
        <v/>
      </c>
      <c r="S1126" s="6" t="str">
        <f>IF(OR($A1126="",$C1126=""),"",IFERROR(INDEX(Turno!$C$3:$V$32,MATCH($C1126,Turno!$B$3:$B$32,0),MATCH(DAY($A1126),Turno!$C$1:$V$1,0)),""))</f>
        <v/>
      </c>
      <c r="T1126" t="str">
        <f>IF(OR($E1126="",$S1126=""),"",IFERROR(MAX(0,ROUND((INDEX(Config!$D$15:$D$18,MATCH($S1126,Config!$B$15:$B$18,0))-$E1126)*1440,0)),""))</f>
        <v/>
      </c>
      <c r="U1126" s="13" t="str">
        <f>IF(OR($N1126="",$T1126=""),"",IFERROR(MAX(0,1-($N1126+$T1126+MAX(0,N($Q1126)))/ROUND((INDEX(Config!$D$15:$D$18,MATCH($S1126,Config!$B$15:$B$18,0))-INDEX(Config!$C$15:$C$18,MATCH($S1126,Config!$B$15:$B$18,0)))*1440,0)),""))</f>
        <v/>
      </c>
      <c r="V1126" s="5"/>
    </row>
    <row r="1127" spans="1:22" x14ac:dyDescent="0.25">
      <c r="A1127" s="11"/>
      <c r="B1127" s="5"/>
      <c r="C1127" s="6" t="str">
        <f>IFERROR(INDEX(Ejecutivos!$B$2:$B$100,MATCH(B1127,Ejecutivos!$A$2:$A$100,0)),"")</f>
        <v/>
      </c>
      <c r="D1127" s="12"/>
      <c r="E1127" s="12"/>
      <c r="F1127" s="12"/>
      <c r="G1127" s="12"/>
      <c r="H1127" s="5"/>
      <c r="I1127" s="5"/>
      <c r="J1127" s="5"/>
      <c r="K1127" s="5"/>
      <c r="L1127" s="18">
        <v>0</v>
      </c>
      <c r="M1127" t="str">
        <f t="shared" si="71"/>
        <v/>
      </c>
      <c r="N1127" t="str">
        <f>IF(OR($D1127="",$S1127=""),"",IFERROR(MAX(0,ROUND(($D1127-INDEX(Config!$C$15:$C$18,MATCH($S1127,Config!$B$15:$B$18,0)))*24*60,0)),""))</f>
        <v/>
      </c>
      <c r="O1127" t="str">
        <f t="shared" si="72"/>
        <v/>
      </c>
      <c r="P1127" t="str">
        <f t="shared" si="73"/>
        <v/>
      </c>
      <c r="Q1127" t="str">
        <f>IF(OR($P1127="",$S1127=""),"",IFERROR($P1127-INDEX(Config!$E$15:$E$18,MATCH($S1127,Config!$B$15:$B$18,0)),""))</f>
        <v/>
      </c>
      <c r="R1127" t="str">
        <f t="shared" si="74"/>
        <v/>
      </c>
      <c r="S1127" s="6" t="str">
        <f>IF(OR($A1127="",$C1127=""),"",IFERROR(INDEX(Turno!$C$3:$V$32,MATCH($C1127,Turno!$B$3:$B$32,0),MATCH(DAY($A1127),Turno!$C$1:$V$1,0)),""))</f>
        <v/>
      </c>
      <c r="T1127" t="str">
        <f>IF(OR($E1127="",$S1127=""),"",IFERROR(MAX(0,ROUND((INDEX(Config!$D$15:$D$18,MATCH($S1127,Config!$B$15:$B$18,0))-$E1127)*1440,0)),""))</f>
        <v/>
      </c>
      <c r="U1127" s="13" t="str">
        <f>IF(OR($N1127="",$T1127=""),"",IFERROR(MAX(0,1-($N1127+$T1127+MAX(0,N($Q1127)))/ROUND((INDEX(Config!$D$15:$D$18,MATCH($S1127,Config!$B$15:$B$18,0))-INDEX(Config!$C$15:$C$18,MATCH($S1127,Config!$B$15:$B$18,0)))*1440,0)),""))</f>
        <v/>
      </c>
      <c r="V1127" s="5"/>
    </row>
    <row r="1128" spans="1:22" x14ac:dyDescent="0.25">
      <c r="A1128" s="11"/>
      <c r="B1128" s="5"/>
      <c r="C1128" s="6" t="str">
        <f>IFERROR(INDEX(Ejecutivos!$B$2:$B$100,MATCH(B1128,Ejecutivos!$A$2:$A$100,0)),"")</f>
        <v/>
      </c>
      <c r="D1128" s="12"/>
      <c r="E1128" s="12"/>
      <c r="F1128" s="12"/>
      <c r="G1128" s="12"/>
      <c r="H1128" s="5"/>
      <c r="I1128" s="5"/>
      <c r="J1128" s="5"/>
      <c r="K1128" s="5"/>
      <c r="L1128" s="18">
        <v>0</v>
      </c>
      <c r="M1128" t="str">
        <f t="shared" si="71"/>
        <v/>
      </c>
      <c r="N1128" t="str">
        <f>IF(OR($D1128="",$S1128=""),"",IFERROR(MAX(0,ROUND(($D1128-INDEX(Config!$C$15:$C$18,MATCH($S1128,Config!$B$15:$B$18,0)))*24*60,0)),""))</f>
        <v/>
      </c>
      <c r="O1128" t="str">
        <f t="shared" si="72"/>
        <v/>
      </c>
      <c r="P1128" t="str">
        <f t="shared" si="73"/>
        <v/>
      </c>
      <c r="Q1128" t="str">
        <f>IF(OR($P1128="",$S1128=""),"",IFERROR($P1128-INDEX(Config!$E$15:$E$18,MATCH($S1128,Config!$B$15:$B$18,0)),""))</f>
        <v/>
      </c>
      <c r="R1128" t="str">
        <f t="shared" si="74"/>
        <v/>
      </c>
      <c r="S1128" s="6" t="str">
        <f>IF(OR($A1128="",$C1128=""),"",IFERROR(INDEX(Turno!$C$3:$V$32,MATCH($C1128,Turno!$B$3:$B$32,0),MATCH(DAY($A1128),Turno!$C$1:$V$1,0)),""))</f>
        <v/>
      </c>
      <c r="T1128" t="str">
        <f>IF(OR($E1128="",$S1128=""),"",IFERROR(MAX(0,ROUND((INDEX(Config!$D$15:$D$18,MATCH($S1128,Config!$B$15:$B$18,0))-$E1128)*1440,0)),""))</f>
        <v/>
      </c>
      <c r="U1128" s="13" t="str">
        <f>IF(OR($N1128="",$T1128=""),"",IFERROR(MAX(0,1-($N1128+$T1128+MAX(0,N($Q1128)))/ROUND((INDEX(Config!$D$15:$D$18,MATCH($S1128,Config!$B$15:$B$18,0))-INDEX(Config!$C$15:$C$18,MATCH($S1128,Config!$B$15:$B$18,0)))*1440,0)),""))</f>
        <v/>
      </c>
      <c r="V1128" s="5"/>
    </row>
    <row r="1129" spans="1:22" x14ac:dyDescent="0.25">
      <c r="A1129" s="11"/>
      <c r="B1129" s="5"/>
      <c r="C1129" s="6" t="str">
        <f>IFERROR(INDEX(Ejecutivos!$B$2:$B$100,MATCH(B1129,Ejecutivos!$A$2:$A$100,0)),"")</f>
        <v/>
      </c>
      <c r="D1129" s="12"/>
      <c r="E1129" s="12"/>
      <c r="F1129" s="12"/>
      <c r="G1129" s="12"/>
      <c r="H1129" s="5"/>
      <c r="I1129" s="5"/>
      <c r="J1129" s="5"/>
      <c r="K1129" s="5"/>
      <c r="L1129" s="18">
        <v>0</v>
      </c>
      <c r="M1129" t="str">
        <f t="shared" si="71"/>
        <v/>
      </c>
      <c r="N1129" t="str">
        <f>IF(OR($D1129="",$S1129=""),"",IFERROR(MAX(0,ROUND(($D1129-INDEX(Config!$C$15:$C$18,MATCH($S1129,Config!$B$15:$B$18,0)))*24*60,0)),""))</f>
        <v/>
      </c>
      <c r="O1129" t="str">
        <f t="shared" si="72"/>
        <v/>
      </c>
      <c r="P1129" t="str">
        <f t="shared" si="73"/>
        <v/>
      </c>
      <c r="Q1129" t="str">
        <f>IF(OR($P1129="",$S1129=""),"",IFERROR($P1129-INDEX(Config!$E$15:$E$18,MATCH($S1129,Config!$B$15:$B$18,0)),""))</f>
        <v/>
      </c>
      <c r="R1129" t="str">
        <f t="shared" si="74"/>
        <v/>
      </c>
      <c r="S1129" s="6" t="str">
        <f>IF(OR($A1129="",$C1129=""),"",IFERROR(INDEX(Turno!$C$3:$V$32,MATCH($C1129,Turno!$B$3:$B$32,0),MATCH(DAY($A1129),Turno!$C$1:$V$1,0)),""))</f>
        <v/>
      </c>
      <c r="T1129" t="str">
        <f>IF(OR($E1129="",$S1129=""),"",IFERROR(MAX(0,ROUND((INDEX(Config!$D$15:$D$18,MATCH($S1129,Config!$B$15:$B$18,0))-$E1129)*1440,0)),""))</f>
        <v/>
      </c>
      <c r="U1129" s="13" t="str">
        <f>IF(OR($N1129="",$T1129=""),"",IFERROR(MAX(0,1-($N1129+$T1129+MAX(0,N($Q1129)))/ROUND((INDEX(Config!$D$15:$D$18,MATCH($S1129,Config!$B$15:$B$18,0))-INDEX(Config!$C$15:$C$18,MATCH($S1129,Config!$B$15:$B$18,0)))*1440,0)),""))</f>
        <v/>
      </c>
      <c r="V1129" s="5"/>
    </row>
    <row r="1130" spans="1:22" x14ac:dyDescent="0.25">
      <c r="A1130" s="11"/>
      <c r="B1130" s="5"/>
      <c r="C1130" s="6" t="str">
        <f>IFERROR(INDEX(Ejecutivos!$B$2:$B$100,MATCH(B1130,Ejecutivos!$A$2:$A$100,0)),"")</f>
        <v/>
      </c>
      <c r="D1130" s="12"/>
      <c r="E1130" s="12"/>
      <c r="F1130" s="12"/>
      <c r="G1130" s="12"/>
      <c r="H1130" s="5"/>
      <c r="I1130" s="5"/>
      <c r="J1130" s="5"/>
      <c r="K1130" s="5"/>
      <c r="L1130" s="18">
        <v>0</v>
      </c>
      <c r="M1130" t="str">
        <f t="shared" si="71"/>
        <v/>
      </c>
      <c r="N1130" t="str">
        <f>IF(OR($D1130="",$S1130=""),"",IFERROR(MAX(0,ROUND(($D1130-INDEX(Config!$C$15:$C$18,MATCH($S1130,Config!$B$15:$B$18,0)))*24*60,0)),""))</f>
        <v/>
      </c>
      <c r="O1130" t="str">
        <f t="shared" si="72"/>
        <v/>
      </c>
      <c r="P1130" t="str">
        <f t="shared" si="73"/>
        <v/>
      </c>
      <c r="Q1130" t="str">
        <f>IF(OR($P1130="",$S1130=""),"",IFERROR($P1130-INDEX(Config!$E$15:$E$18,MATCH($S1130,Config!$B$15:$B$18,0)),""))</f>
        <v/>
      </c>
      <c r="R1130" t="str">
        <f t="shared" si="74"/>
        <v/>
      </c>
      <c r="S1130" s="6" t="str">
        <f>IF(OR($A1130="",$C1130=""),"",IFERROR(INDEX(Turno!$C$3:$V$32,MATCH($C1130,Turno!$B$3:$B$32,0),MATCH(DAY($A1130),Turno!$C$1:$V$1,0)),""))</f>
        <v/>
      </c>
      <c r="T1130" t="str">
        <f>IF(OR($E1130="",$S1130=""),"",IFERROR(MAX(0,ROUND((INDEX(Config!$D$15:$D$18,MATCH($S1130,Config!$B$15:$B$18,0))-$E1130)*1440,0)),""))</f>
        <v/>
      </c>
      <c r="U1130" s="13" t="str">
        <f>IF(OR($N1130="",$T1130=""),"",IFERROR(MAX(0,1-($N1130+$T1130+MAX(0,N($Q1130)))/ROUND((INDEX(Config!$D$15:$D$18,MATCH($S1130,Config!$B$15:$B$18,0))-INDEX(Config!$C$15:$C$18,MATCH($S1130,Config!$B$15:$B$18,0)))*1440,0)),""))</f>
        <v/>
      </c>
      <c r="V1130" s="5"/>
    </row>
    <row r="1131" spans="1:22" x14ac:dyDescent="0.25">
      <c r="A1131" s="11"/>
      <c r="B1131" s="5"/>
      <c r="C1131" s="6" t="str">
        <f>IFERROR(INDEX(Ejecutivos!$B$2:$B$100,MATCH(B1131,Ejecutivos!$A$2:$A$100,0)),"")</f>
        <v/>
      </c>
      <c r="D1131" s="12"/>
      <c r="E1131" s="12"/>
      <c r="F1131" s="12"/>
      <c r="G1131" s="12"/>
      <c r="H1131" s="5"/>
      <c r="I1131" s="5"/>
      <c r="J1131" s="5"/>
      <c r="K1131" s="5"/>
      <c r="L1131" s="18">
        <v>0</v>
      </c>
      <c r="M1131" t="str">
        <f t="shared" si="71"/>
        <v/>
      </c>
      <c r="N1131" t="str">
        <f>IF(OR($D1131="",$S1131=""),"",IFERROR(MAX(0,ROUND(($D1131-INDEX(Config!$C$15:$C$18,MATCH($S1131,Config!$B$15:$B$18,0)))*24*60,0)),""))</f>
        <v/>
      </c>
      <c r="O1131" t="str">
        <f t="shared" si="72"/>
        <v/>
      </c>
      <c r="P1131" t="str">
        <f t="shared" si="73"/>
        <v/>
      </c>
      <c r="Q1131" t="str">
        <f>IF(OR($P1131="",$S1131=""),"",IFERROR($P1131-INDEX(Config!$E$15:$E$18,MATCH($S1131,Config!$B$15:$B$18,0)),""))</f>
        <v/>
      </c>
      <c r="R1131" t="str">
        <f t="shared" si="74"/>
        <v/>
      </c>
      <c r="S1131" s="6" t="str">
        <f>IF(OR($A1131="",$C1131=""),"",IFERROR(INDEX(Turno!$C$3:$V$32,MATCH($C1131,Turno!$B$3:$B$32,0),MATCH(DAY($A1131),Turno!$C$1:$V$1,0)),""))</f>
        <v/>
      </c>
      <c r="T1131" t="str">
        <f>IF(OR($E1131="",$S1131=""),"",IFERROR(MAX(0,ROUND((INDEX(Config!$D$15:$D$18,MATCH($S1131,Config!$B$15:$B$18,0))-$E1131)*1440,0)),""))</f>
        <v/>
      </c>
      <c r="U1131" s="13" t="str">
        <f>IF(OR($N1131="",$T1131=""),"",IFERROR(MAX(0,1-($N1131+$T1131+MAX(0,N($Q1131)))/ROUND((INDEX(Config!$D$15:$D$18,MATCH($S1131,Config!$B$15:$B$18,0))-INDEX(Config!$C$15:$C$18,MATCH($S1131,Config!$B$15:$B$18,0)))*1440,0)),""))</f>
        <v/>
      </c>
      <c r="V1131" s="5"/>
    </row>
    <row r="1132" spans="1:22" x14ac:dyDescent="0.25">
      <c r="A1132" s="11"/>
      <c r="B1132" s="5"/>
      <c r="C1132" s="6" t="str">
        <f>IFERROR(INDEX(Ejecutivos!$B$2:$B$100,MATCH(B1132,Ejecutivos!$A$2:$A$100,0)),"")</f>
        <v/>
      </c>
      <c r="D1132" s="12"/>
      <c r="E1132" s="12"/>
      <c r="F1132" s="12"/>
      <c r="G1132" s="12"/>
      <c r="H1132" s="5"/>
      <c r="I1132" s="5"/>
      <c r="J1132" s="5"/>
      <c r="K1132" s="5"/>
      <c r="L1132" s="18">
        <v>0</v>
      </c>
      <c r="M1132" t="str">
        <f t="shared" si="71"/>
        <v/>
      </c>
      <c r="N1132" t="str">
        <f>IF(OR($D1132="",$S1132=""),"",IFERROR(MAX(0,ROUND(($D1132-INDEX(Config!$C$15:$C$18,MATCH($S1132,Config!$B$15:$B$18,0)))*24*60,0)),""))</f>
        <v/>
      </c>
      <c r="O1132" t="str">
        <f t="shared" si="72"/>
        <v/>
      </c>
      <c r="P1132" t="str">
        <f t="shared" si="73"/>
        <v/>
      </c>
      <c r="Q1132" t="str">
        <f>IF(OR($P1132="",$S1132=""),"",IFERROR($P1132-INDEX(Config!$E$15:$E$18,MATCH($S1132,Config!$B$15:$B$18,0)),""))</f>
        <v/>
      </c>
      <c r="R1132" t="str">
        <f t="shared" si="74"/>
        <v/>
      </c>
      <c r="S1132" s="6" t="str">
        <f>IF(OR($A1132="",$C1132=""),"",IFERROR(INDEX(Turno!$C$3:$V$32,MATCH($C1132,Turno!$B$3:$B$32,0),MATCH(DAY($A1132),Turno!$C$1:$V$1,0)),""))</f>
        <v/>
      </c>
      <c r="T1132" t="str">
        <f>IF(OR($E1132="",$S1132=""),"",IFERROR(MAX(0,ROUND((INDEX(Config!$D$15:$D$18,MATCH($S1132,Config!$B$15:$B$18,0))-$E1132)*1440,0)),""))</f>
        <v/>
      </c>
      <c r="U1132" s="13" t="str">
        <f>IF(OR($N1132="",$T1132=""),"",IFERROR(MAX(0,1-($N1132+$T1132+MAX(0,N($Q1132)))/ROUND((INDEX(Config!$D$15:$D$18,MATCH($S1132,Config!$B$15:$B$18,0))-INDEX(Config!$C$15:$C$18,MATCH($S1132,Config!$B$15:$B$18,0)))*1440,0)),""))</f>
        <v/>
      </c>
      <c r="V1132" s="5"/>
    </row>
    <row r="1133" spans="1:22" x14ac:dyDescent="0.25">
      <c r="A1133" s="11"/>
      <c r="B1133" s="5"/>
      <c r="C1133" s="6" t="str">
        <f>IFERROR(INDEX(Ejecutivos!$B$2:$B$100,MATCH(B1133,Ejecutivos!$A$2:$A$100,0)),"")</f>
        <v/>
      </c>
      <c r="D1133" s="12"/>
      <c r="E1133" s="12"/>
      <c r="F1133" s="12"/>
      <c r="G1133" s="12"/>
      <c r="H1133" s="5"/>
      <c r="I1133" s="5"/>
      <c r="J1133" s="5"/>
      <c r="K1133" s="5"/>
      <c r="L1133" s="18">
        <v>0</v>
      </c>
      <c r="M1133" t="str">
        <f t="shared" si="71"/>
        <v/>
      </c>
      <c r="N1133" t="str">
        <f>IF(OR($D1133="",$S1133=""),"",IFERROR(MAX(0,ROUND(($D1133-INDEX(Config!$C$15:$C$18,MATCH($S1133,Config!$B$15:$B$18,0)))*24*60,0)),""))</f>
        <v/>
      </c>
      <c r="O1133" t="str">
        <f t="shared" si="72"/>
        <v/>
      </c>
      <c r="P1133" t="str">
        <f t="shared" si="73"/>
        <v/>
      </c>
      <c r="Q1133" t="str">
        <f>IF(OR($P1133="",$S1133=""),"",IFERROR($P1133-INDEX(Config!$E$15:$E$18,MATCH($S1133,Config!$B$15:$B$18,0)),""))</f>
        <v/>
      </c>
      <c r="R1133" t="str">
        <f t="shared" si="74"/>
        <v/>
      </c>
      <c r="S1133" s="6" t="str">
        <f>IF(OR($A1133="",$C1133=""),"",IFERROR(INDEX(Turno!$C$3:$V$32,MATCH($C1133,Turno!$B$3:$B$32,0),MATCH(DAY($A1133),Turno!$C$1:$V$1,0)),""))</f>
        <v/>
      </c>
      <c r="T1133" t="str">
        <f>IF(OR($E1133="",$S1133=""),"",IFERROR(MAX(0,ROUND((INDEX(Config!$D$15:$D$18,MATCH($S1133,Config!$B$15:$B$18,0))-$E1133)*1440,0)),""))</f>
        <v/>
      </c>
      <c r="U1133" s="13" t="str">
        <f>IF(OR($N1133="",$T1133=""),"",IFERROR(MAX(0,1-($N1133+$T1133+MAX(0,N($Q1133)))/ROUND((INDEX(Config!$D$15:$D$18,MATCH($S1133,Config!$B$15:$B$18,0))-INDEX(Config!$C$15:$C$18,MATCH($S1133,Config!$B$15:$B$18,0)))*1440,0)),""))</f>
        <v/>
      </c>
      <c r="V1133" s="5"/>
    </row>
    <row r="1134" spans="1:22" x14ac:dyDescent="0.25">
      <c r="A1134" s="11"/>
      <c r="B1134" s="5"/>
      <c r="C1134" s="6" t="str">
        <f>IFERROR(INDEX(Ejecutivos!$B$2:$B$100,MATCH(B1134,Ejecutivos!$A$2:$A$100,0)),"")</f>
        <v/>
      </c>
      <c r="D1134" s="12"/>
      <c r="E1134" s="12"/>
      <c r="F1134" s="12"/>
      <c r="G1134" s="12"/>
      <c r="H1134" s="5"/>
      <c r="I1134" s="5"/>
      <c r="J1134" s="5"/>
      <c r="K1134" s="5"/>
      <c r="L1134" s="18">
        <v>0</v>
      </c>
      <c r="M1134" t="str">
        <f t="shared" si="71"/>
        <v/>
      </c>
      <c r="N1134" t="str">
        <f>IF(OR($D1134="",$S1134=""),"",IFERROR(MAX(0,ROUND(($D1134-INDEX(Config!$C$15:$C$18,MATCH($S1134,Config!$B$15:$B$18,0)))*24*60,0)),""))</f>
        <v/>
      </c>
      <c r="O1134" t="str">
        <f t="shared" si="72"/>
        <v/>
      </c>
      <c r="P1134" t="str">
        <f t="shared" si="73"/>
        <v/>
      </c>
      <c r="Q1134" t="str">
        <f>IF(OR($P1134="",$S1134=""),"",IFERROR($P1134-INDEX(Config!$E$15:$E$18,MATCH($S1134,Config!$B$15:$B$18,0)),""))</f>
        <v/>
      </c>
      <c r="R1134" t="str">
        <f t="shared" si="74"/>
        <v/>
      </c>
      <c r="S1134" s="6" t="str">
        <f>IF(OR($A1134="",$C1134=""),"",IFERROR(INDEX(Turno!$C$3:$V$32,MATCH($C1134,Turno!$B$3:$B$32,0),MATCH(DAY($A1134),Turno!$C$1:$V$1,0)),""))</f>
        <v/>
      </c>
      <c r="T1134" t="str">
        <f>IF(OR($E1134="",$S1134=""),"",IFERROR(MAX(0,ROUND((INDEX(Config!$D$15:$D$18,MATCH($S1134,Config!$B$15:$B$18,0))-$E1134)*1440,0)),""))</f>
        <v/>
      </c>
      <c r="U1134" s="13" t="str">
        <f>IF(OR($N1134="",$T1134=""),"",IFERROR(MAX(0,1-($N1134+$T1134+MAX(0,N($Q1134)))/ROUND((INDEX(Config!$D$15:$D$18,MATCH($S1134,Config!$B$15:$B$18,0))-INDEX(Config!$C$15:$C$18,MATCH($S1134,Config!$B$15:$B$18,0)))*1440,0)),""))</f>
        <v/>
      </c>
      <c r="V1134" s="5"/>
    </row>
    <row r="1135" spans="1:22" x14ac:dyDescent="0.25">
      <c r="A1135" s="11"/>
      <c r="B1135" s="5"/>
      <c r="C1135" s="6" t="str">
        <f>IFERROR(INDEX(Ejecutivos!$B$2:$B$100,MATCH(B1135,Ejecutivos!$A$2:$A$100,0)),"")</f>
        <v/>
      </c>
      <c r="D1135" s="12"/>
      <c r="E1135" s="12"/>
      <c r="F1135" s="12"/>
      <c r="G1135" s="12"/>
      <c r="H1135" s="5"/>
      <c r="I1135" s="5"/>
      <c r="J1135" s="5"/>
      <c r="K1135" s="5"/>
      <c r="L1135" s="18">
        <v>0</v>
      </c>
      <c r="M1135" t="str">
        <f t="shared" si="71"/>
        <v/>
      </c>
      <c r="N1135" t="str">
        <f>IF(OR($D1135="",$S1135=""),"",IFERROR(MAX(0,ROUND(($D1135-INDEX(Config!$C$15:$C$18,MATCH($S1135,Config!$B$15:$B$18,0)))*24*60,0)),""))</f>
        <v/>
      </c>
      <c r="O1135" t="str">
        <f t="shared" si="72"/>
        <v/>
      </c>
      <c r="P1135" t="str">
        <f t="shared" si="73"/>
        <v/>
      </c>
      <c r="Q1135" t="str">
        <f>IF(OR($P1135="",$S1135=""),"",IFERROR($P1135-INDEX(Config!$E$15:$E$18,MATCH($S1135,Config!$B$15:$B$18,0)),""))</f>
        <v/>
      </c>
      <c r="R1135" t="str">
        <f t="shared" si="74"/>
        <v/>
      </c>
      <c r="S1135" s="6" t="str">
        <f>IF(OR($A1135="",$C1135=""),"",IFERROR(INDEX(Turno!$C$3:$V$32,MATCH($C1135,Turno!$B$3:$B$32,0),MATCH(DAY($A1135),Turno!$C$1:$V$1,0)),""))</f>
        <v/>
      </c>
      <c r="T1135" t="str">
        <f>IF(OR($E1135="",$S1135=""),"",IFERROR(MAX(0,ROUND((INDEX(Config!$D$15:$D$18,MATCH($S1135,Config!$B$15:$B$18,0))-$E1135)*1440,0)),""))</f>
        <v/>
      </c>
      <c r="U1135" s="13" t="str">
        <f>IF(OR($N1135="",$T1135=""),"",IFERROR(MAX(0,1-($N1135+$T1135+MAX(0,N($Q1135)))/ROUND((INDEX(Config!$D$15:$D$18,MATCH($S1135,Config!$B$15:$B$18,0))-INDEX(Config!$C$15:$C$18,MATCH($S1135,Config!$B$15:$B$18,0)))*1440,0)),""))</f>
        <v/>
      </c>
      <c r="V1135" s="5"/>
    </row>
    <row r="1136" spans="1:22" x14ac:dyDescent="0.25">
      <c r="A1136" s="11"/>
      <c r="B1136" s="5"/>
      <c r="C1136" s="6" t="str">
        <f>IFERROR(INDEX(Ejecutivos!$B$2:$B$100,MATCH(B1136,Ejecutivos!$A$2:$A$100,0)),"")</f>
        <v/>
      </c>
      <c r="D1136" s="12"/>
      <c r="E1136" s="12"/>
      <c r="F1136" s="12"/>
      <c r="G1136" s="12"/>
      <c r="H1136" s="5"/>
      <c r="I1136" s="5"/>
      <c r="J1136" s="5"/>
      <c r="K1136" s="5"/>
      <c r="L1136" s="18">
        <v>0</v>
      </c>
      <c r="M1136" t="str">
        <f t="shared" si="71"/>
        <v/>
      </c>
      <c r="N1136" t="str">
        <f>IF(OR($D1136="",$S1136=""),"",IFERROR(MAX(0,ROUND(($D1136-INDEX(Config!$C$15:$C$18,MATCH($S1136,Config!$B$15:$B$18,0)))*24*60,0)),""))</f>
        <v/>
      </c>
      <c r="O1136" t="str">
        <f t="shared" si="72"/>
        <v/>
      </c>
      <c r="P1136" t="str">
        <f t="shared" si="73"/>
        <v/>
      </c>
      <c r="Q1136" t="str">
        <f>IF(OR($P1136="",$S1136=""),"",IFERROR($P1136-INDEX(Config!$E$15:$E$18,MATCH($S1136,Config!$B$15:$B$18,0)),""))</f>
        <v/>
      </c>
      <c r="R1136" t="str">
        <f t="shared" si="74"/>
        <v/>
      </c>
      <c r="S1136" s="6" t="str">
        <f>IF(OR($A1136="",$C1136=""),"",IFERROR(INDEX(Turno!$C$3:$V$32,MATCH($C1136,Turno!$B$3:$B$32,0),MATCH(DAY($A1136),Turno!$C$1:$V$1,0)),""))</f>
        <v/>
      </c>
      <c r="T1136" t="str">
        <f>IF(OR($E1136="",$S1136=""),"",IFERROR(MAX(0,ROUND((INDEX(Config!$D$15:$D$18,MATCH($S1136,Config!$B$15:$B$18,0))-$E1136)*1440,0)),""))</f>
        <v/>
      </c>
      <c r="U1136" s="13" t="str">
        <f>IF(OR($N1136="",$T1136=""),"",IFERROR(MAX(0,1-($N1136+$T1136+MAX(0,N($Q1136)))/ROUND((INDEX(Config!$D$15:$D$18,MATCH($S1136,Config!$B$15:$B$18,0))-INDEX(Config!$C$15:$C$18,MATCH($S1136,Config!$B$15:$B$18,0)))*1440,0)),""))</f>
        <v/>
      </c>
      <c r="V1136" s="5"/>
    </row>
    <row r="1137" spans="1:22" x14ac:dyDescent="0.25">
      <c r="A1137" s="11"/>
      <c r="B1137" s="5"/>
      <c r="C1137" s="6" t="str">
        <f>IFERROR(INDEX(Ejecutivos!$B$2:$B$100,MATCH(B1137,Ejecutivos!$A$2:$A$100,0)),"")</f>
        <v/>
      </c>
      <c r="D1137" s="12"/>
      <c r="E1137" s="12"/>
      <c r="F1137" s="12"/>
      <c r="G1137" s="12"/>
      <c r="H1137" s="5"/>
      <c r="I1137" s="5"/>
      <c r="J1137" s="5"/>
      <c r="K1137" s="5"/>
      <c r="L1137" s="18">
        <v>0</v>
      </c>
      <c r="M1137" t="str">
        <f t="shared" si="71"/>
        <v/>
      </c>
      <c r="N1137" t="str">
        <f>IF(OR($D1137="",$S1137=""),"",IFERROR(MAX(0,ROUND(($D1137-INDEX(Config!$C$15:$C$18,MATCH($S1137,Config!$B$15:$B$18,0)))*24*60,0)),""))</f>
        <v/>
      </c>
      <c r="O1137" t="str">
        <f t="shared" si="72"/>
        <v/>
      </c>
      <c r="P1137" t="str">
        <f t="shared" si="73"/>
        <v/>
      </c>
      <c r="Q1137" t="str">
        <f>IF(OR($P1137="",$S1137=""),"",IFERROR($P1137-INDEX(Config!$E$15:$E$18,MATCH($S1137,Config!$B$15:$B$18,0)),""))</f>
        <v/>
      </c>
      <c r="R1137" t="str">
        <f t="shared" si="74"/>
        <v/>
      </c>
      <c r="S1137" s="6" t="str">
        <f>IF(OR($A1137="",$C1137=""),"",IFERROR(INDEX(Turno!$C$3:$V$32,MATCH($C1137,Turno!$B$3:$B$32,0),MATCH(DAY($A1137),Turno!$C$1:$V$1,0)),""))</f>
        <v/>
      </c>
      <c r="T1137" t="str">
        <f>IF(OR($E1137="",$S1137=""),"",IFERROR(MAX(0,ROUND((INDEX(Config!$D$15:$D$18,MATCH($S1137,Config!$B$15:$B$18,0))-$E1137)*1440,0)),""))</f>
        <v/>
      </c>
      <c r="U1137" s="13" t="str">
        <f>IF(OR($N1137="",$T1137=""),"",IFERROR(MAX(0,1-($N1137+$T1137+MAX(0,N($Q1137)))/ROUND((INDEX(Config!$D$15:$D$18,MATCH($S1137,Config!$B$15:$B$18,0))-INDEX(Config!$C$15:$C$18,MATCH($S1137,Config!$B$15:$B$18,0)))*1440,0)),""))</f>
        <v/>
      </c>
      <c r="V1137" s="5"/>
    </row>
    <row r="1138" spans="1:22" x14ac:dyDescent="0.25">
      <c r="A1138" s="11"/>
      <c r="B1138" s="5"/>
      <c r="C1138" s="6" t="str">
        <f>IFERROR(INDEX(Ejecutivos!$B$2:$B$100,MATCH(B1138,Ejecutivos!$A$2:$A$100,0)),"")</f>
        <v/>
      </c>
      <c r="D1138" s="12"/>
      <c r="E1138" s="12"/>
      <c r="F1138" s="12"/>
      <c r="G1138" s="12"/>
      <c r="H1138" s="5"/>
      <c r="I1138" s="5"/>
      <c r="J1138" s="5"/>
      <c r="K1138" s="5"/>
      <c r="L1138" s="18">
        <v>0</v>
      </c>
      <c r="M1138" t="str">
        <f t="shared" si="71"/>
        <v/>
      </c>
      <c r="N1138" t="str">
        <f>IF(OR($D1138="",$S1138=""),"",IFERROR(MAX(0,ROUND(($D1138-INDEX(Config!$C$15:$C$18,MATCH($S1138,Config!$B$15:$B$18,0)))*24*60,0)),""))</f>
        <v/>
      </c>
      <c r="O1138" t="str">
        <f t="shared" si="72"/>
        <v/>
      </c>
      <c r="P1138" t="str">
        <f t="shared" si="73"/>
        <v/>
      </c>
      <c r="Q1138" t="str">
        <f>IF(OR($P1138="",$S1138=""),"",IFERROR($P1138-INDEX(Config!$E$15:$E$18,MATCH($S1138,Config!$B$15:$B$18,0)),""))</f>
        <v/>
      </c>
      <c r="R1138" t="str">
        <f t="shared" si="74"/>
        <v/>
      </c>
      <c r="S1138" s="6" t="str">
        <f>IF(OR($A1138="",$C1138=""),"",IFERROR(INDEX(Turno!$C$3:$V$32,MATCH($C1138,Turno!$B$3:$B$32,0),MATCH(DAY($A1138),Turno!$C$1:$V$1,0)),""))</f>
        <v/>
      </c>
      <c r="T1138" t="str">
        <f>IF(OR($E1138="",$S1138=""),"",IFERROR(MAX(0,ROUND((INDEX(Config!$D$15:$D$18,MATCH($S1138,Config!$B$15:$B$18,0))-$E1138)*1440,0)),""))</f>
        <v/>
      </c>
      <c r="U1138" s="13" t="str">
        <f>IF(OR($N1138="",$T1138=""),"",IFERROR(MAX(0,1-($N1138+$T1138+MAX(0,N($Q1138)))/ROUND((INDEX(Config!$D$15:$D$18,MATCH($S1138,Config!$B$15:$B$18,0))-INDEX(Config!$C$15:$C$18,MATCH($S1138,Config!$B$15:$B$18,0)))*1440,0)),""))</f>
        <v/>
      </c>
      <c r="V1138" s="5"/>
    </row>
    <row r="1139" spans="1:22" x14ac:dyDescent="0.25">
      <c r="A1139" s="11"/>
      <c r="B1139" s="5"/>
      <c r="C1139" s="6" t="str">
        <f>IFERROR(INDEX(Ejecutivos!$B$2:$B$100,MATCH(B1139,Ejecutivos!$A$2:$A$100,0)),"")</f>
        <v/>
      </c>
      <c r="D1139" s="12"/>
      <c r="E1139" s="12"/>
      <c r="F1139" s="12"/>
      <c r="G1139" s="12"/>
      <c r="H1139" s="5"/>
      <c r="I1139" s="5"/>
      <c r="J1139" s="5"/>
      <c r="K1139" s="5"/>
      <c r="L1139" s="18">
        <v>0</v>
      </c>
      <c r="M1139" t="str">
        <f t="shared" si="71"/>
        <v/>
      </c>
      <c r="N1139" t="str">
        <f>IF(OR($D1139="",$S1139=""),"",IFERROR(MAX(0,ROUND(($D1139-INDEX(Config!$C$15:$C$18,MATCH($S1139,Config!$B$15:$B$18,0)))*24*60,0)),""))</f>
        <v/>
      </c>
      <c r="O1139" t="str">
        <f t="shared" si="72"/>
        <v/>
      </c>
      <c r="P1139" t="str">
        <f t="shared" si="73"/>
        <v/>
      </c>
      <c r="Q1139" t="str">
        <f>IF(OR($P1139="",$S1139=""),"",IFERROR($P1139-INDEX(Config!$E$15:$E$18,MATCH($S1139,Config!$B$15:$B$18,0)),""))</f>
        <v/>
      </c>
      <c r="R1139" t="str">
        <f t="shared" si="74"/>
        <v/>
      </c>
      <c r="S1139" s="6" t="str">
        <f>IF(OR($A1139="",$C1139=""),"",IFERROR(INDEX(Turno!$C$3:$V$32,MATCH($C1139,Turno!$B$3:$B$32,0),MATCH(DAY($A1139),Turno!$C$1:$V$1,0)),""))</f>
        <v/>
      </c>
      <c r="T1139" t="str">
        <f>IF(OR($E1139="",$S1139=""),"",IFERROR(MAX(0,ROUND((INDEX(Config!$D$15:$D$18,MATCH($S1139,Config!$B$15:$B$18,0))-$E1139)*1440,0)),""))</f>
        <v/>
      </c>
      <c r="U1139" s="13" t="str">
        <f>IF(OR($N1139="",$T1139=""),"",IFERROR(MAX(0,1-($N1139+$T1139+MAX(0,N($Q1139)))/ROUND((INDEX(Config!$D$15:$D$18,MATCH($S1139,Config!$B$15:$B$18,0))-INDEX(Config!$C$15:$C$18,MATCH($S1139,Config!$B$15:$B$18,0)))*1440,0)),""))</f>
        <v/>
      </c>
      <c r="V1139" s="5"/>
    </row>
    <row r="1140" spans="1:22" x14ac:dyDescent="0.25">
      <c r="A1140" s="11"/>
      <c r="B1140" s="5"/>
      <c r="C1140" s="6" t="str">
        <f>IFERROR(INDEX(Ejecutivos!$B$2:$B$100,MATCH(B1140,Ejecutivos!$A$2:$A$100,0)),"")</f>
        <v/>
      </c>
      <c r="D1140" s="12"/>
      <c r="E1140" s="12"/>
      <c r="F1140" s="12"/>
      <c r="G1140" s="12"/>
      <c r="H1140" s="5"/>
      <c r="I1140" s="5"/>
      <c r="J1140" s="5"/>
      <c r="K1140" s="5"/>
      <c r="L1140" s="18">
        <v>0</v>
      </c>
      <c r="M1140" t="str">
        <f t="shared" si="71"/>
        <v/>
      </c>
      <c r="N1140" t="str">
        <f>IF(OR($D1140="",$S1140=""),"",IFERROR(MAX(0,ROUND(($D1140-INDEX(Config!$C$15:$C$18,MATCH($S1140,Config!$B$15:$B$18,0)))*24*60,0)),""))</f>
        <v/>
      </c>
      <c r="O1140" t="str">
        <f t="shared" si="72"/>
        <v/>
      </c>
      <c r="P1140" t="str">
        <f t="shared" si="73"/>
        <v/>
      </c>
      <c r="Q1140" t="str">
        <f>IF(OR($P1140="",$S1140=""),"",IFERROR($P1140-INDEX(Config!$E$15:$E$18,MATCH($S1140,Config!$B$15:$B$18,0)),""))</f>
        <v/>
      </c>
      <c r="R1140" t="str">
        <f t="shared" si="74"/>
        <v/>
      </c>
      <c r="S1140" s="6" t="str">
        <f>IF(OR($A1140="",$C1140=""),"",IFERROR(INDEX(Turno!$C$3:$V$32,MATCH($C1140,Turno!$B$3:$B$32,0),MATCH(DAY($A1140),Turno!$C$1:$V$1,0)),""))</f>
        <v/>
      </c>
      <c r="T1140" t="str">
        <f>IF(OR($E1140="",$S1140=""),"",IFERROR(MAX(0,ROUND((INDEX(Config!$D$15:$D$18,MATCH($S1140,Config!$B$15:$B$18,0))-$E1140)*1440,0)),""))</f>
        <v/>
      </c>
      <c r="U1140" s="13" t="str">
        <f>IF(OR($N1140="",$T1140=""),"",IFERROR(MAX(0,1-($N1140+$T1140+MAX(0,N($Q1140)))/ROUND((INDEX(Config!$D$15:$D$18,MATCH($S1140,Config!$B$15:$B$18,0))-INDEX(Config!$C$15:$C$18,MATCH($S1140,Config!$B$15:$B$18,0)))*1440,0)),""))</f>
        <v/>
      </c>
      <c r="V1140" s="5"/>
    </row>
    <row r="1141" spans="1:22" x14ac:dyDescent="0.25">
      <c r="A1141" s="11"/>
      <c r="B1141" s="5"/>
      <c r="C1141" s="6" t="str">
        <f>IFERROR(INDEX(Ejecutivos!$B$2:$B$100,MATCH(B1141,Ejecutivos!$A$2:$A$100,0)),"")</f>
        <v/>
      </c>
      <c r="D1141" s="12"/>
      <c r="E1141" s="12"/>
      <c r="F1141" s="12"/>
      <c r="G1141" s="12"/>
      <c r="H1141" s="5"/>
      <c r="I1141" s="5"/>
      <c r="J1141" s="5"/>
      <c r="K1141" s="5"/>
      <c r="L1141" s="18">
        <v>0</v>
      </c>
      <c r="M1141" t="str">
        <f t="shared" ref="M1141:M1204" si="75">IF(OR(D1141="",E1141=""),"",ROUND(((E1141-D1141)*24)-((G1141-F1141)*24)-((H1141+I1141)/60),2))</f>
        <v/>
      </c>
      <c r="N1141" t="str">
        <f>IF(OR($D1141="",$S1141=""),"",IFERROR(MAX(0,ROUND(($D1141-INDEX(Config!$C$15:$C$18,MATCH($S1141,Config!$B$15:$B$18,0)))*24*60,0)),""))</f>
        <v/>
      </c>
      <c r="O1141" t="str">
        <f t="shared" ref="O1141:O1204" si="76">IF(OR(F1141="",G1141=""),"",ROUND((G1141-F1141)*24*60,0))</f>
        <v/>
      </c>
      <c r="P1141" t="str">
        <f t="shared" ref="P1141:P1204" si="77">IF(O1141="","",O1141+H1141+I1141)</f>
        <v/>
      </c>
      <c r="Q1141" t="str">
        <f>IF(OR($P1141="",$S1141=""),"",IFERROR($P1141-INDEX(Config!$E$15:$E$18,MATCH($S1141,Config!$B$15:$B$18,0)),""))</f>
        <v/>
      </c>
      <c r="R1141" t="str">
        <f t="shared" ref="R1141:R1204" si="78">IF($A1141="","",IF($D1141="","Ausente",IF($N1141="","",IF($N1141&gt;0,"Atrasado","Puntual"))))</f>
        <v/>
      </c>
      <c r="S1141" s="6" t="str">
        <f>IF(OR($A1141="",$C1141=""),"",IFERROR(INDEX(Turno!$C$3:$V$32,MATCH($C1141,Turno!$B$3:$B$32,0),MATCH(DAY($A1141),Turno!$C$1:$V$1,0)),""))</f>
        <v/>
      </c>
      <c r="T1141" t="str">
        <f>IF(OR($E1141="",$S1141=""),"",IFERROR(MAX(0,ROUND((INDEX(Config!$D$15:$D$18,MATCH($S1141,Config!$B$15:$B$18,0))-$E1141)*1440,0)),""))</f>
        <v/>
      </c>
      <c r="U1141" s="13" t="str">
        <f>IF(OR($N1141="",$T1141=""),"",IFERROR(MAX(0,1-($N1141+$T1141+MAX(0,N($Q1141)))/ROUND((INDEX(Config!$D$15:$D$18,MATCH($S1141,Config!$B$15:$B$18,0))-INDEX(Config!$C$15:$C$18,MATCH($S1141,Config!$B$15:$B$18,0)))*1440,0)),""))</f>
        <v/>
      </c>
      <c r="V1141" s="5"/>
    </row>
    <row r="1142" spans="1:22" x14ac:dyDescent="0.25">
      <c r="A1142" s="11"/>
      <c r="B1142" s="5"/>
      <c r="C1142" s="6" t="str">
        <f>IFERROR(INDEX(Ejecutivos!$B$2:$B$100,MATCH(B1142,Ejecutivos!$A$2:$A$100,0)),"")</f>
        <v/>
      </c>
      <c r="D1142" s="12"/>
      <c r="E1142" s="12"/>
      <c r="F1142" s="12"/>
      <c r="G1142" s="12"/>
      <c r="H1142" s="5"/>
      <c r="I1142" s="5"/>
      <c r="J1142" s="5"/>
      <c r="K1142" s="5"/>
      <c r="L1142" s="18">
        <v>0</v>
      </c>
      <c r="M1142" t="str">
        <f t="shared" si="75"/>
        <v/>
      </c>
      <c r="N1142" t="str">
        <f>IF(OR($D1142="",$S1142=""),"",IFERROR(MAX(0,ROUND(($D1142-INDEX(Config!$C$15:$C$18,MATCH($S1142,Config!$B$15:$B$18,0)))*24*60,0)),""))</f>
        <v/>
      </c>
      <c r="O1142" t="str">
        <f t="shared" si="76"/>
        <v/>
      </c>
      <c r="P1142" t="str">
        <f t="shared" si="77"/>
        <v/>
      </c>
      <c r="Q1142" t="str">
        <f>IF(OR($P1142="",$S1142=""),"",IFERROR($P1142-INDEX(Config!$E$15:$E$18,MATCH($S1142,Config!$B$15:$B$18,0)),""))</f>
        <v/>
      </c>
      <c r="R1142" t="str">
        <f t="shared" si="78"/>
        <v/>
      </c>
      <c r="S1142" s="6" t="str">
        <f>IF(OR($A1142="",$C1142=""),"",IFERROR(INDEX(Turno!$C$3:$V$32,MATCH($C1142,Turno!$B$3:$B$32,0),MATCH(DAY($A1142),Turno!$C$1:$V$1,0)),""))</f>
        <v/>
      </c>
      <c r="T1142" t="str">
        <f>IF(OR($E1142="",$S1142=""),"",IFERROR(MAX(0,ROUND((INDEX(Config!$D$15:$D$18,MATCH($S1142,Config!$B$15:$B$18,0))-$E1142)*1440,0)),""))</f>
        <v/>
      </c>
      <c r="U1142" s="13" t="str">
        <f>IF(OR($N1142="",$T1142=""),"",IFERROR(MAX(0,1-($N1142+$T1142+MAX(0,N($Q1142)))/ROUND((INDEX(Config!$D$15:$D$18,MATCH($S1142,Config!$B$15:$B$18,0))-INDEX(Config!$C$15:$C$18,MATCH($S1142,Config!$B$15:$B$18,0)))*1440,0)),""))</f>
        <v/>
      </c>
      <c r="V1142" s="5"/>
    </row>
    <row r="1143" spans="1:22" x14ac:dyDescent="0.25">
      <c r="A1143" s="11"/>
      <c r="B1143" s="5"/>
      <c r="C1143" s="6" t="str">
        <f>IFERROR(INDEX(Ejecutivos!$B$2:$B$100,MATCH(B1143,Ejecutivos!$A$2:$A$100,0)),"")</f>
        <v/>
      </c>
      <c r="D1143" s="12"/>
      <c r="E1143" s="12"/>
      <c r="F1143" s="12"/>
      <c r="G1143" s="12"/>
      <c r="H1143" s="5"/>
      <c r="I1143" s="5"/>
      <c r="J1143" s="5"/>
      <c r="K1143" s="5"/>
      <c r="L1143" s="18">
        <v>0</v>
      </c>
      <c r="M1143" t="str">
        <f t="shared" si="75"/>
        <v/>
      </c>
      <c r="N1143" t="str">
        <f>IF(OR($D1143="",$S1143=""),"",IFERROR(MAX(0,ROUND(($D1143-INDEX(Config!$C$15:$C$18,MATCH($S1143,Config!$B$15:$B$18,0)))*24*60,0)),""))</f>
        <v/>
      </c>
      <c r="O1143" t="str">
        <f t="shared" si="76"/>
        <v/>
      </c>
      <c r="P1143" t="str">
        <f t="shared" si="77"/>
        <v/>
      </c>
      <c r="Q1143" t="str">
        <f>IF(OR($P1143="",$S1143=""),"",IFERROR($P1143-INDEX(Config!$E$15:$E$18,MATCH($S1143,Config!$B$15:$B$18,0)),""))</f>
        <v/>
      </c>
      <c r="R1143" t="str">
        <f t="shared" si="78"/>
        <v/>
      </c>
      <c r="S1143" s="6" t="str">
        <f>IF(OR($A1143="",$C1143=""),"",IFERROR(INDEX(Turno!$C$3:$V$32,MATCH($C1143,Turno!$B$3:$B$32,0),MATCH(DAY($A1143),Turno!$C$1:$V$1,0)),""))</f>
        <v/>
      </c>
      <c r="T1143" t="str">
        <f>IF(OR($E1143="",$S1143=""),"",IFERROR(MAX(0,ROUND((INDEX(Config!$D$15:$D$18,MATCH($S1143,Config!$B$15:$B$18,0))-$E1143)*1440,0)),""))</f>
        <v/>
      </c>
      <c r="U1143" s="13" t="str">
        <f>IF(OR($N1143="",$T1143=""),"",IFERROR(MAX(0,1-($N1143+$T1143+MAX(0,N($Q1143)))/ROUND((INDEX(Config!$D$15:$D$18,MATCH($S1143,Config!$B$15:$B$18,0))-INDEX(Config!$C$15:$C$18,MATCH($S1143,Config!$B$15:$B$18,0)))*1440,0)),""))</f>
        <v/>
      </c>
      <c r="V1143" s="5"/>
    </row>
    <row r="1144" spans="1:22" x14ac:dyDescent="0.25">
      <c r="A1144" s="11"/>
      <c r="B1144" s="5"/>
      <c r="C1144" s="6" t="str">
        <f>IFERROR(INDEX(Ejecutivos!$B$2:$B$100,MATCH(B1144,Ejecutivos!$A$2:$A$100,0)),"")</f>
        <v/>
      </c>
      <c r="D1144" s="12"/>
      <c r="E1144" s="12"/>
      <c r="F1144" s="12"/>
      <c r="G1144" s="12"/>
      <c r="H1144" s="5"/>
      <c r="I1144" s="5"/>
      <c r="J1144" s="5"/>
      <c r="K1144" s="5"/>
      <c r="L1144" s="18">
        <v>0</v>
      </c>
      <c r="M1144" t="str">
        <f t="shared" si="75"/>
        <v/>
      </c>
      <c r="N1144" t="str">
        <f>IF(OR($D1144="",$S1144=""),"",IFERROR(MAX(0,ROUND(($D1144-INDEX(Config!$C$15:$C$18,MATCH($S1144,Config!$B$15:$B$18,0)))*24*60,0)),""))</f>
        <v/>
      </c>
      <c r="O1144" t="str">
        <f t="shared" si="76"/>
        <v/>
      </c>
      <c r="P1144" t="str">
        <f t="shared" si="77"/>
        <v/>
      </c>
      <c r="Q1144" t="str">
        <f>IF(OR($P1144="",$S1144=""),"",IFERROR($P1144-INDEX(Config!$E$15:$E$18,MATCH($S1144,Config!$B$15:$B$18,0)),""))</f>
        <v/>
      </c>
      <c r="R1144" t="str">
        <f t="shared" si="78"/>
        <v/>
      </c>
      <c r="S1144" s="6" t="str">
        <f>IF(OR($A1144="",$C1144=""),"",IFERROR(INDEX(Turno!$C$3:$V$32,MATCH($C1144,Turno!$B$3:$B$32,0),MATCH(DAY($A1144),Turno!$C$1:$V$1,0)),""))</f>
        <v/>
      </c>
      <c r="T1144" t="str">
        <f>IF(OR($E1144="",$S1144=""),"",IFERROR(MAX(0,ROUND((INDEX(Config!$D$15:$D$18,MATCH($S1144,Config!$B$15:$B$18,0))-$E1144)*1440,0)),""))</f>
        <v/>
      </c>
      <c r="U1144" s="13" t="str">
        <f>IF(OR($N1144="",$T1144=""),"",IFERROR(MAX(0,1-($N1144+$T1144+MAX(0,N($Q1144)))/ROUND((INDEX(Config!$D$15:$D$18,MATCH($S1144,Config!$B$15:$B$18,0))-INDEX(Config!$C$15:$C$18,MATCH($S1144,Config!$B$15:$B$18,0)))*1440,0)),""))</f>
        <v/>
      </c>
      <c r="V1144" s="5"/>
    </row>
    <row r="1145" spans="1:22" x14ac:dyDescent="0.25">
      <c r="A1145" s="11"/>
      <c r="B1145" s="5"/>
      <c r="C1145" s="6" t="str">
        <f>IFERROR(INDEX(Ejecutivos!$B$2:$B$100,MATCH(B1145,Ejecutivos!$A$2:$A$100,0)),"")</f>
        <v/>
      </c>
      <c r="D1145" s="12"/>
      <c r="E1145" s="12"/>
      <c r="F1145" s="12"/>
      <c r="G1145" s="12"/>
      <c r="H1145" s="5"/>
      <c r="I1145" s="5"/>
      <c r="J1145" s="5"/>
      <c r="K1145" s="5"/>
      <c r="L1145" s="18">
        <v>0</v>
      </c>
      <c r="M1145" t="str">
        <f t="shared" si="75"/>
        <v/>
      </c>
      <c r="N1145" t="str">
        <f>IF(OR($D1145="",$S1145=""),"",IFERROR(MAX(0,ROUND(($D1145-INDEX(Config!$C$15:$C$18,MATCH($S1145,Config!$B$15:$B$18,0)))*24*60,0)),""))</f>
        <v/>
      </c>
      <c r="O1145" t="str">
        <f t="shared" si="76"/>
        <v/>
      </c>
      <c r="P1145" t="str">
        <f t="shared" si="77"/>
        <v/>
      </c>
      <c r="Q1145" t="str">
        <f>IF(OR($P1145="",$S1145=""),"",IFERROR($P1145-INDEX(Config!$E$15:$E$18,MATCH($S1145,Config!$B$15:$B$18,0)),""))</f>
        <v/>
      </c>
      <c r="R1145" t="str">
        <f t="shared" si="78"/>
        <v/>
      </c>
      <c r="S1145" s="6" t="str">
        <f>IF(OR($A1145="",$C1145=""),"",IFERROR(INDEX(Turno!$C$3:$V$32,MATCH($C1145,Turno!$B$3:$B$32,0),MATCH(DAY($A1145),Turno!$C$1:$V$1,0)),""))</f>
        <v/>
      </c>
      <c r="T1145" t="str">
        <f>IF(OR($E1145="",$S1145=""),"",IFERROR(MAX(0,ROUND((INDEX(Config!$D$15:$D$18,MATCH($S1145,Config!$B$15:$B$18,0))-$E1145)*1440,0)),""))</f>
        <v/>
      </c>
      <c r="U1145" s="13" t="str">
        <f>IF(OR($N1145="",$T1145=""),"",IFERROR(MAX(0,1-($N1145+$T1145+MAX(0,N($Q1145)))/ROUND((INDEX(Config!$D$15:$D$18,MATCH($S1145,Config!$B$15:$B$18,0))-INDEX(Config!$C$15:$C$18,MATCH($S1145,Config!$B$15:$B$18,0)))*1440,0)),""))</f>
        <v/>
      </c>
      <c r="V1145" s="5"/>
    </row>
    <row r="1146" spans="1:22" x14ac:dyDescent="0.25">
      <c r="A1146" s="11"/>
      <c r="B1146" s="5"/>
      <c r="C1146" s="6" t="str">
        <f>IFERROR(INDEX(Ejecutivos!$B$2:$B$100,MATCH(B1146,Ejecutivos!$A$2:$A$100,0)),"")</f>
        <v/>
      </c>
      <c r="D1146" s="12"/>
      <c r="E1146" s="12"/>
      <c r="F1146" s="12"/>
      <c r="G1146" s="12"/>
      <c r="H1146" s="5"/>
      <c r="I1146" s="5"/>
      <c r="J1146" s="5"/>
      <c r="K1146" s="5"/>
      <c r="L1146" s="18">
        <v>0</v>
      </c>
      <c r="M1146" t="str">
        <f t="shared" si="75"/>
        <v/>
      </c>
      <c r="N1146" t="str">
        <f>IF(OR($D1146="",$S1146=""),"",IFERROR(MAX(0,ROUND(($D1146-INDEX(Config!$C$15:$C$18,MATCH($S1146,Config!$B$15:$B$18,0)))*24*60,0)),""))</f>
        <v/>
      </c>
      <c r="O1146" t="str">
        <f t="shared" si="76"/>
        <v/>
      </c>
      <c r="P1146" t="str">
        <f t="shared" si="77"/>
        <v/>
      </c>
      <c r="Q1146" t="str">
        <f>IF(OR($P1146="",$S1146=""),"",IFERROR($P1146-INDEX(Config!$E$15:$E$18,MATCH($S1146,Config!$B$15:$B$18,0)),""))</f>
        <v/>
      </c>
      <c r="R1146" t="str">
        <f t="shared" si="78"/>
        <v/>
      </c>
      <c r="S1146" s="6" t="str">
        <f>IF(OR($A1146="",$C1146=""),"",IFERROR(INDEX(Turno!$C$3:$V$32,MATCH($C1146,Turno!$B$3:$B$32,0),MATCH(DAY($A1146),Turno!$C$1:$V$1,0)),""))</f>
        <v/>
      </c>
      <c r="T1146" t="str">
        <f>IF(OR($E1146="",$S1146=""),"",IFERROR(MAX(0,ROUND((INDEX(Config!$D$15:$D$18,MATCH($S1146,Config!$B$15:$B$18,0))-$E1146)*1440,0)),""))</f>
        <v/>
      </c>
      <c r="U1146" s="13" t="str">
        <f>IF(OR($N1146="",$T1146=""),"",IFERROR(MAX(0,1-($N1146+$T1146+MAX(0,N($Q1146)))/ROUND((INDEX(Config!$D$15:$D$18,MATCH($S1146,Config!$B$15:$B$18,0))-INDEX(Config!$C$15:$C$18,MATCH($S1146,Config!$B$15:$B$18,0)))*1440,0)),""))</f>
        <v/>
      </c>
      <c r="V1146" s="5"/>
    </row>
    <row r="1147" spans="1:22" x14ac:dyDescent="0.25">
      <c r="A1147" s="11"/>
      <c r="B1147" s="5"/>
      <c r="C1147" s="6" t="str">
        <f>IFERROR(INDEX(Ejecutivos!$B$2:$B$100,MATCH(B1147,Ejecutivos!$A$2:$A$100,0)),"")</f>
        <v/>
      </c>
      <c r="D1147" s="12"/>
      <c r="E1147" s="12"/>
      <c r="F1147" s="12"/>
      <c r="G1147" s="12"/>
      <c r="H1147" s="5"/>
      <c r="I1147" s="5"/>
      <c r="J1147" s="5"/>
      <c r="K1147" s="5"/>
      <c r="L1147" s="18">
        <v>0</v>
      </c>
      <c r="M1147" t="str">
        <f t="shared" si="75"/>
        <v/>
      </c>
      <c r="N1147" t="str">
        <f>IF(OR($D1147="",$S1147=""),"",IFERROR(MAX(0,ROUND(($D1147-INDEX(Config!$C$15:$C$18,MATCH($S1147,Config!$B$15:$B$18,0)))*24*60,0)),""))</f>
        <v/>
      </c>
      <c r="O1147" t="str">
        <f t="shared" si="76"/>
        <v/>
      </c>
      <c r="P1147" t="str">
        <f t="shared" si="77"/>
        <v/>
      </c>
      <c r="Q1147" t="str">
        <f>IF(OR($P1147="",$S1147=""),"",IFERROR($P1147-INDEX(Config!$E$15:$E$18,MATCH($S1147,Config!$B$15:$B$18,0)),""))</f>
        <v/>
      </c>
      <c r="R1147" t="str">
        <f t="shared" si="78"/>
        <v/>
      </c>
      <c r="S1147" s="6" t="str">
        <f>IF(OR($A1147="",$C1147=""),"",IFERROR(INDEX(Turno!$C$3:$V$32,MATCH($C1147,Turno!$B$3:$B$32,0),MATCH(DAY($A1147),Turno!$C$1:$V$1,0)),""))</f>
        <v/>
      </c>
      <c r="T1147" t="str">
        <f>IF(OR($E1147="",$S1147=""),"",IFERROR(MAX(0,ROUND((INDEX(Config!$D$15:$D$18,MATCH($S1147,Config!$B$15:$B$18,0))-$E1147)*1440,0)),""))</f>
        <v/>
      </c>
      <c r="U1147" s="13" t="str">
        <f>IF(OR($N1147="",$T1147=""),"",IFERROR(MAX(0,1-($N1147+$T1147+MAX(0,N($Q1147)))/ROUND((INDEX(Config!$D$15:$D$18,MATCH($S1147,Config!$B$15:$B$18,0))-INDEX(Config!$C$15:$C$18,MATCH($S1147,Config!$B$15:$B$18,0)))*1440,0)),""))</f>
        <v/>
      </c>
      <c r="V1147" s="5"/>
    </row>
    <row r="1148" spans="1:22" x14ac:dyDescent="0.25">
      <c r="A1148" s="11"/>
      <c r="B1148" s="5"/>
      <c r="C1148" s="6" t="str">
        <f>IFERROR(INDEX(Ejecutivos!$B$2:$B$100,MATCH(B1148,Ejecutivos!$A$2:$A$100,0)),"")</f>
        <v/>
      </c>
      <c r="D1148" s="12"/>
      <c r="E1148" s="12"/>
      <c r="F1148" s="12"/>
      <c r="G1148" s="12"/>
      <c r="H1148" s="5"/>
      <c r="I1148" s="5"/>
      <c r="J1148" s="5"/>
      <c r="K1148" s="5"/>
      <c r="L1148" s="18">
        <v>0</v>
      </c>
      <c r="M1148" t="str">
        <f t="shared" si="75"/>
        <v/>
      </c>
      <c r="N1148" t="str">
        <f>IF(OR($D1148="",$S1148=""),"",IFERROR(MAX(0,ROUND(($D1148-INDEX(Config!$C$15:$C$18,MATCH($S1148,Config!$B$15:$B$18,0)))*24*60,0)),""))</f>
        <v/>
      </c>
      <c r="O1148" t="str">
        <f t="shared" si="76"/>
        <v/>
      </c>
      <c r="P1148" t="str">
        <f t="shared" si="77"/>
        <v/>
      </c>
      <c r="Q1148" t="str">
        <f>IF(OR($P1148="",$S1148=""),"",IFERROR($P1148-INDEX(Config!$E$15:$E$18,MATCH($S1148,Config!$B$15:$B$18,0)),""))</f>
        <v/>
      </c>
      <c r="R1148" t="str">
        <f t="shared" si="78"/>
        <v/>
      </c>
      <c r="S1148" s="6" t="str">
        <f>IF(OR($A1148="",$C1148=""),"",IFERROR(INDEX(Turno!$C$3:$V$32,MATCH($C1148,Turno!$B$3:$B$32,0),MATCH(DAY($A1148),Turno!$C$1:$V$1,0)),""))</f>
        <v/>
      </c>
      <c r="T1148" t="str">
        <f>IF(OR($E1148="",$S1148=""),"",IFERROR(MAX(0,ROUND((INDEX(Config!$D$15:$D$18,MATCH($S1148,Config!$B$15:$B$18,0))-$E1148)*1440,0)),""))</f>
        <v/>
      </c>
      <c r="U1148" s="13" t="str">
        <f>IF(OR($N1148="",$T1148=""),"",IFERROR(MAX(0,1-($N1148+$T1148+MAX(0,N($Q1148)))/ROUND((INDEX(Config!$D$15:$D$18,MATCH($S1148,Config!$B$15:$B$18,0))-INDEX(Config!$C$15:$C$18,MATCH($S1148,Config!$B$15:$B$18,0)))*1440,0)),""))</f>
        <v/>
      </c>
      <c r="V1148" s="5"/>
    </row>
    <row r="1149" spans="1:22" x14ac:dyDescent="0.25">
      <c r="A1149" s="11"/>
      <c r="B1149" s="5"/>
      <c r="C1149" s="6" t="str">
        <f>IFERROR(INDEX(Ejecutivos!$B$2:$B$100,MATCH(B1149,Ejecutivos!$A$2:$A$100,0)),"")</f>
        <v/>
      </c>
      <c r="D1149" s="12"/>
      <c r="E1149" s="12"/>
      <c r="F1149" s="12"/>
      <c r="G1149" s="12"/>
      <c r="H1149" s="5"/>
      <c r="I1149" s="5"/>
      <c r="J1149" s="5"/>
      <c r="K1149" s="5"/>
      <c r="L1149" s="18">
        <v>0</v>
      </c>
      <c r="M1149" t="str">
        <f t="shared" si="75"/>
        <v/>
      </c>
      <c r="N1149" t="str">
        <f>IF(OR($D1149="",$S1149=""),"",IFERROR(MAX(0,ROUND(($D1149-INDEX(Config!$C$15:$C$18,MATCH($S1149,Config!$B$15:$B$18,0)))*24*60,0)),""))</f>
        <v/>
      </c>
      <c r="O1149" t="str">
        <f t="shared" si="76"/>
        <v/>
      </c>
      <c r="P1149" t="str">
        <f t="shared" si="77"/>
        <v/>
      </c>
      <c r="Q1149" t="str">
        <f>IF(OR($P1149="",$S1149=""),"",IFERROR($P1149-INDEX(Config!$E$15:$E$18,MATCH($S1149,Config!$B$15:$B$18,0)),""))</f>
        <v/>
      </c>
      <c r="R1149" t="str">
        <f t="shared" si="78"/>
        <v/>
      </c>
      <c r="S1149" s="6" t="str">
        <f>IF(OR($A1149="",$C1149=""),"",IFERROR(INDEX(Turno!$C$3:$V$32,MATCH($C1149,Turno!$B$3:$B$32,0),MATCH(DAY($A1149),Turno!$C$1:$V$1,0)),""))</f>
        <v/>
      </c>
      <c r="T1149" t="str">
        <f>IF(OR($E1149="",$S1149=""),"",IFERROR(MAX(0,ROUND((INDEX(Config!$D$15:$D$18,MATCH($S1149,Config!$B$15:$B$18,0))-$E1149)*1440,0)),""))</f>
        <v/>
      </c>
      <c r="U1149" s="13" t="str">
        <f>IF(OR($N1149="",$T1149=""),"",IFERROR(MAX(0,1-($N1149+$T1149+MAX(0,N($Q1149)))/ROUND((INDEX(Config!$D$15:$D$18,MATCH($S1149,Config!$B$15:$B$18,0))-INDEX(Config!$C$15:$C$18,MATCH($S1149,Config!$B$15:$B$18,0)))*1440,0)),""))</f>
        <v/>
      </c>
      <c r="V1149" s="5"/>
    </row>
    <row r="1150" spans="1:22" x14ac:dyDescent="0.25">
      <c r="A1150" s="11"/>
      <c r="B1150" s="5"/>
      <c r="C1150" s="6" t="str">
        <f>IFERROR(INDEX(Ejecutivos!$B$2:$B$100,MATCH(B1150,Ejecutivos!$A$2:$A$100,0)),"")</f>
        <v/>
      </c>
      <c r="D1150" s="12"/>
      <c r="E1150" s="12"/>
      <c r="F1150" s="12"/>
      <c r="G1150" s="12"/>
      <c r="H1150" s="5"/>
      <c r="I1150" s="5"/>
      <c r="J1150" s="5"/>
      <c r="K1150" s="5"/>
      <c r="L1150" s="18">
        <v>0</v>
      </c>
      <c r="M1150" t="str">
        <f t="shared" si="75"/>
        <v/>
      </c>
      <c r="N1150" t="str">
        <f>IF(OR($D1150="",$S1150=""),"",IFERROR(MAX(0,ROUND(($D1150-INDEX(Config!$C$15:$C$18,MATCH($S1150,Config!$B$15:$B$18,0)))*24*60,0)),""))</f>
        <v/>
      </c>
      <c r="O1150" t="str">
        <f t="shared" si="76"/>
        <v/>
      </c>
      <c r="P1150" t="str">
        <f t="shared" si="77"/>
        <v/>
      </c>
      <c r="Q1150" t="str">
        <f>IF(OR($P1150="",$S1150=""),"",IFERROR($P1150-INDEX(Config!$E$15:$E$18,MATCH($S1150,Config!$B$15:$B$18,0)),""))</f>
        <v/>
      </c>
      <c r="R1150" t="str">
        <f t="shared" si="78"/>
        <v/>
      </c>
      <c r="S1150" s="6" t="str">
        <f>IF(OR($A1150="",$C1150=""),"",IFERROR(INDEX(Turno!$C$3:$V$32,MATCH($C1150,Turno!$B$3:$B$32,0),MATCH(DAY($A1150),Turno!$C$1:$V$1,0)),""))</f>
        <v/>
      </c>
      <c r="T1150" t="str">
        <f>IF(OR($E1150="",$S1150=""),"",IFERROR(MAX(0,ROUND((INDEX(Config!$D$15:$D$18,MATCH($S1150,Config!$B$15:$B$18,0))-$E1150)*1440,0)),""))</f>
        <v/>
      </c>
      <c r="U1150" s="13" t="str">
        <f>IF(OR($N1150="",$T1150=""),"",IFERROR(MAX(0,1-($N1150+$T1150+MAX(0,N($Q1150)))/ROUND((INDEX(Config!$D$15:$D$18,MATCH($S1150,Config!$B$15:$B$18,0))-INDEX(Config!$C$15:$C$18,MATCH($S1150,Config!$B$15:$B$18,0)))*1440,0)),""))</f>
        <v/>
      </c>
      <c r="V1150" s="5"/>
    </row>
    <row r="1151" spans="1:22" x14ac:dyDescent="0.25">
      <c r="A1151" s="11"/>
      <c r="B1151" s="5"/>
      <c r="C1151" s="6" t="str">
        <f>IFERROR(INDEX(Ejecutivos!$B$2:$B$100,MATCH(B1151,Ejecutivos!$A$2:$A$100,0)),"")</f>
        <v/>
      </c>
      <c r="D1151" s="12"/>
      <c r="E1151" s="12"/>
      <c r="F1151" s="12"/>
      <c r="G1151" s="12"/>
      <c r="H1151" s="5"/>
      <c r="I1151" s="5"/>
      <c r="J1151" s="5"/>
      <c r="K1151" s="5"/>
      <c r="L1151" s="18">
        <v>0</v>
      </c>
      <c r="M1151" t="str">
        <f t="shared" si="75"/>
        <v/>
      </c>
      <c r="N1151" t="str">
        <f>IF(OR($D1151="",$S1151=""),"",IFERROR(MAX(0,ROUND(($D1151-INDEX(Config!$C$15:$C$18,MATCH($S1151,Config!$B$15:$B$18,0)))*24*60,0)),""))</f>
        <v/>
      </c>
      <c r="O1151" t="str">
        <f t="shared" si="76"/>
        <v/>
      </c>
      <c r="P1151" t="str">
        <f t="shared" si="77"/>
        <v/>
      </c>
      <c r="Q1151" t="str">
        <f>IF(OR($P1151="",$S1151=""),"",IFERROR($P1151-INDEX(Config!$E$15:$E$18,MATCH($S1151,Config!$B$15:$B$18,0)),""))</f>
        <v/>
      </c>
      <c r="R1151" t="str">
        <f t="shared" si="78"/>
        <v/>
      </c>
      <c r="S1151" s="6" t="str">
        <f>IF(OR($A1151="",$C1151=""),"",IFERROR(INDEX(Turno!$C$3:$V$32,MATCH($C1151,Turno!$B$3:$B$32,0),MATCH(DAY($A1151),Turno!$C$1:$V$1,0)),""))</f>
        <v/>
      </c>
      <c r="T1151" t="str">
        <f>IF(OR($E1151="",$S1151=""),"",IFERROR(MAX(0,ROUND((INDEX(Config!$D$15:$D$18,MATCH($S1151,Config!$B$15:$B$18,0))-$E1151)*1440,0)),""))</f>
        <v/>
      </c>
      <c r="U1151" s="13" t="str">
        <f>IF(OR($N1151="",$T1151=""),"",IFERROR(MAX(0,1-($N1151+$T1151+MAX(0,N($Q1151)))/ROUND((INDEX(Config!$D$15:$D$18,MATCH($S1151,Config!$B$15:$B$18,0))-INDEX(Config!$C$15:$C$18,MATCH($S1151,Config!$B$15:$B$18,0)))*1440,0)),""))</f>
        <v/>
      </c>
      <c r="V1151" s="5"/>
    </row>
    <row r="1152" spans="1:22" x14ac:dyDescent="0.25">
      <c r="A1152" s="11"/>
      <c r="B1152" s="5"/>
      <c r="C1152" s="6" t="str">
        <f>IFERROR(INDEX(Ejecutivos!$B$2:$B$100,MATCH(B1152,Ejecutivos!$A$2:$A$100,0)),"")</f>
        <v/>
      </c>
      <c r="D1152" s="12"/>
      <c r="E1152" s="12"/>
      <c r="F1152" s="12"/>
      <c r="G1152" s="12"/>
      <c r="H1152" s="5"/>
      <c r="I1152" s="5"/>
      <c r="J1152" s="5"/>
      <c r="K1152" s="5"/>
      <c r="L1152" s="18">
        <v>0</v>
      </c>
      <c r="M1152" t="str">
        <f t="shared" si="75"/>
        <v/>
      </c>
      <c r="N1152" t="str">
        <f>IF(OR($D1152="",$S1152=""),"",IFERROR(MAX(0,ROUND(($D1152-INDEX(Config!$C$15:$C$18,MATCH($S1152,Config!$B$15:$B$18,0)))*24*60,0)),""))</f>
        <v/>
      </c>
      <c r="O1152" t="str">
        <f t="shared" si="76"/>
        <v/>
      </c>
      <c r="P1152" t="str">
        <f t="shared" si="77"/>
        <v/>
      </c>
      <c r="Q1152" t="str">
        <f>IF(OR($P1152="",$S1152=""),"",IFERROR($P1152-INDEX(Config!$E$15:$E$18,MATCH($S1152,Config!$B$15:$B$18,0)),""))</f>
        <v/>
      </c>
      <c r="R1152" t="str">
        <f t="shared" si="78"/>
        <v/>
      </c>
      <c r="S1152" s="6" t="str">
        <f>IF(OR($A1152="",$C1152=""),"",IFERROR(INDEX(Turno!$C$3:$V$32,MATCH($C1152,Turno!$B$3:$B$32,0),MATCH(DAY($A1152),Turno!$C$1:$V$1,0)),""))</f>
        <v/>
      </c>
      <c r="T1152" t="str">
        <f>IF(OR($E1152="",$S1152=""),"",IFERROR(MAX(0,ROUND((INDEX(Config!$D$15:$D$18,MATCH($S1152,Config!$B$15:$B$18,0))-$E1152)*1440,0)),""))</f>
        <v/>
      </c>
      <c r="U1152" s="13" t="str">
        <f>IF(OR($N1152="",$T1152=""),"",IFERROR(MAX(0,1-($N1152+$T1152+MAX(0,N($Q1152)))/ROUND((INDEX(Config!$D$15:$D$18,MATCH($S1152,Config!$B$15:$B$18,0))-INDEX(Config!$C$15:$C$18,MATCH($S1152,Config!$B$15:$B$18,0)))*1440,0)),""))</f>
        <v/>
      </c>
      <c r="V1152" s="5"/>
    </row>
    <row r="1153" spans="1:22" x14ac:dyDescent="0.25">
      <c r="A1153" s="11"/>
      <c r="B1153" s="5"/>
      <c r="C1153" s="6" t="str">
        <f>IFERROR(INDEX(Ejecutivos!$B$2:$B$100,MATCH(B1153,Ejecutivos!$A$2:$A$100,0)),"")</f>
        <v/>
      </c>
      <c r="D1153" s="12"/>
      <c r="E1153" s="12"/>
      <c r="F1153" s="12"/>
      <c r="G1153" s="12"/>
      <c r="H1153" s="5"/>
      <c r="I1153" s="5"/>
      <c r="J1153" s="5"/>
      <c r="K1153" s="5"/>
      <c r="L1153" s="18">
        <v>0</v>
      </c>
      <c r="M1153" t="str">
        <f t="shared" si="75"/>
        <v/>
      </c>
      <c r="N1153" t="str">
        <f>IF(OR($D1153="",$S1153=""),"",IFERROR(MAX(0,ROUND(($D1153-INDEX(Config!$C$15:$C$18,MATCH($S1153,Config!$B$15:$B$18,0)))*24*60,0)),""))</f>
        <v/>
      </c>
      <c r="O1153" t="str">
        <f t="shared" si="76"/>
        <v/>
      </c>
      <c r="P1153" t="str">
        <f t="shared" si="77"/>
        <v/>
      </c>
      <c r="Q1153" t="str">
        <f>IF(OR($P1153="",$S1153=""),"",IFERROR($P1153-INDEX(Config!$E$15:$E$18,MATCH($S1153,Config!$B$15:$B$18,0)),""))</f>
        <v/>
      </c>
      <c r="R1153" t="str">
        <f t="shared" si="78"/>
        <v/>
      </c>
      <c r="S1153" s="6" t="str">
        <f>IF(OR($A1153="",$C1153=""),"",IFERROR(INDEX(Turno!$C$3:$V$32,MATCH($C1153,Turno!$B$3:$B$32,0),MATCH(DAY($A1153),Turno!$C$1:$V$1,0)),""))</f>
        <v/>
      </c>
      <c r="T1153" t="str">
        <f>IF(OR($E1153="",$S1153=""),"",IFERROR(MAX(0,ROUND((INDEX(Config!$D$15:$D$18,MATCH($S1153,Config!$B$15:$B$18,0))-$E1153)*1440,0)),""))</f>
        <v/>
      </c>
      <c r="U1153" s="13" t="str">
        <f>IF(OR($N1153="",$T1153=""),"",IFERROR(MAX(0,1-($N1153+$T1153+MAX(0,N($Q1153)))/ROUND((INDEX(Config!$D$15:$D$18,MATCH($S1153,Config!$B$15:$B$18,0))-INDEX(Config!$C$15:$C$18,MATCH($S1153,Config!$B$15:$B$18,0)))*1440,0)),""))</f>
        <v/>
      </c>
      <c r="V1153" s="5"/>
    </row>
    <row r="1154" spans="1:22" x14ac:dyDescent="0.25">
      <c r="A1154" s="11"/>
      <c r="B1154" s="5"/>
      <c r="C1154" s="6" t="str">
        <f>IFERROR(INDEX(Ejecutivos!$B$2:$B$100,MATCH(B1154,Ejecutivos!$A$2:$A$100,0)),"")</f>
        <v/>
      </c>
      <c r="D1154" s="12"/>
      <c r="E1154" s="12"/>
      <c r="F1154" s="12"/>
      <c r="G1154" s="12"/>
      <c r="H1154" s="5"/>
      <c r="I1154" s="5"/>
      <c r="J1154" s="5"/>
      <c r="K1154" s="5"/>
      <c r="L1154" s="18">
        <v>0</v>
      </c>
      <c r="M1154" t="str">
        <f t="shared" si="75"/>
        <v/>
      </c>
      <c r="N1154" t="str">
        <f>IF(OR($D1154="",$S1154=""),"",IFERROR(MAX(0,ROUND(($D1154-INDEX(Config!$C$15:$C$18,MATCH($S1154,Config!$B$15:$B$18,0)))*24*60,0)),""))</f>
        <v/>
      </c>
      <c r="O1154" t="str">
        <f t="shared" si="76"/>
        <v/>
      </c>
      <c r="P1154" t="str">
        <f t="shared" si="77"/>
        <v/>
      </c>
      <c r="Q1154" t="str">
        <f>IF(OR($P1154="",$S1154=""),"",IFERROR($P1154-INDEX(Config!$E$15:$E$18,MATCH($S1154,Config!$B$15:$B$18,0)),""))</f>
        <v/>
      </c>
      <c r="R1154" t="str">
        <f t="shared" si="78"/>
        <v/>
      </c>
      <c r="S1154" s="6" t="str">
        <f>IF(OR($A1154="",$C1154=""),"",IFERROR(INDEX(Turno!$C$3:$V$32,MATCH($C1154,Turno!$B$3:$B$32,0),MATCH(DAY($A1154),Turno!$C$1:$V$1,0)),""))</f>
        <v/>
      </c>
      <c r="T1154" t="str">
        <f>IF(OR($E1154="",$S1154=""),"",IFERROR(MAX(0,ROUND((INDEX(Config!$D$15:$D$18,MATCH($S1154,Config!$B$15:$B$18,0))-$E1154)*1440,0)),""))</f>
        <v/>
      </c>
      <c r="U1154" s="13" t="str">
        <f>IF(OR($N1154="",$T1154=""),"",IFERROR(MAX(0,1-($N1154+$T1154+MAX(0,N($Q1154)))/ROUND((INDEX(Config!$D$15:$D$18,MATCH($S1154,Config!$B$15:$B$18,0))-INDEX(Config!$C$15:$C$18,MATCH($S1154,Config!$B$15:$B$18,0)))*1440,0)),""))</f>
        <v/>
      </c>
      <c r="V1154" s="5"/>
    </row>
    <row r="1155" spans="1:22" x14ac:dyDescent="0.25">
      <c r="A1155" s="11"/>
      <c r="B1155" s="5"/>
      <c r="C1155" s="6" t="str">
        <f>IFERROR(INDEX(Ejecutivos!$B$2:$B$100,MATCH(B1155,Ejecutivos!$A$2:$A$100,0)),"")</f>
        <v/>
      </c>
      <c r="D1155" s="12"/>
      <c r="E1155" s="12"/>
      <c r="F1155" s="12"/>
      <c r="G1155" s="12"/>
      <c r="H1155" s="5"/>
      <c r="I1155" s="5"/>
      <c r="J1155" s="5"/>
      <c r="K1155" s="5"/>
      <c r="L1155" s="18">
        <v>0</v>
      </c>
      <c r="M1155" t="str">
        <f t="shared" si="75"/>
        <v/>
      </c>
      <c r="N1155" t="str">
        <f>IF(OR($D1155="",$S1155=""),"",IFERROR(MAX(0,ROUND(($D1155-INDEX(Config!$C$15:$C$18,MATCH($S1155,Config!$B$15:$B$18,0)))*24*60,0)),""))</f>
        <v/>
      </c>
      <c r="O1155" t="str">
        <f t="shared" si="76"/>
        <v/>
      </c>
      <c r="P1155" t="str">
        <f t="shared" si="77"/>
        <v/>
      </c>
      <c r="Q1155" t="str">
        <f>IF(OR($P1155="",$S1155=""),"",IFERROR($P1155-INDEX(Config!$E$15:$E$18,MATCH($S1155,Config!$B$15:$B$18,0)),""))</f>
        <v/>
      </c>
      <c r="R1155" t="str">
        <f t="shared" si="78"/>
        <v/>
      </c>
      <c r="S1155" s="6" t="str">
        <f>IF(OR($A1155="",$C1155=""),"",IFERROR(INDEX(Turno!$C$3:$V$32,MATCH($C1155,Turno!$B$3:$B$32,0),MATCH(DAY($A1155),Turno!$C$1:$V$1,0)),""))</f>
        <v/>
      </c>
      <c r="T1155" t="str">
        <f>IF(OR($E1155="",$S1155=""),"",IFERROR(MAX(0,ROUND((INDEX(Config!$D$15:$D$18,MATCH($S1155,Config!$B$15:$B$18,0))-$E1155)*1440,0)),""))</f>
        <v/>
      </c>
      <c r="U1155" s="13" t="str">
        <f>IF(OR($N1155="",$T1155=""),"",IFERROR(MAX(0,1-($N1155+$T1155+MAX(0,N($Q1155)))/ROUND((INDEX(Config!$D$15:$D$18,MATCH($S1155,Config!$B$15:$B$18,0))-INDEX(Config!$C$15:$C$18,MATCH($S1155,Config!$B$15:$B$18,0)))*1440,0)),""))</f>
        <v/>
      </c>
      <c r="V1155" s="5"/>
    </row>
    <row r="1156" spans="1:22" x14ac:dyDescent="0.25">
      <c r="A1156" s="11"/>
      <c r="B1156" s="5"/>
      <c r="C1156" s="6" t="str">
        <f>IFERROR(INDEX(Ejecutivos!$B$2:$B$100,MATCH(B1156,Ejecutivos!$A$2:$A$100,0)),"")</f>
        <v/>
      </c>
      <c r="D1156" s="12"/>
      <c r="E1156" s="12"/>
      <c r="F1156" s="12"/>
      <c r="G1156" s="12"/>
      <c r="H1156" s="5"/>
      <c r="I1156" s="5"/>
      <c r="J1156" s="5"/>
      <c r="K1156" s="5"/>
      <c r="L1156" s="18">
        <v>0</v>
      </c>
      <c r="M1156" t="str">
        <f t="shared" si="75"/>
        <v/>
      </c>
      <c r="N1156" t="str">
        <f>IF(OR($D1156="",$S1156=""),"",IFERROR(MAX(0,ROUND(($D1156-INDEX(Config!$C$15:$C$18,MATCH($S1156,Config!$B$15:$B$18,0)))*24*60,0)),""))</f>
        <v/>
      </c>
      <c r="O1156" t="str">
        <f t="shared" si="76"/>
        <v/>
      </c>
      <c r="P1156" t="str">
        <f t="shared" si="77"/>
        <v/>
      </c>
      <c r="Q1156" t="str">
        <f>IF(OR($P1156="",$S1156=""),"",IFERROR($P1156-INDEX(Config!$E$15:$E$18,MATCH($S1156,Config!$B$15:$B$18,0)),""))</f>
        <v/>
      </c>
      <c r="R1156" t="str">
        <f t="shared" si="78"/>
        <v/>
      </c>
      <c r="S1156" s="6" t="str">
        <f>IF(OR($A1156="",$C1156=""),"",IFERROR(INDEX(Turno!$C$3:$V$32,MATCH($C1156,Turno!$B$3:$B$32,0),MATCH(DAY($A1156),Turno!$C$1:$V$1,0)),""))</f>
        <v/>
      </c>
      <c r="T1156" t="str">
        <f>IF(OR($E1156="",$S1156=""),"",IFERROR(MAX(0,ROUND((INDEX(Config!$D$15:$D$18,MATCH($S1156,Config!$B$15:$B$18,0))-$E1156)*1440,0)),""))</f>
        <v/>
      </c>
      <c r="U1156" s="13" t="str">
        <f>IF(OR($N1156="",$T1156=""),"",IFERROR(MAX(0,1-($N1156+$T1156+MAX(0,N($Q1156)))/ROUND((INDEX(Config!$D$15:$D$18,MATCH($S1156,Config!$B$15:$B$18,0))-INDEX(Config!$C$15:$C$18,MATCH($S1156,Config!$B$15:$B$18,0)))*1440,0)),""))</f>
        <v/>
      </c>
      <c r="V1156" s="5"/>
    </row>
    <row r="1157" spans="1:22" x14ac:dyDescent="0.25">
      <c r="A1157" s="11"/>
      <c r="B1157" s="5"/>
      <c r="C1157" s="6" t="str">
        <f>IFERROR(INDEX(Ejecutivos!$B$2:$B$100,MATCH(B1157,Ejecutivos!$A$2:$A$100,0)),"")</f>
        <v/>
      </c>
      <c r="D1157" s="12"/>
      <c r="E1157" s="12"/>
      <c r="F1157" s="12"/>
      <c r="G1157" s="12"/>
      <c r="H1157" s="5"/>
      <c r="I1157" s="5"/>
      <c r="J1157" s="5"/>
      <c r="K1157" s="5"/>
      <c r="L1157" s="18">
        <v>0</v>
      </c>
      <c r="M1157" t="str">
        <f t="shared" si="75"/>
        <v/>
      </c>
      <c r="N1157" t="str">
        <f>IF(OR($D1157="",$S1157=""),"",IFERROR(MAX(0,ROUND(($D1157-INDEX(Config!$C$15:$C$18,MATCH($S1157,Config!$B$15:$B$18,0)))*24*60,0)),""))</f>
        <v/>
      </c>
      <c r="O1157" t="str">
        <f t="shared" si="76"/>
        <v/>
      </c>
      <c r="P1157" t="str">
        <f t="shared" si="77"/>
        <v/>
      </c>
      <c r="Q1157" t="str">
        <f>IF(OR($P1157="",$S1157=""),"",IFERROR($P1157-INDEX(Config!$E$15:$E$18,MATCH($S1157,Config!$B$15:$B$18,0)),""))</f>
        <v/>
      </c>
      <c r="R1157" t="str">
        <f t="shared" si="78"/>
        <v/>
      </c>
      <c r="S1157" s="6" t="str">
        <f>IF(OR($A1157="",$C1157=""),"",IFERROR(INDEX(Turno!$C$3:$V$32,MATCH($C1157,Turno!$B$3:$B$32,0),MATCH(DAY($A1157),Turno!$C$1:$V$1,0)),""))</f>
        <v/>
      </c>
      <c r="T1157" t="str">
        <f>IF(OR($E1157="",$S1157=""),"",IFERROR(MAX(0,ROUND((INDEX(Config!$D$15:$D$18,MATCH($S1157,Config!$B$15:$B$18,0))-$E1157)*1440,0)),""))</f>
        <v/>
      </c>
      <c r="U1157" s="13" t="str">
        <f>IF(OR($N1157="",$T1157=""),"",IFERROR(MAX(0,1-($N1157+$T1157+MAX(0,N($Q1157)))/ROUND((INDEX(Config!$D$15:$D$18,MATCH($S1157,Config!$B$15:$B$18,0))-INDEX(Config!$C$15:$C$18,MATCH($S1157,Config!$B$15:$B$18,0)))*1440,0)),""))</f>
        <v/>
      </c>
      <c r="V1157" s="5"/>
    </row>
    <row r="1158" spans="1:22" x14ac:dyDescent="0.25">
      <c r="A1158" s="11"/>
      <c r="B1158" s="5"/>
      <c r="C1158" s="6" t="str">
        <f>IFERROR(INDEX(Ejecutivos!$B$2:$B$100,MATCH(B1158,Ejecutivos!$A$2:$A$100,0)),"")</f>
        <v/>
      </c>
      <c r="D1158" s="12"/>
      <c r="E1158" s="12"/>
      <c r="F1158" s="12"/>
      <c r="G1158" s="12"/>
      <c r="H1158" s="5"/>
      <c r="I1158" s="5"/>
      <c r="J1158" s="5"/>
      <c r="K1158" s="5"/>
      <c r="L1158" s="18">
        <v>0</v>
      </c>
      <c r="M1158" t="str">
        <f t="shared" si="75"/>
        <v/>
      </c>
      <c r="N1158" t="str">
        <f>IF(OR($D1158="",$S1158=""),"",IFERROR(MAX(0,ROUND(($D1158-INDEX(Config!$C$15:$C$18,MATCH($S1158,Config!$B$15:$B$18,0)))*24*60,0)),""))</f>
        <v/>
      </c>
      <c r="O1158" t="str">
        <f t="shared" si="76"/>
        <v/>
      </c>
      <c r="P1158" t="str">
        <f t="shared" si="77"/>
        <v/>
      </c>
      <c r="Q1158" t="str">
        <f>IF(OR($P1158="",$S1158=""),"",IFERROR($P1158-INDEX(Config!$E$15:$E$18,MATCH($S1158,Config!$B$15:$B$18,0)),""))</f>
        <v/>
      </c>
      <c r="R1158" t="str">
        <f t="shared" si="78"/>
        <v/>
      </c>
      <c r="S1158" s="6" t="str">
        <f>IF(OR($A1158="",$C1158=""),"",IFERROR(INDEX(Turno!$C$3:$V$32,MATCH($C1158,Turno!$B$3:$B$32,0),MATCH(DAY($A1158),Turno!$C$1:$V$1,0)),""))</f>
        <v/>
      </c>
      <c r="T1158" t="str">
        <f>IF(OR($E1158="",$S1158=""),"",IFERROR(MAX(0,ROUND((INDEX(Config!$D$15:$D$18,MATCH($S1158,Config!$B$15:$B$18,0))-$E1158)*1440,0)),""))</f>
        <v/>
      </c>
      <c r="U1158" s="13" t="str">
        <f>IF(OR($N1158="",$T1158=""),"",IFERROR(MAX(0,1-($N1158+$T1158+MAX(0,N($Q1158)))/ROUND((INDEX(Config!$D$15:$D$18,MATCH($S1158,Config!$B$15:$B$18,0))-INDEX(Config!$C$15:$C$18,MATCH($S1158,Config!$B$15:$B$18,0)))*1440,0)),""))</f>
        <v/>
      </c>
      <c r="V1158" s="5"/>
    </row>
    <row r="1159" spans="1:22" x14ac:dyDescent="0.25">
      <c r="A1159" s="11"/>
      <c r="B1159" s="5"/>
      <c r="C1159" s="6" t="str">
        <f>IFERROR(INDEX(Ejecutivos!$B$2:$B$100,MATCH(B1159,Ejecutivos!$A$2:$A$100,0)),"")</f>
        <v/>
      </c>
      <c r="D1159" s="12"/>
      <c r="E1159" s="12"/>
      <c r="F1159" s="12"/>
      <c r="G1159" s="12"/>
      <c r="H1159" s="5"/>
      <c r="I1159" s="5"/>
      <c r="J1159" s="5"/>
      <c r="K1159" s="5"/>
      <c r="L1159" s="18">
        <v>0</v>
      </c>
      <c r="M1159" t="str">
        <f t="shared" si="75"/>
        <v/>
      </c>
      <c r="N1159" t="str">
        <f>IF(OR($D1159="",$S1159=""),"",IFERROR(MAX(0,ROUND(($D1159-INDEX(Config!$C$15:$C$18,MATCH($S1159,Config!$B$15:$B$18,0)))*24*60,0)),""))</f>
        <v/>
      </c>
      <c r="O1159" t="str">
        <f t="shared" si="76"/>
        <v/>
      </c>
      <c r="P1159" t="str">
        <f t="shared" si="77"/>
        <v/>
      </c>
      <c r="Q1159" t="str">
        <f>IF(OR($P1159="",$S1159=""),"",IFERROR($P1159-INDEX(Config!$E$15:$E$18,MATCH($S1159,Config!$B$15:$B$18,0)),""))</f>
        <v/>
      </c>
      <c r="R1159" t="str">
        <f t="shared" si="78"/>
        <v/>
      </c>
      <c r="S1159" s="6" t="str">
        <f>IF(OR($A1159="",$C1159=""),"",IFERROR(INDEX(Turno!$C$3:$V$32,MATCH($C1159,Turno!$B$3:$B$32,0),MATCH(DAY($A1159),Turno!$C$1:$V$1,0)),""))</f>
        <v/>
      </c>
      <c r="T1159" t="str">
        <f>IF(OR($E1159="",$S1159=""),"",IFERROR(MAX(0,ROUND((INDEX(Config!$D$15:$D$18,MATCH($S1159,Config!$B$15:$B$18,0))-$E1159)*1440,0)),""))</f>
        <v/>
      </c>
      <c r="U1159" s="13" t="str">
        <f>IF(OR($N1159="",$T1159=""),"",IFERROR(MAX(0,1-($N1159+$T1159+MAX(0,N($Q1159)))/ROUND((INDEX(Config!$D$15:$D$18,MATCH($S1159,Config!$B$15:$B$18,0))-INDEX(Config!$C$15:$C$18,MATCH($S1159,Config!$B$15:$B$18,0)))*1440,0)),""))</f>
        <v/>
      </c>
      <c r="V1159" s="5"/>
    </row>
    <row r="1160" spans="1:22" x14ac:dyDescent="0.25">
      <c r="A1160" s="11"/>
      <c r="B1160" s="5"/>
      <c r="C1160" s="6" t="str">
        <f>IFERROR(INDEX(Ejecutivos!$B$2:$B$100,MATCH(B1160,Ejecutivos!$A$2:$A$100,0)),"")</f>
        <v/>
      </c>
      <c r="D1160" s="12"/>
      <c r="E1160" s="12"/>
      <c r="F1160" s="12"/>
      <c r="G1160" s="12"/>
      <c r="H1160" s="5"/>
      <c r="I1160" s="5"/>
      <c r="J1160" s="5"/>
      <c r="K1160" s="5"/>
      <c r="L1160" s="18">
        <v>0</v>
      </c>
      <c r="M1160" t="str">
        <f t="shared" si="75"/>
        <v/>
      </c>
      <c r="N1160" t="str">
        <f>IF(OR($D1160="",$S1160=""),"",IFERROR(MAX(0,ROUND(($D1160-INDEX(Config!$C$15:$C$18,MATCH($S1160,Config!$B$15:$B$18,0)))*24*60,0)),""))</f>
        <v/>
      </c>
      <c r="O1160" t="str">
        <f t="shared" si="76"/>
        <v/>
      </c>
      <c r="P1160" t="str">
        <f t="shared" si="77"/>
        <v/>
      </c>
      <c r="Q1160" t="str">
        <f>IF(OR($P1160="",$S1160=""),"",IFERROR($P1160-INDEX(Config!$E$15:$E$18,MATCH($S1160,Config!$B$15:$B$18,0)),""))</f>
        <v/>
      </c>
      <c r="R1160" t="str">
        <f t="shared" si="78"/>
        <v/>
      </c>
      <c r="S1160" s="6" t="str">
        <f>IF(OR($A1160="",$C1160=""),"",IFERROR(INDEX(Turno!$C$3:$V$32,MATCH($C1160,Turno!$B$3:$B$32,0),MATCH(DAY($A1160),Turno!$C$1:$V$1,0)),""))</f>
        <v/>
      </c>
      <c r="T1160" t="str">
        <f>IF(OR($E1160="",$S1160=""),"",IFERROR(MAX(0,ROUND((INDEX(Config!$D$15:$D$18,MATCH($S1160,Config!$B$15:$B$18,0))-$E1160)*1440,0)),""))</f>
        <v/>
      </c>
      <c r="U1160" s="13" t="str">
        <f>IF(OR($N1160="",$T1160=""),"",IFERROR(MAX(0,1-($N1160+$T1160+MAX(0,N($Q1160)))/ROUND((INDEX(Config!$D$15:$D$18,MATCH($S1160,Config!$B$15:$B$18,0))-INDEX(Config!$C$15:$C$18,MATCH($S1160,Config!$B$15:$B$18,0)))*1440,0)),""))</f>
        <v/>
      </c>
      <c r="V1160" s="5"/>
    </row>
    <row r="1161" spans="1:22" x14ac:dyDescent="0.25">
      <c r="A1161" s="11"/>
      <c r="B1161" s="5"/>
      <c r="C1161" s="6" t="str">
        <f>IFERROR(INDEX(Ejecutivos!$B$2:$B$100,MATCH(B1161,Ejecutivos!$A$2:$A$100,0)),"")</f>
        <v/>
      </c>
      <c r="D1161" s="12"/>
      <c r="E1161" s="12"/>
      <c r="F1161" s="12"/>
      <c r="G1161" s="12"/>
      <c r="H1161" s="5"/>
      <c r="I1161" s="5"/>
      <c r="J1161" s="5"/>
      <c r="K1161" s="5"/>
      <c r="L1161" s="18">
        <v>0</v>
      </c>
      <c r="M1161" t="str">
        <f t="shared" si="75"/>
        <v/>
      </c>
      <c r="N1161" t="str">
        <f>IF(OR($D1161="",$S1161=""),"",IFERROR(MAX(0,ROUND(($D1161-INDEX(Config!$C$15:$C$18,MATCH($S1161,Config!$B$15:$B$18,0)))*24*60,0)),""))</f>
        <v/>
      </c>
      <c r="O1161" t="str">
        <f t="shared" si="76"/>
        <v/>
      </c>
      <c r="P1161" t="str">
        <f t="shared" si="77"/>
        <v/>
      </c>
      <c r="Q1161" t="str">
        <f>IF(OR($P1161="",$S1161=""),"",IFERROR($P1161-INDEX(Config!$E$15:$E$18,MATCH($S1161,Config!$B$15:$B$18,0)),""))</f>
        <v/>
      </c>
      <c r="R1161" t="str">
        <f t="shared" si="78"/>
        <v/>
      </c>
      <c r="S1161" s="6" t="str">
        <f>IF(OR($A1161="",$C1161=""),"",IFERROR(INDEX(Turno!$C$3:$V$32,MATCH($C1161,Turno!$B$3:$B$32,0),MATCH(DAY($A1161),Turno!$C$1:$V$1,0)),""))</f>
        <v/>
      </c>
      <c r="T1161" t="str">
        <f>IF(OR($E1161="",$S1161=""),"",IFERROR(MAX(0,ROUND((INDEX(Config!$D$15:$D$18,MATCH($S1161,Config!$B$15:$B$18,0))-$E1161)*1440,0)),""))</f>
        <v/>
      </c>
      <c r="U1161" s="13" t="str">
        <f>IF(OR($N1161="",$T1161=""),"",IFERROR(MAX(0,1-($N1161+$T1161+MAX(0,N($Q1161)))/ROUND((INDEX(Config!$D$15:$D$18,MATCH($S1161,Config!$B$15:$B$18,0))-INDEX(Config!$C$15:$C$18,MATCH($S1161,Config!$B$15:$B$18,0)))*1440,0)),""))</f>
        <v/>
      </c>
      <c r="V1161" s="5"/>
    </row>
    <row r="1162" spans="1:22" x14ac:dyDescent="0.25">
      <c r="A1162" s="11"/>
      <c r="B1162" s="5"/>
      <c r="C1162" s="6" t="str">
        <f>IFERROR(INDEX(Ejecutivos!$B$2:$B$100,MATCH(B1162,Ejecutivos!$A$2:$A$100,0)),"")</f>
        <v/>
      </c>
      <c r="D1162" s="12"/>
      <c r="E1162" s="12"/>
      <c r="F1162" s="12"/>
      <c r="G1162" s="12"/>
      <c r="H1162" s="5"/>
      <c r="I1162" s="5"/>
      <c r="J1162" s="5"/>
      <c r="K1162" s="5"/>
      <c r="L1162" s="18">
        <v>0</v>
      </c>
      <c r="M1162" t="str">
        <f t="shared" si="75"/>
        <v/>
      </c>
      <c r="N1162" t="str">
        <f>IF(OR($D1162="",$S1162=""),"",IFERROR(MAX(0,ROUND(($D1162-INDEX(Config!$C$15:$C$18,MATCH($S1162,Config!$B$15:$B$18,0)))*24*60,0)),""))</f>
        <v/>
      </c>
      <c r="O1162" t="str">
        <f t="shared" si="76"/>
        <v/>
      </c>
      <c r="P1162" t="str">
        <f t="shared" si="77"/>
        <v/>
      </c>
      <c r="Q1162" t="str">
        <f>IF(OR($P1162="",$S1162=""),"",IFERROR($P1162-INDEX(Config!$E$15:$E$18,MATCH($S1162,Config!$B$15:$B$18,0)),""))</f>
        <v/>
      </c>
      <c r="R1162" t="str">
        <f t="shared" si="78"/>
        <v/>
      </c>
      <c r="S1162" s="6" t="str">
        <f>IF(OR($A1162="",$C1162=""),"",IFERROR(INDEX(Turno!$C$3:$V$32,MATCH($C1162,Turno!$B$3:$B$32,0),MATCH(DAY($A1162),Turno!$C$1:$V$1,0)),""))</f>
        <v/>
      </c>
      <c r="T1162" t="str">
        <f>IF(OR($E1162="",$S1162=""),"",IFERROR(MAX(0,ROUND((INDEX(Config!$D$15:$D$18,MATCH($S1162,Config!$B$15:$B$18,0))-$E1162)*1440,0)),""))</f>
        <v/>
      </c>
      <c r="U1162" s="13" t="str">
        <f>IF(OR($N1162="",$T1162=""),"",IFERROR(MAX(0,1-($N1162+$T1162+MAX(0,N($Q1162)))/ROUND((INDEX(Config!$D$15:$D$18,MATCH($S1162,Config!$B$15:$B$18,0))-INDEX(Config!$C$15:$C$18,MATCH($S1162,Config!$B$15:$B$18,0)))*1440,0)),""))</f>
        <v/>
      </c>
      <c r="V1162" s="5"/>
    </row>
    <row r="1163" spans="1:22" x14ac:dyDescent="0.25">
      <c r="A1163" s="11"/>
      <c r="B1163" s="5"/>
      <c r="C1163" s="6" t="str">
        <f>IFERROR(INDEX(Ejecutivos!$B$2:$B$100,MATCH(B1163,Ejecutivos!$A$2:$A$100,0)),"")</f>
        <v/>
      </c>
      <c r="D1163" s="12"/>
      <c r="E1163" s="12"/>
      <c r="F1163" s="12"/>
      <c r="G1163" s="12"/>
      <c r="H1163" s="5"/>
      <c r="I1163" s="5"/>
      <c r="J1163" s="5"/>
      <c r="K1163" s="5"/>
      <c r="L1163" s="18">
        <v>0</v>
      </c>
      <c r="M1163" t="str">
        <f t="shared" si="75"/>
        <v/>
      </c>
      <c r="N1163" t="str">
        <f>IF(OR($D1163="",$S1163=""),"",IFERROR(MAX(0,ROUND(($D1163-INDEX(Config!$C$15:$C$18,MATCH($S1163,Config!$B$15:$B$18,0)))*24*60,0)),""))</f>
        <v/>
      </c>
      <c r="O1163" t="str">
        <f t="shared" si="76"/>
        <v/>
      </c>
      <c r="P1163" t="str">
        <f t="shared" si="77"/>
        <v/>
      </c>
      <c r="Q1163" t="str">
        <f>IF(OR($P1163="",$S1163=""),"",IFERROR($P1163-INDEX(Config!$E$15:$E$18,MATCH($S1163,Config!$B$15:$B$18,0)),""))</f>
        <v/>
      </c>
      <c r="R1163" t="str">
        <f t="shared" si="78"/>
        <v/>
      </c>
      <c r="S1163" s="6" t="str">
        <f>IF(OR($A1163="",$C1163=""),"",IFERROR(INDEX(Turno!$C$3:$V$32,MATCH($C1163,Turno!$B$3:$B$32,0),MATCH(DAY($A1163),Turno!$C$1:$V$1,0)),""))</f>
        <v/>
      </c>
      <c r="T1163" t="str">
        <f>IF(OR($E1163="",$S1163=""),"",IFERROR(MAX(0,ROUND((INDEX(Config!$D$15:$D$18,MATCH($S1163,Config!$B$15:$B$18,0))-$E1163)*1440,0)),""))</f>
        <v/>
      </c>
      <c r="U1163" s="13" t="str">
        <f>IF(OR($N1163="",$T1163=""),"",IFERROR(MAX(0,1-($N1163+$T1163+MAX(0,N($Q1163)))/ROUND((INDEX(Config!$D$15:$D$18,MATCH($S1163,Config!$B$15:$B$18,0))-INDEX(Config!$C$15:$C$18,MATCH($S1163,Config!$B$15:$B$18,0)))*1440,0)),""))</f>
        <v/>
      </c>
      <c r="V1163" s="5"/>
    </row>
    <row r="1164" spans="1:22" x14ac:dyDescent="0.25">
      <c r="A1164" s="11"/>
      <c r="B1164" s="5"/>
      <c r="C1164" s="6" t="str">
        <f>IFERROR(INDEX(Ejecutivos!$B$2:$B$100,MATCH(B1164,Ejecutivos!$A$2:$A$100,0)),"")</f>
        <v/>
      </c>
      <c r="D1164" s="12"/>
      <c r="E1164" s="12"/>
      <c r="F1164" s="12"/>
      <c r="G1164" s="12"/>
      <c r="H1164" s="5"/>
      <c r="I1164" s="5"/>
      <c r="J1164" s="5"/>
      <c r="K1164" s="5"/>
      <c r="L1164" s="18">
        <v>0</v>
      </c>
      <c r="M1164" t="str">
        <f t="shared" si="75"/>
        <v/>
      </c>
      <c r="N1164" t="str">
        <f>IF(OR($D1164="",$S1164=""),"",IFERROR(MAX(0,ROUND(($D1164-INDEX(Config!$C$15:$C$18,MATCH($S1164,Config!$B$15:$B$18,0)))*24*60,0)),""))</f>
        <v/>
      </c>
      <c r="O1164" t="str">
        <f t="shared" si="76"/>
        <v/>
      </c>
      <c r="P1164" t="str">
        <f t="shared" si="77"/>
        <v/>
      </c>
      <c r="Q1164" t="str">
        <f>IF(OR($P1164="",$S1164=""),"",IFERROR($P1164-INDEX(Config!$E$15:$E$18,MATCH($S1164,Config!$B$15:$B$18,0)),""))</f>
        <v/>
      </c>
      <c r="R1164" t="str">
        <f t="shared" si="78"/>
        <v/>
      </c>
      <c r="S1164" s="6" t="str">
        <f>IF(OR($A1164="",$C1164=""),"",IFERROR(INDEX(Turno!$C$3:$V$32,MATCH($C1164,Turno!$B$3:$B$32,0),MATCH(DAY($A1164),Turno!$C$1:$V$1,0)),""))</f>
        <v/>
      </c>
      <c r="T1164" t="str">
        <f>IF(OR($E1164="",$S1164=""),"",IFERROR(MAX(0,ROUND((INDEX(Config!$D$15:$D$18,MATCH($S1164,Config!$B$15:$B$18,0))-$E1164)*1440,0)),""))</f>
        <v/>
      </c>
      <c r="U1164" s="13" t="str">
        <f>IF(OR($N1164="",$T1164=""),"",IFERROR(MAX(0,1-($N1164+$T1164+MAX(0,N($Q1164)))/ROUND((INDEX(Config!$D$15:$D$18,MATCH($S1164,Config!$B$15:$B$18,0))-INDEX(Config!$C$15:$C$18,MATCH($S1164,Config!$B$15:$B$18,0)))*1440,0)),""))</f>
        <v/>
      </c>
      <c r="V1164" s="5"/>
    </row>
    <row r="1165" spans="1:22" x14ac:dyDescent="0.25">
      <c r="A1165" s="11"/>
      <c r="B1165" s="5"/>
      <c r="C1165" s="6" t="str">
        <f>IFERROR(INDEX(Ejecutivos!$B$2:$B$100,MATCH(B1165,Ejecutivos!$A$2:$A$100,0)),"")</f>
        <v/>
      </c>
      <c r="D1165" s="12"/>
      <c r="E1165" s="12"/>
      <c r="F1165" s="12"/>
      <c r="G1165" s="12"/>
      <c r="H1165" s="5"/>
      <c r="I1165" s="5"/>
      <c r="J1165" s="5"/>
      <c r="K1165" s="5"/>
      <c r="L1165" s="18">
        <v>0</v>
      </c>
      <c r="M1165" t="str">
        <f t="shared" si="75"/>
        <v/>
      </c>
      <c r="N1165" t="str">
        <f>IF(OR($D1165="",$S1165=""),"",IFERROR(MAX(0,ROUND(($D1165-INDEX(Config!$C$15:$C$18,MATCH($S1165,Config!$B$15:$B$18,0)))*24*60,0)),""))</f>
        <v/>
      </c>
      <c r="O1165" t="str">
        <f t="shared" si="76"/>
        <v/>
      </c>
      <c r="P1165" t="str">
        <f t="shared" si="77"/>
        <v/>
      </c>
      <c r="Q1165" t="str">
        <f>IF(OR($P1165="",$S1165=""),"",IFERROR($P1165-INDEX(Config!$E$15:$E$18,MATCH($S1165,Config!$B$15:$B$18,0)),""))</f>
        <v/>
      </c>
      <c r="R1165" t="str">
        <f t="shared" si="78"/>
        <v/>
      </c>
      <c r="S1165" s="6" t="str">
        <f>IF(OR($A1165="",$C1165=""),"",IFERROR(INDEX(Turno!$C$3:$V$32,MATCH($C1165,Turno!$B$3:$B$32,0),MATCH(DAY($A1165),Turno!$C$1:$V$1,0)),""))</f>
        <v/>
      </c>
      <c r="T1165" t="str">
        <f>IF(OR($E1165="",$S1165=""),"",IFERROR(MAX(0,ROUND((INDEX(Config!$D$15:$D$18,MATCH($S1165,Config!$B$15:$B$18,0))-$E1165)*1440,0)),""))</f>
        <v/>
      </c>
      <c r="U1165" s="13" t="str">
        <f>IF(OR($N1165="",$T1165=""),"",IFERROR(MAX(0,1-($N1165+$T1165+MAX(0,N($Q1165)))/ROUND((INDEX(Config!$D$15:$D$18,MATCH($S1165,Config!$B$15:$B$18,0))-INDEX(Config!$C$15:$C$18,MATCH($S1165,Config!$B$15:$B$18,0)))*1440,0)),""))</f>
        <v/>
      </c>
      <c r="V1165" s="5"/>
    </row>
    <row r="1166" spans="1:22" x14ac:dyDescent="0.25">
      <c r="A1166" s="11"/>
      <c r="B1166" s="5"/>
      <c r="C1166" s="6" t="str">
        <f>IFERROR(INDEX(Ejecutivos!$B$2:$B$100,MATCH(B1166,Ejecutivos!$A$2:$A$100,0)),"")</f>
        <v/>
      </c>
      <c r="D1166" s="12"/>
      <c r="E1166" s="12"/>
      <c r="F1166" s="12"/>
      <c r="G1166" s="12"/>
      <c r="H1166" s="5"/>
      <c r="I1166" s="5"/>
      <c r="J1166" s="5"/>
      <c r="K1166" s="5"/>
      <c r="L1166" s="18">
        <v>0</v>
      </c>
      <c r="M1166" t="str">
        <f t="shared" si="75"/>
        <v/>
      </c>
      <c r="N1166" t="str">
        <f>IF(OR($D1166="",$S1166=""),"",IFERROR(MAX(0,ROUND(($D1166-INDEX(Config!$C$15:$C$18,MATCH($S1166,Config!$B$15:$B$18,0)))*24*60,0)),""))</f>
        <v/>
      </c>
      <c r="O1166" t="str">
        <f t="shared" si="76"/>
        <v/>
      </c>
      <c r="P1166" t="str">
        <f t="shared" si="77"/>
        <v/>
      </c>
      <c r="Q1166" t="str">
        <f>IF(OR($P1166="",$S1166=""),"",IFERROR($P1166-INDEX(Config!$E$15:$E$18,MATCH($S1166,Config!$B$15:$B$18,0)),""))</f>
        <v/>
      </c>
      <c r="R1166" t="str">
        <f t="shared" si="78"/>
        <v/>
      </c>
      <c r="S1166" s="6" t="str">
        <f>IF(OR($A1166="",$C1166=""),"",IFERROR(INDEX(Turno!$C$3:$V$32,MATCH($C1166,Turno!$B$3:$B$32,0),MATCH(DAY($A1166),Turno!$C$1:$V$1,0)),""))</f>
        <v/>
      </c>
      <c r="T1166" t="str">
        <f>IF(OR($E1166="",$S1166=""),"",IFERROR(MAX(0,ROUND((INDEX(Config!$D$15:$D$18,MATCH($S1166,Config!$B$15:$B$18,0))-$E1166)*1440,0)),""))</f>
        <v/>
      </c>
      <c r="U1166" s="13" t="str">
        <f>IF(OR($N1166="",$T1166=""),"",IFERROR(MAX(0,1-($N1166+$T1166+MAX(0,N($Q1166)))/ROUND((INDEX(Config!$D$15:$D$18,MATCH($S1166,Config!$B$15:$B$18,0))-INDEX(Config!$C$15:$C$18,MATCH($S1166,Config!$B$15:$B$18,0)))*1440,0)),""))</f>
        <v/>
      </c>
      <c r="V1166" s="5"/>
    </row>
    <row r="1167" spans="1:22" x14ac:dyDescent="0.25">
      <c r="A1167" s="11"/>
      <c r="B1167" s="5"/>
      <c r="C1167" s="6" t="str">
        <f>IFERROR(INDEX(Ejecutivos!$B$2:$B$100,MATCH(B1167,Ejecutivos!$A$2:$A$100,0)),"")</f>
        <v/>
      </c>
      <c r="D1167" s="12"/>
      <c r="E1167" s="12"/>
      <c r="F1167" s="12"/>
      <c r="G1167" s="12"/>
      <c r="H1167" s="5"/>
      <c r="I1167" s="5"/>
      <c r="J1167" s="5"/>
      <c r="K1167" s="5"/>
      <c r="L1167" s="18">
        <v>0</v>
      </c>
      <c r="M1167" t="str">
        <f t="shared" si="75"/>
        <v/>
      </c>
      <c r="N1167" t="str">
        <f>IF(OR($D1167="",$S1167=""),"",IFERROR(MAX(0,ROUND(($D1167-INDEX(Config!$C$15:$C$18,MATCH($S1167,Config!$B$15:$B$18,0)))*24*60,0)),""))</f>
        <v/>
      </c>
      <c r="O1167" t="str">
        <f t="shared" si="76"/>
        <v/>
      </c>
      <c r="P1167" t="str">
        <f t="shared" si="77"/>
        <v/>
      </c>
      <c r="Q1167" t="str">
        <f>IF(OR($P1167="",$S1167=""),"",IFERROR($P1167-INDEX(Config!$E$15:$E$18,MATCH($S1167,Config!$B$15:$B$18,0)),""))</f>
        <v/>
      </c>
      <c r="R1167" t="str">
        <f t="shared" si="78"/>
        <v/>
      </c>
      <c r="S1167" s="6" t="str">
        <f>IF(OR($A1167="",$C1167=""),"",IFERROR(INDEX(Turno!$C$3:$V$32,MATCH($C1167,Turno!$B$3:$B$32,0),MATCH(DAY($A1167),Turno!$C$1:$V$1,0)),""))</f>
        <v/>
      </c>
      <c r="T1167" t="str">
        <f>IF(OR($E1167="",$S1167=""),"",IFERROR(MAX(0,ROUND((INDEX(Config!$D$15:$D$18,MATCH($S1167,Config!$B$15:$B$18,0))-$E1167)*1440,0)),""))</f>
        <v/>
      </c>
      <c r="U1167" s="13" t="str">
        <f>IF(OR($N1167="",$T1167=""),"",IFERROR(MAX(0,1-($N1167+$T1167+MAX(0,N($Q1167)))/ROUND((INDEX(Config!$D$15:$D$18,MATCH($S1167,Config!$B$15:$B$18,0))-INDEX(Config!$C$15:$C$18,MATCH($S1167,Config!$B$15:$B$18,0)))*1440,0)),""))</f>
        <v/>
      </c>
      <c r="V1167" s="5"/>
    </row>
    <row r="1168" spans="1:22" x14ac:dyDescent="0.25">
      <c r="A1168" s="11"/>
      <c r="B1168" s="5"/>
      <c r="C1168" s="6" t="str">
        <f>IFERROR(INDEX(Ejecutivos!$B$2:$B$100,MATCH(B1168,Ejecutivos!$A$2:$A$100,0)),"")</f>
        <v/>
      </c>
      <c r="D1168" s="12"/>
      <c r="E1168" s="12"/>
      <c r="F1168" s="12"/>
      <c r="G1168" s="12"/>
      <c r="H1168" s="5"/>
      <c r="I1168" s="5"/>
      <c r="J1168" s="5"/>
      <c r="K1168" s="5"/>
      <c r="L1168" s="18">
        <v>0</v>
      </c>
      <c r="M1168" t="str">
        <f t="shared" si="75"/>
        <v/>
      </c>
      <c r="N1168" t="str">
        <f>IF(OR($D1168="",$S1168=""),"",IFERROR(MAX(0,ROUND(($D1168-INDEX(Config!$C$15:$C$18,MATCH($S1168,Config!$B$15:$B$18,0)))*24*60,0)),""))</f>
        <v/>
      </c>
      <c r="O1168" t="str">
        <f t="shared" si="76"/>
        <v/>
      </c>
      <c r="P1168" t="str">
        <f t="shared" si="77"/>
        <v/>
      </c>
      <c r="Q1168" t="str">
        <f>IF(OR($P1168="",$S1168=""),"",IFERROR($P1168-INDEX(Config!$E$15:$E$18,MATCH($S1168,Config!$B$15:$B$18,0)),""))</f>
        <v/>
      </c>
      <c r="R1168" t="str">
        <f t="shared" si="78"/>
        <v/>
      </c>
      <c r="S1168" s="6" t="str">
        <f>IF(OR($A1168="",$C1168=""),"",IFERROR(INDEX(Turno!$C$3:$V$32,MATCH($C1168,Turno!$B$3:$B$32,0),MATCH(DAY($A1168),Turno!$C$1:$V$1,0)),""))</f>
        <v/>
      </c>
      <c r="T1168" t="str">
        <f>IF(OR($E1168="",$S1168=""),"",IFERROR(MAX(0,ROUND((INDEX(Config!$D$15:$D$18,MATCH($S1168,Config!$B$15:$B$18,0))-$E1168)*1440,0)),""))</f>
        <v/>
      </c>
      <c r="U1168" s="13" t="str">
        <f>IF(OR($N1168="",$T1168=""),"",IFERROR(MAX(0,1-($N1168+$T1168+MAX(0,N($Q1168)))/ROUND((INDEX(Config!$D$15:$D$18,MATCH($S1168,Config!$B$15:$B$18,0))-INDEX(Config!$C$15:$C$18,MATCH($S1168,Config!$B$15:$B$18,0)))*1440,0)),""))</f>
        <v/>
      </c>
      <c r="V1168" s="5"/>
    </row>
    <row r="1169" spans="1:22" x14ac:dyDescent="0.25">
      <c r="A1169" s="11"/>
      <c r="B1169" s="5"/>
      <c r="C1169" s="6" t="str">
        <f>IFERROR(INDEX(Ejecutivos!$B$2:$B$100,MATCH(B1169,Ejecutivos!$A$2:$A$100,0)),"")</f>
        <v/>
      </c>
      <c r="D1169" s="12"/>
      <c r="E1169" s="12"/>
      <c r="F1169" s="12"/>
      <c r="G1169" s="12"/>
      <c r="H1169" s="5"/>
      <c r="I1169" s="5"/>
      <c r="J1169" s="5"/>
      <c r="K1169" s="5"/>
      <c r="L1169" s="18">
        <v>0</v>
      </c>
      <c r="M1169" t="str">
        <f t="shared" si="75"/>
        <v/>
      </c>
      <c r="N1169" t="str">
        <f>IF(OR($D1169="",$S1169=""),"",IFERROR(MAX(0,ROUND(($D1169-INDEX(Config!$C$15:$C$18,MATCH($S1169,Config!$B$15:$B$18,0)))*24*60,0)),""))</f>
        <v/>
      </c>
      <c r="O1169" t="str">
        <f t="shared" si="76"/>
        <v/>
      </c>
      <c r="P1169" t="str">
        <f t="shared" si="77"/>
        <v/>
      </c>
      <c r="Q1169" t="str">
        <f>IF(OR($P1169="",$S1169=""),"",IFERROR($P1169-INDEX(Config!$E$15:$E$18,MATCH($S1169,Config!$B$15:$B$18,0)),""))</f>
        <v/>
      </c>
      <c r="R1169" t="str">
        <f t="shared" si="78"/>
        <v/>
      </c>
      <c r="S1169" s="6" t="str">
        <f>IF(OR($A1169="",$C1169=""),"",IFERROR(INDEX(Turno!$C$3:$V$32,MATCH($C1169,Turno!$B$3:$B$32,0),MATCH(DAY($A1169),Turno!$C$1:$V$1,0)),""))</f>
        <v/>
      </c>
      <c r="T1169" t="str">
        <f>IF(OR($E1169="",$S1169=""),"",IFERROR(MAX(0,ROUND((INDEX(Config!$D$15:$D$18,MATCH($S1169,Config!$B$15:$B$18,0))-$E1169)*1440,0)),""))</f>
        <v/>
      </c>
      <c r="U1169" s="13" t="str">
        <f>IF(OR($N1169="",$T1169=""),"",IFERROR(MAX(0,1-($N1169+$T1169+MAX(0,N($Q1169)))/ROUND((INDEX(Config!$D$15:$D$18,MATCH($S1169,Config!$B$15:$B$18,0))-INDEX(Config!$C$15:$C$18,MATCH($S1169,Config!$B$15:$B$18,0)))*1440,0)),""))</f>
        <v/>
      </c>
      <c r="V1169" s="5"/>
    </row>
    <row r="1170" spans="1:22" x14ac:dyDescent="0.25">
      <c r="A1170" s="11"/>
      <c r="B1170" s="5"/>
      <c r="C1170" s="6" t="str">
        <f>IFERROR(INDEX(Ejecutivos!$B$2:$B$100,MATCH(B1170,Ejecutivos!$A$2:$A$100,0)),"")</f>
        <v/>
      </c>
      <c r="D1170" s="12"/>
      <c r="E1170" s="12"/>
      <c r="F1170" s="12"/>
      <c r="G1170" s="12"/>
      <c r="H1170" s="5"/>
      <c r="I1170" s="5"/>
      <c r="J1170" s="5"/>
      <c r="K1170" s="5"/>
      <c r="L1170" s="18">
        <v>0</v>
      </c>
      <c r="M1170" t="str">
        <f t="shared" si="75"/>
        <v/>
      </c>
      <c r="N1170" t="str">
        <f>IF(OR($D1170="",$S1170=""),"",IFERROR(MAX(0,ROUND(($D1170-INDEX(Config!$C$15:$C$18,MATCH($S1170,Config!$B$15:$B$18,0)))*24*60,0)),""))</f>
        <v/>
      </c>
      <c r="O1170" t="str">
        <f t="shared" si="76"/>
        <v/>
      </c>
      <c r="P1170" t="str">
        <f t="shared" si="77"/>
        <v/>
      </c>
      <c r="Q1170" t="str">
        <f>IF(OR($P1170="",$S1170=""),"",IFERROR($P1170-INDEX(Config!$E$15:$E$18,MATCH($S1170,Config!$B$15:$B$18,0)),""))</f>
        <v/>
      </c>
      <c r="R1170" t="str">
        <f t="shared" si="78"/>
        <v/>
      </c>
      <c r="S1170" s="6" t="str">
        <f>IF(OR($A1170="",$C1170=""),"",IFERROR(INDEX(Turno!$C$3:$V$32,MATCH($C1170,Turno!$B$3:$B$32,0),MATCH(DAY($A1170),Turno!$C$1:$V$1,0)),""))</f>
        <v/>
      </c>
      <c r="T1170" t="str">
        <f>IF(OR($E1170="",$S1170=""),"",IFERROR(MAX(0,ROUND((INDEX(Config!$D$15:$D$18,MATCH($S1170,Config!$B$15:$B$18,0))-$E1170)*1440,0)),""))</f>
        <v/>
      </c>
      <c r="U1170" s="13" t="str">
        <f>IF(OR($N1170="",$T1170=""),"",IFERROR(MAX(0,1-($N1170+$T1170+MAX(0,N($Q1170)))/ROUND((INDEX(Config!$D$15:$D$18,MATCH($S1170,Config!$B$15:$B$18,0))-INDEX(Config!$C$15:$C$18,MATCH($S1170,Config!$B$15:$B$18,0)))*1440,0)),""))</f>
        <v/>
      </c>
      <c r="V1170" s="5"/>
    </row>
    <row r="1171" spans="1:22" x14ac:dyDescent="0.25">
      <c r="A1171" s="11"/>
      <c r="B1171" s="5"/>
      <c r="C1171" s="6" t="str">
        <f>IFERROR(INDEX(Ejecutivos!$B$2:$B$100,MATCH(B1171,Ejecutivos!$A$2:$A$100,0)),"")</f>
        <v/>
      </c>
      <c r="D1171" s="12"/>
      <c r="E1171" s="12"/>
      <c r="F1171" s="12"/>
      <c r="G1171" s="12"/>
      <c r="H1171" s="5"/>
      <c r="I1171" s="5"/>
      <c r="J1171" s="5"/>
      <c r="K1171" s="5"/>
      <c r="L1171" s="18">
        <v>0</v>
      </c>
      <c r="M1171" t="str">
        <f t="shared" si="75"/>
        <v/>
      </c>
      <c r="N1171" t="str">
        <f>IF(OR($D1171="",$S1171=""),"",IFERROR(MAX(0,ROUND(($D1171-INDEX(Config!$C$15:$C$18,MATCH($S1171,Config!$B$15:$B$18,0)))*24*60,0)),""))</f>
        <v/>
      </c>
      <c r="O1171" t="str">
        <f t="shared" si="76"/>
        <v/>
      </c>
      <c r="P1171" t="str">
        <f t="shared" si="77"/>
        <v/>
      </c>
      <c r="Q1171" t="str">
        <f>IF(OR($P1171="",$S1171=""),"",IFERROR($P1171-INDEX(Config!$E$15:$E$18,MATCH($S1171,Config!$B$15:$B$18,0)),""))</f>
        <v/>
      </c>
      <c r="R1171" t="str">
        <f t="shared" si="78"/>
        <v/>
      </c>
      <c r="S1171" s="6" t="str">
        <f>IF(OR($A1171="",$C1171=""),"",IFERROR(INDEX(Turno!$C$3:$V$32,MATCH($C1171,Turno!$B$3:$B$32,0),MATCH(DAY($A1171),Turno!$C$1:$V$1,0)),""))</f>
        <v/>
      </c>
      <c r="T1171" t="str">
        <f>IF(OR($E1171="",$S1171=""),"",IFERROR(MAX(0,ROUND((INDEX(Config!$D$15:$D$18,MATCH($S1171,Config!$B$15:$B$18,0))-$E1171)*1440,0)),""))</f>
        <v/>
      </c>
      <c r="U1171" s="13" t="str">
        <f>IF(OR($N1171="",$T1171=""),"",IFERROR(MAX(0,1-($N1171+$T1171+MAX(0,N($Q1171)))/ROUND((INDEX(Config!$D$15:$D$18,MATCH($S1171,Config!$B$15:$B$18,0))-INDEX(Config!$C$15:$C$18,MATCH($S1171,Config!$B$15:$B$18,0)))*1440,0)),""))</f>
        <v/>
      </c>
      <c r="V1171" s="5"/>
    </row>
    <row r="1172" spans="1:22" x14ac:dyDescent="0.25">
      <c r="A1172" s="11"/>
      <c r="B1172" s="5"/>
      <c r="C1172" s="6" t="str">
        <f>IFERROR(INDEX(Ejecutivos!$B$2:$B$100,MATCH(B1172,Ejecutivos!$A$2:$A$100,0)),"")</f>
        <v/>
      </c>
      <c r="D1172" s="12"/>
      <c r="E1172" s="12"/>
      <c r="F1172" s="12"/>
      <c r="G1172" s="12"/>
      <c r="H1172" s="5"/>
      <c r="I1172" s="5"/>
      <c r="J1172" s="5"/>
      <c r="K1172" s="5"/>
      <c r="L1172" s="18">
        <v>0</v>
      </c>
      <c r="M1172" t="str">
        <f t="shared" si="75"/>
        <v/>
      </c>
      <c r="N1172" t="str">
        <f>IF(OR($D1172="",$S1172=""),"",IFERROR(MAX(0,ROUND(($D1172-INDEX(Config!$C$15:$C$18,MATCH($S1172,Config!$B$15:$B$18,0)))*24*60,0)),""))</f>
        <v/>
      </c>
      <c r="O1172" t="str">
        <f t="shared" si="76"/>
        <v/>
      </c>
      <c r="P1172" t="str">
        <f t="shared" si="77"/>
        <v/>
      </c>
      <c r="Q1172" t="str">
        <f>IF(OR($P1172="",$S1172=""),"",IFERROR($P1172-INDEX(Config!$E$15:$E$18,MATCH($S1172,Config!$B$15:$B$18,0)),""))</f>
        <v/>
      </c>
      <c r="R1172" t="str">
        <f t="shared" si="78"/>
        <v/>
      </c>
      <c r="S1172" s="6" t="str">
        <f>IF(OR($A1172="",$C1172=""),"",IFERROR(INDEX(Turno!$C$3:$V$32,MATCH($C1172,Turno!$B$3:$B$32,0),MATCH(DAY($A1172),Turno!$C$1:$V$1,0)),""))</f>
        <v/>
      </c>
      <c r="T1172" t="str">
        <f>IF(OR($E1172="",$S1172=""),"",IFERROR(MAX(0,ROUND((INDEX(Config!$D$15:$D$18,MATCH($S1172,Config!$B$15:$B$18,0))-$E1172)*1440,0)),""))</f>
        <v/>
      </c>
      <c r="U1172" s="13" t="str">
        <f>IF(OR($N1172="",$T1172=""),"",IFERROR(MAX(0,1-($N1172+$T1172+MAX(0,N($Q1172)))/ROUND((INDEX(Config!$D$15:$D$18,MATCH($S1172,Config!$B$15:$B$18,0))-INDEX(Config!$C$15:$C$18,MATCH($S1172,Config!$B$15:$B$18,0)))*1440,0)),""))</f>
        <v/>
      </c>
      <c r="V1172" s="5"/>
    </row>
    <row r="1173" spans="1:22" x14ac:dyDescent="0.25">
      <c r="A1173" s="11"/>
      <c r="B1173" s="5"/>
      <c r="C1173" s="6" t="str">
        <f>IFERROR(INDEX(Ejecutivos!$B$2:$B$100,MATCH(B1173,Ejecutivos!$A$2:$A$100,0)),"")</f>
        <v/>
      </c>
      <c r="D1173" s="12"/>
      <c r="E1173" s="12"/>
      <c r="F1173" s="12"/>
      <c r="G1173" s="12"/>
      <c r="H1173" s="5"/>
      <c r="I1173" s="5"/>
      <c r="J1173" s="5"/>
      <c r="K1173" s="5"/>
      <c r="L1173" s="18">
        <v>0</v>
      </c>
      <c r="M1173" t="str">
        <f t="shared" si="75"/>
        <v/>
      </c>
      <c r="N1173" t="str">
        <f>IF(OR($D1173="",$S1173=""),"",IFERROR(MAX(0,ROUND(($D1173-INDEX(Config!$C$15:$C$18,MATCH($S1173,Config!$B$15:$B$18,0)))*24*60,0)),""))</f>
        <v/>
      </c>
      <c r="O1173" t="str">
        <f t="shared" si="76"/>
        <v/>
      </c>
      <c r="P1173" t="str">
        <f t="shared" si="77"/>
        <v/>
      </c>
      <c r="Q1173" t="str">
        <f>IF(OR($P1173="",$S1173=""),"",IFERROR($P1173-INDEX(Config!$E$15:$E$18,MATCH($S1173,Config!$B$15:$B$18,0)),""))</f>
        <v/>
      </c>
      <c r="R1173" t="str">
        <f t="shared" si="78"/>
        <v/>
      </c>
      <c r="S1173" s="6" t="str">
        <f>IF(OR($A1173="",$C1173=""),"",IFERROR(INDEX(Turno!$C$3:$V$32,MATCH($C1173,Turno!$B$3:$B$32,0),MATCH(DAY($A1173),Turno!$C$1:$V$1,0)),""))</f>
        <v/>
      </c>
      <c r="T1173" t="str">
        <f>IF(OR($E1173="",$S1173=""),"",IFERROR(MAX(0,ROUND((INDEX(Config!$D$15:$D$18,MATCH($S1173,Config!$B$15:$B$18,0))-$E1173)*1440,0)),""))</f>
        <v/>
      </c>
      <c r="U1173" s="13" t="str">
        <f>IF(OR($N1173="",$T1173=""),"",IFERROR(MAX(0,1-($N1173+$T1173+MAX(0,N($Q1173)))/ROUND((INDEX(Config!$D$15:$D$18,MATCH($S1173,Config!$B$15:$B$18,0))-INDEX(Config!$C$15:$C$18,MATCH($S1173,Config!$B$15:$B$18,0)))*1440,0)),""))</f>
        <v/>
      </c>
      <c r="V1173" s="5"/>
    </row>
    <row r="1174" spans="1:22" x14ac:dyDescent="0.25">
      <c r="A1174" s="11"/>
      <c r="B1174" s="5"/>
      <c r="C1174" s="6" t="str">
        <f>IFERROR(INDEX(Ejecutivos!$B$2:$B$100,MATCH(B1174,Ejecutivos!$A$2:$A$100,0)),"")</f>
        <v/>
      </c>
      <c r="D1174" s="12"/>
      <c r="E1174" s="12"/>
      <c r="F1174" s="12"/>
      <c r="G1174" s="12"/>
      <c r="H1174" s="5"/>
      <c r="I1174" s="5"/>
      <c r="J1174" s="5"/>
      <c r="K1174" s="5"/>
      <c r="L1174" s="18">
        <v>0</v>
      </c>
      <c r="M1174" t="str">
        <f t="shared" si="75"/>
        <v/>
      </c>
      <c r="N1174" t="str">
        <f>IF(OR($D1174="",$S1174=""),"",IFERROR(MAX(0,ROUND(($D1174-INDEX(Config!$C$15:$C$18,MATCH($S1174,Config!$B$15:$B$18,0)))*24*60,0)),""))</f>
        <v/>
      </c>
      <c r="O1174" t="str">
        <f t="shared" si="76"/>
        <v/>
      </c>
      <c r="P1174" t="str">
        <f t="shared" si="77"/>
        <v/>
      </c>
      <c r="Q1174" t="str">
        <f>IF(OR($P1174="",$S1174=""),"",IFERROR($P1174-INDEX(Config!$E$15:$E$18,MATCH($S1174,Config!$B$15:$B$18,0)),""))</f>
        <v/>
      </c>
      <c r="R1174" t="str">
        <f t="shared" si="78"/>
        <v/>
      </c>
      <c r="S1174" s="6" t="str">
        <f>IF(OR($A1174="",$C1174=""),"",IFERROR(INDEX(Turno!$C$3:$V$32,MATCH($C1174,Turno!$B$3:$B$32,0),MATCH(DAY($A1174),Turno!$C$1:$V$1,0)),""))</f>
        <v/>
      </c>
      <c r="T1174" t="str">
        <f>IF(OR($E1174="",$S1174=""),"",IFERROR(MAX(0,ROUND((INDEX(Config!$D$15:$D$18,MATCH($S1174,Config!$B$15:$B$18,0))-$E1174)*1440,0)),""))</f>
        <v/>
      </c>
      <c r="U1174" s="13" t="str">
        <f>IF(OR($N1174="",$T1174=""),"",IFERROR(MAX(0,1-($N1174+$T1174+MAX(0,N($Q1174)))/ROUND((INDEX(Config!$D$15:$D$18,MATCH($S1174,Config!$B$15:$B$18,0))-INDEX(Config!$C$15:$C$18,MATCH($S1174,Config!$B$15:$B$18,0)))*1440,0)),""))</f>
        <v/>
      </c>
      <c r="V1174" s="5"/>
    </row>
    <row r="1175" spans="1:22" x14ac:dyDescent="0.25">
      <c r="A1175" s="11"/>
      <c r="B1175" s="5"/>
      <c r="C1175" s="6" t="str">
        <f>IFERROR(INDEX(Ejecutivos!$B$2:$B$100,MATCH(B1175,Ejecutivos!$A$2:$A$100,0)),"")</f>
        <v/>
      </c>
      <c r="D1175" s="12"/>
      <c r="E1175" s="12"/>
      <c r="F1175" s="12"/>
      <c r="G1175" s="12"/>
      <c r="H1175" s="5"/>
      <c r="I1175" s="5"/>
      <c r="J1175" s="5"/>
      <c r="K1175" s="5"/>
      <c r="L1175" s="18">
        <v>0</v>
      </c>
      <c r="M1175" t="str">
        <f t="shared" si="75"/>
        <v/>
      </c>
      <c r="N1175" t="str">
        <f>IF(OR($D1175="",$S1175=""),"",IFERROR(MAX(0,ROUND(($D1175-INDEX(Config!$C$15:$C$18,MATCH($S1175,Config!$B$15:$B$18,0)))*24*60,0)),""))</f>
        <v/>
      </c>
      <c r="O1175" t="str">
        <f t="shared" si="76"/>
        <v/>
      </c>
      <c r="P1175" t="str">
        <f t="shared" si="77"/>
        <v/>
      </c>
      <c r="Q1175" t="str">
        <f>IF(OR($P1175="",$S1175=""),"",IFERROR($P1175-INDEX(Config!$E$15:$E$18,MATCH($S1175,Config!$B$15:$B$18,0)),""))</f>
        <v/>
      </c>
      <c r="R1175" t="str">
        <f t="shared" si="78"/>
        <v/>
      </c>
      <c r="S1175" s="6" t="str">
        <f>IF(OR($A1175="",$C1175=""),"",IFERROR(INDEX(Turno!$C$3:$V$32,MATCH($C1175,Turno!$B$3:$B$32,0),MATCH(DAY($A1175),Turno!$C$1:$V$1,0)),""))</f>
        <v/>
      </c>
      <c r="T1175" t="str">
        <f>IF(OR($E1175="",$S1175=""),"",IFERROR(MAX(0,ROUND((INDEX(Config!$D$15:$D$18,MATCH($S1175,Config!$B$15:$B$18,0))-$E1175)*1440,0)),""))</f>
        <v/>
      </c>
      <c r="U1175" s="13" t="str">
        <f>IF(OR($N1175="",$T1175=""),"",IFERROR(MAX(0,1-($N1175+$T1175+MAX(0,N($Q1175)))/ROUND((INDEX(Config!$D$15:$D$18,MATCH($S1175,Config!$B$15:$B$18,0))-INDEX(Config!$C$15:$C$18,MATCH($S1175,Config!$B$15:$B$18,0)))*1440,0)),""))</f>
        <v/>
      </c>
      <c r="V1175" s="5"/>
    </row>
    <row r="1176" spans="1:22" x14ac:dyDescent="0.25">
      <c r="A1176" s="11"/>
      <c r="B1176" s="5"/>
      <c r="C1176" s="6" t="str">
        <f>IFERROR(INDEX(Ejecutivos!$B$2:$B$100,MATCH(B1176,Ejecutivos!$A$2:$A$100,0)),"")</f>
        <v/>
      </c>
      <c r="D1176" s="12"/>
      <c r="E1176" s="12"/>
      <c r="F1176" s="12"/>
      <c r="G1176" s="12"/>
      <c r="H1176" s="5"/>
      <c r="I1176" s="5"/>
      <c r="J1176" s="5"/>
      <c r="K1176" s="5"/>
      <c r="L1176" s="18">
        <v>0</v>
      </c>
      <c r="M1176" t="str">
        <f t="shared" si="75"/>
        <v/>
      </c>
      <c r="N1176" t="str">
        <f>IF(OR($D1176="",$S1176=""),"",IFERROR(MAX(0,ROUND(($D1176-INDEX(Config!$C$15:$C$18,MATCH($S1176,Config!$B$15:$B$18,0)))*24*60,0)),""))</f>
        <v/>
      </c>
      <c r="O1176" t="str">
        <f t="shared" si="76"/>
        <v/>
      </c>
      <c r="P1176" t="str">
        <f t="shared" si="77"/>
        <v/>
      </c>
      <c r="Q1176" t="str">
        <f>IF(OR($P1176="",$S1176=""),"",IFERROR($P1176-INDEX(Config!$E$15:$E$18,MATCH($S1176,Config!$B$15:$B$18,0)),""))</f>
        <v/>
      </c>
      <c r="R1176" t="str">
        <f t="shared" si="78"/>
        <v/>
      </c>
      <c r="S1176" s="6" t="str">
        <f>IF(OR($A1176="",$C1176=""),"",IFERROR(INDEX(Turno!$C$3:$V$32,MATCH($C1176,Turno!$B$3:$B$32,0),MATCH(DAY($A1176),Turno!$C$1:$V$1,0)),""))</f>
        <v/>
      </c>
      <c r="T1176" t="str">
        <f>IF(OR($E1176="",$S1176=""),"",IFERROR(MAX(0,ROUND((INDEX(Config!$D$15:$D$18,MATCH($S1176,Config!$B$15:$B$18,0))-$E1176)*1440,0)),""))</f>
        <v/>
      </c>
      <c r="U1176" s="13" t="str">
        <f>IF(OR($N1176="",$T1176=""),"",IFERROR(MAX(0,1-($N1176+$T1176+MAX(0,N($Q1176)))/ROUND((INDEX(Config!$D$15:$D$18,MATCH($S1176,Config!$B$15:$B$18,0))-INDEX(Config!$C$15:$C$18,MATCH($S1176,Config!$B$15:$B$18,0)))*1440,0)),""))</f>
        <v/>
      </c>
      <c r="V1176" s="5"/>
    </row>
    <row r="1177" spans="1:22" x14ac:dyDescent="0.25">
      <c r="A1177" s="11"/>
      <c r="B1177" s="5"/>
      <c r="C1177" s="6" t="str">
        <f>IFERROR(INDEX(Ejecutivos!$B$2:$B$100,MATCH(B1177,Ejecutivos!$A$2:$A$100,0)),"")</f>
        <v/>
      </c>
      <c r="D1177" s="12"/>
      <c r="E1177" s="12"/>
      <c r="F1177" s="12"/>
      <c r="G1177" s="12"/>
      <c r="H1177" s="5"/>
      <c r="I1177" s="5"/>
      <c r="J1177" s="5"/>
      <c r="K1177" s="5"/>
      <c r="L1177" s="18">
        <v>0</v>
      </c>
      <c r="M1177" t="str">
        <f t="shared" si="75"/>
        <v/>
      </c>
      <c r="N1177" t="str">
        <f>IF(OR($D1177="",$S1177=""),"",IFERROR(MAX(0,ROUND(($D1177-INDEX(Config!$C$15:$C$18,MATCH($S1177,Config!$B$15:$B$18,0)))*24*60,0)),""))</f>
        <v/>
      </c>
      <c r="O1177" t="str">
        <f t="shared" si="76"/>
        <v/>
      </c>
      <c r="P1177" t="str">
        <f t="shared" si="77"/>
        <v/>
      </c>
      <c r="Q1177" t="str">
        <f>IF(OR($P1177="",$S1177=""),"",IFERROR($P1177-INDEX(Config!$E$15:$E$18,MATCH($S1177,Config!$B$15:$B$18,0)),""))</f>
        <v/>
      </c>
      <c r="R1177" t="str">
        <f t="shared" si="78"/>
        <v/>
      </c>
      <c r="S1177" s="6" t="str">
        <f>IF(OR($A1177="",$C1177=""),"",IFERROR(INDEX(Turno!$C$3:$V$32,MATCH($C1177,Turno!$B$3:$B$32,0),MATCH(DAY($A1177),Turno!$C$1:$V$1,0)),""))</f>
        <v/>
      </c>
      <c r="T1177" t="str">
        <f>IF(OR($E1177="",$S1177=""),"",IFERROR(MAX(0,ROUND((INDEX(Config!$D$15:$D$18,MATCH($S1177,Config!$B$15:$B$18,0))-$E1177)*1440,0)),""))</f>
        <v/>
      </c>
      <c r="U1177" s="13" t="str">
        <f>IF(OR($N1177="",$T1177=""),"",IFERROR(MAX(0,1-($N1177+$T1177+MAX(0,N($Q1177)))/ROUND((INDEX(Config!$D$15:$D$18,MATCH($S1177,Config!$B$15:$B$18,0))-INDEX(Config!$C$15:$C$18,MATCH($S1177,Config!$B$15:$B$18,0)))*1440,0)),""))</f>
        <v/>
      </c>
      <c r="V1177" s="5"/>
    </row>
    <row r="1178" spans="1:22" x14ac:dyDescent="0.25">
      <c r="A1178" s="11"/>
      <c r="B1178" s="5"/>
      <c r="C1178" s="6" t="str">
        <f>IFERROR(INDEX(Ejecutivos!$B$2:$B$100,MATCH(B1178,Ejecutivos!$A$2:$A$100,0)),"")</f>
        <v/>
      </c>
      <c r="D1178" s="12"/>
      <c r="E1178" s="12"/>
      <c r="F1178" s="12"/>
      <c r="G1178" s="12"/>
      <c r="H1178" s="5"/>
      <c r="I1178" s="5"/>
      <c r="J1178" s="5"/>
      <c r="K1178" s="5"/>
      <c r="L1178" s="18">
        <v>0</v>
      </c>
      <c r="M1178" t="str">
        <f t="shared" si="75"/>
        <v/>
      </c>
      <c r="N1178" t="str">
        <f>IF(OR($D1178="",$S1178=""),"",IFERROR(MAX(0,ROUND(($D1178-INDEX(Config!$C$15:$C$18,MATCH($S1178,Config!$B$15:$B$18,0)))*24*60,0)),""))</f>
        <v/>
      </c>
      <c r="O1178" t="str">
        <f t="shared" si="76"/>
        <v/>
      </c>
      <c r="P1178" t="str">
        <f t="shared" si="77"/>
        <v/>
      </c>
      <c r="Q1178" t="str">
        <f>IF(OR($P1178="",$S1178=""),"",IFERROR($P1178-INDEX(Config!$E$15:$E$18,MATCH($S1178,Config!$B$15:$B$18,0)),""))</f>
        <v/>
      </c>
      <c r="R1178" t="str">
        <f t="shared" si="78"/>
        <v/>
      </c>
      <c r="S1178" s="6" t="str">
        <f>IF(OR($A1178="",$C1178=""),"",IFERROR(INDEX(Turno!$C$3:$V$32,MATCH($C1178,Turno!$B$3:$B$32,0),MATCH(DAY($A1178),Turno!$C$1:$V$1,0)),""))</f>
        <v/>
      </c>
      <c r="T1178" t="str">
        <f>IF(OR($E1178="",$S1178=""),"",IFERROR(MAX(0,ROUND((INDEX(Config!$D$15:$D$18,MATCH($S1178,Config!$B$15:$B$18,0))-$E1178)*1440,0)),""))</f>
        <v/>
      </c>
      <c r="U1178" s="13" t="str">
        <f>IF(OR($N1178="",$T1178=""),"",IFERROR(MAX(0,1-($N1178+$T1178+MAX(0,N($Q1178)))/ROUND((INDEX(Config!$D$15:$D$18,MATCH($S1178,Config!$B$15:$B$18,0))-INDEX(Config!$C$15:$C$18,MATCH($S1178,Config!$B$15:$B$18,0)))*1440,0)),""))</f>
        <v/>
      </c>
      <c r="V1178" s="5"/>
    </row>
    <row r="1179" spans="1:22" x14ac:dyDescent="0.25">
      <c r="A1179" s="11"/>
      <c r="B1179" s="5"/>
      <c r="C1179" s="6" t="str">
        <f>IFERROR(INDEX(Ejecutivos!$B$2:$B$100,MATCH(B1179,Ejecutivos!$A$2:$A$100,0)),"")</f>
        <v/>
      </c>
      <c r="D1179" s="12"/>
      <c r="E1179" s="12"/>
      <c r="F1179" s="12"/>
      <c r="G1179" s="12"/>
      <c r="H1179" s="5"/>
      <c r="I1179" s="5"/>
      <c r="J1179" s="5"/>
      <c r="K1179" s="5"/>
      <c r="L1179" s="18">
        <v>0</v>
      </c>
      <c r="M1179" t="str">
        <f t="shared" si="75"/>
        <v/>
      </c>
      <c r="N1179" t="str">
        <f>IF(OR($D1179="",$S1179=""),"",IFERROR(MAX(0,ROUND(($D1179-INDEX(Config!$C$15:$C$18,MATCH($S1179,Config!$B$15:$B$18,0)))*24*60,0)),""))</f>
        <v/>
      </c>
      <c r="O1179" t="str">
        <f t="shared" si="76"/>
        <v/>
      </c>
      <c r="P1179" t="str">
        <f t="shared" si="77"/>
        <v/>
      </c>
      <c r="Q1179" t="str">
        <f>IF(OR($P1179="",$S1179=""),"",IFERROR($P1179-INDEX(Config!$E$15:$E$18,MATCH($S1179,Config!$B$15:$B$18,0)),""))</f>
        <v/>
      </c>
      <c r="R1179" t="str">
        <f t="shared" si="78"/>
        <v/>
      </c>
      <c r="S1179" s="6" t="str">
        <f>IF(OR($A1179="",$C1179=""),"",IFERROR(INDEX(Turno!$C$3:$V$32,MATCH($C1179,Turno!$B$3:$B$32,0),MATCH(DAY($A1179),Turno!$C$1:$V$1,0)),""))</f>
        <v/>
      </c>
      <c r="T1179" t="str">
        <f>IF(OR($E1179="",$S1179=""),"",IFERROR(MAX(0,ROUND((INDEX(Config!$D$15:$D$18,MATCH($S1179,Config!$B$15:$B$18,0))-$E1179)*1440,0)),""))</f>
        <v/>
      </c>
      <c r="U1179" s="13" t="str">
        <f>IF(OR($N1179="",$T1179=""),"",IFERROR(MAX(0,1-($N1179+$T1179+MAX(0,N($Q1179)))/ROUND((INDEX(Config!$D$15:$D$18,MATCH($S1179,Config!$B$15:$B$18,0))-INDEX(Config!$C$15:$C$18,MATCH($S1179,Config!$B$15:$B$18,0)))*1440,0)),""))</f>
        <v/>
      </c>
      <c r="V1179" s="5"/>
    </row>
    <row r="1180" spans="1:22" x14ac:dyDescent="0.25">
      <c r="A1180" s="11"/>
      <c r="B1180" s="5"/>
      <c r="C1180" s="6" t="str">
        <f>IFERROR(INDEX(Ejecutivos!$B$2:$B$100,MATCH(B1180,Ejecutivos!$A$2:$A$100,0)),"")</f>
        <v/>
      </c>
      <c r="D1180" s="12"/>
      <c r="E1180" s="12"/>
      <c r="F1180" s="12"/>
      <c r="G1180" s="12"/>
      <c r="H1180" s="5"/>
      <c r="I1180" s="5"/>
      <c r="J1180" s="5"/>
      <c r="K1180" s="5"/>
      <c r="L1180" s="18">
        <v>0</v>
      </c>
      <c r="M1180" t="str">
        <f t="shared" si="75"/>
        <v/>
      </c>
      <c r="N1180" t="str">
        <f>IF(OR($D1180="",$S1180=""),"",IFERROR(MAX(0,ROUND(($D1180-INDEX(Config!$C$15:$C$18,MATCH($S1180,Config!$B$15:$B$18,0)))*24*60,0)),""))</f>
        <v/>
      </c>
      <c r="O1180" t="str">
        <f t="shared" si="76"/>
        <v/>
      </c>
      <c r="P1180" t="str">
        <f t="shared" si="77"/>
        <v/>
      </c>
      <c r="Q1180" t="str">
        <f>IF(OR($P1180="",$S1180=""),"",IFERROR($P1180-INDEX(Config!$E$15:$E$18,MATCH($S1180,Config!$B$15:$B$18,0)),""))</f>
        <v/>
      </c>
      <c r="R1180" t="str">
        <f t="shared" si="78"/>
        <v/>
      </c>
      <c r="S1180" s="6" t="str">
        <f>IF(OR($A1180="",$C1180=""),"",IFERROR(INDEX(Turno!$C$3:$V$32,MATCH($C1180,Turno!$B$3:$B$32,0),MATCH(DAY($A1180),Turno!$C$1:$V$1,0)),""))</f>
        <v/>
      </c>
      <c r="T1180" t="str">
        <f>IF(OR($E1180="",$S1180=""),"",IFERROR(MAX(0,ROUND((INDEX(Config!$D$15:$D$18,MATCH($S1180,Config!$B$15:$B$18,0))-$E1180)*1440,0)),""))</f>
        <v/>
      </c>
      <c r="U1180" s="13" t="str">
        <f>IF(OR($N1180="",$T1180=""),"",IFERROR(MAX(0,1-($N1180+$T1180+MAX(0,N($Q1180)))/ROUND((INDEX(Config!$D$15:$D$18,MATCH($S1180,Config!$B$15:$B$18,0))-INDEX(Config!$C$15:$C$18,MATCH($S1180,Config!$B$15:$B$18,0)))*1440,0)),""))</f>
        <v/>
      </c>
      <c r="V1180" s="5"/>
    </row>
    <row r="1181" spans="1:22" x14ac:dyDescent="0.25">
      <c r="A1181" s="11"/>
      <c r="B1181" s="5"/>
      <c r="C1181" s="6" t="str">
        <f>IFERROR(INDEX(Ejecutivos!$B$2:$B$100,MATCH(B1181,Ejecutivos!$A$2:$A$100,0)),"")</f>
        <v/>
      </c>
      <c r="D1181" s="12"/>
      <c r="E1181" s="12"/>
      <c r="F1181" s="12"/>
      <c r="G1181" s="12"/>
      <c r="H1181" s="5"/>
      <c r="I1181" s="5"/>
      <c r="J1181" s="5"/>
      <c r="K1181" s="5"/>
      <c r="L1181" s="18">
        <v>0</v>
      </c>
      <c r="M1181" t="str">
        <f t="shared" si="75"/>
        <v/>
      </c>
      <c r="N1181" t="str">
        <f>IF(OR($D1181="",$S1181=""),"",IFERROR(MAX(0,ROUND(($D1181-INDEX(Config!$C$15:$C$18,MATCH($S1181,Config!$B$15:$B$18,0)))*24*60,0)),""))</f>
        <v/>
      </c>
      <c r="O1181" t="str">
        <f t="shared" si="76"/>
        <v/>
      </c>
      <c r="P1181" t="str">
        <f t="shared" si="77"/>
        <v/>
      </c>
      <c r="Q1181" t="str">
        <f>IF(OR($P1181="",$S1181=""),"",IFERROR($P1181-INDEX(Config!$E$15:$E$18,MATCH($S1181,Config!$B$15:$B$18,0)),""))</f>
        <v/>
      </c>
      <c r="R1181" t="str">
        <f t="shared" si="78"/>
        <v/>
      </c>
      <c r="S1181" s="6" t="str">
        <f>IF(OR($A1181="",$C1181=""),"",IFERROR(INDEX(Turno!$C$3:$V$32,MATCH($C1181,Turno!$B$3:$B$32,0),MATCH(DAY($A1181),Turno!$C$1:$V$1,0)),""))</f>
        <v/>
      </c>
      <c r="T1181" t="str">
        <f>IF(OR($E1181="",$S1181=""),"",IFERROR(MAX(0,ROUND((INDEX(Config!$D$15:$D$18,MATCH($S1181,Config!$B$15:$B$18,0))-$E1181)*1440,0)),""))</f>
        <v/>
      </c>
      <c r="U1181" s="13" t="str">
        <f>IF(OR($N1181="",$T1181=""),"",IFERROR(MAX(0,1-($N1181+$T1181+MAX(0,N($Q1181)))/ROUND((INDEX(Config!$D$15:$D$18,MATCH($S1181,Config!$B$15:$B$18,0))-INDEX(Config!$C$15:$C$18,MATCH($S1181,Config!$B$15:$B$18,0)))*1440,0)),""))</f>
        <v/>
      </c>
      <c r="V1181" s="5"/>
    </row>
    <row r="1182" spans="1:22" x14ac:dyDescent="0.25">
      <c r="A1182" s="11"/>
      <c r="B1182" s="5"/>
      <c r="C1182" s="6" t="str">
        <f>IFERROR(INDEX(Ejecutivos!$B$2:$B$100,MATCH(B1182,Ejecutivos!$A$2:$A$100,0)),"")</f>
        <v/>
      </c>
      <c r="D1182" s="12"/>
      <c r="E1182" s="12"/>
      <c r="F1182" s="12"/>
      <c r="G1182" s="12"/>
      <c r="H1182" s="5"/>
      <c r="I1182" s="5"/>
      <c r="J1182" s="5"/>
      <c r="K1182" s="5"/>
      <c r="L1182" s="18">
        <v>0</v>
      </c>
      <c r="M1182" t="str">
        <f t="shared" si="75"/>
        <v/>
      </c>
      <c r="N1182" t="str">
        <f>IF(OR($D1182="",$S1182=""),"",IFERROR(MAX(0,ROUND(($D1182-INDEX(Config!$C$15:$C$18,MATCH($S1182,Config!$B$15:$B$18,0)))*24*60,0)),""))</f>
        <v/>
      </c>
      <c r="O1182" t="str">
        <f t="shared" si="76"/>
        <v/>
      </c>
      <c r="P1182" t="str">
        <f t="shared" si="77"/>
        <v/>
      </c>
      <c r="Q1182" t="str">
        <f>IF(OR($P1182="",$S1182=""),"",IFERROR($P1182-INDEX(Config!$E$15:$E$18,MATCH($S1182,Config!$B$15:$B$18,0)),""))</f>
        <v/>
      </c>
      <c r="R1182" t="str">
        <f t="shared" si="78"/>
        <v/>
      </c>
      <c r="S1182" s="6" t="str">
        <f>IF(OR($A1182="",$C1182=""),"",IFERROR(INDEX(Turno!$C$3:$V$32,MATCH($C1182,Turno!$B$3:$B$32,0),MATCH(DAY($A1182),Turno!$C$1:$V$1,0)),""))</f>
        <v/>
      </c>
      <c r="T1182" t="str">
        <f>IF(OR($E1182="",$S1182=""),"",IFERROR(MAX(0,ROUND((INDEX(Config!$D$15:$D$18,MATCH($S1182,Config!$B$15:$B$18,0))-$E1182)*1440,0)),""))</f>
        <v/>
      </c>
      <c r="U1182" s="13" t="str">
        <f>IF(OR($N1182="",$T1182=""),"",IFERROR(MAX(0,1-($N1182+$T1182+MAX(0,N($Q1182)))/ROUND((INDEX(Config!$D$15:$D$18,MATCH($S1182,Config!$B$15:$B$18,0))-INDEX(Config!$C$15:$C$18,MATCH($S1182,Config!$B$15:$B$18,0)))*1440,0)),""))</f>
        <v/>
      </c>
      <c r="V1182" s="5"/>
    </row>
    <row r="1183" spans="1:22" x14ac:dyDescent="0.25">
      <c r="A1183" s="11"/>
      <c r="B1183" s="5"/>
      <c r="C1183" s="6" t="str">
        <f>IFERROR(INDEX(Ejecutivos!$B$2:$B$100,MATCH(B1183,Ejecutivos!$A$2:$A$100,0)),"")</f>
        <v/>
      </c>
      <c r="D1183" s="12"/>
      <c r="E1183" s="12"/>
      <c r="F1183" s="12"/>
      <c r="G1183" s="12"/>
      <c r="H1183" s="5"/>
      <c r="I1183" s="5"/>
      <c r="J1183" s="5"/>
      <c r="K1183" s="5"/>
      <c r="L1183" s="18">
        <v>0</v>
      </c>
      <c r="M1183" t="str">
        <f t="shared" si="75"/>
        <v/>
      </c>
      <c r="N1183" t="str">
        <f>IF(OR($D1183="",$S1183=""),"",IFERROR(MAX(0,ROUND(($D1183-INDEX(Config!$C$15:$C$18,MATCH($S1183,Config!$B$15:$B$18,0)))*24*60,0)),""))</f>
        <v/>
      </c>
      <c r="O1183" t="str">
        <f t="shared" si="76"/>
        <v/>
      </c>
      <c r="P1183" t="str">
        <f t="shared" si="77"/>
        <v/>
      </c>
      <c r="Q1183" t="str">
        <f>IF(OR($P1183="",$S1183=""),"",IFERROR($P1183-INDEX(Config!$E$15:$E$18,MATCH($S1183,Config!$B$15:$B$18,0)),""))</f>
        <v/>
      </c>
      <c r="R1183" t="str">
        <f t="shared" si="78"/>
        <v/>
      </c>
      <c r="S1183" s="6" t="str">
        <f>IF(OR($A1183="",$C1183=""),"",IFERROR(INDEX(Turno!$C$3:$V$32,MATCH($C1183,Turno!$B$3:$B$32,0),MATCH(DAY($A1183),Turno!$C$1:$V$1,0)),""))</f>
        <v/>
      </c>
      <c r="T1183" t="str">
        <f>IF(OR($E1183="",$S1183=""),"",IFERROR(MAX(0,ROUND((INDEX(Config!$D$15:$D$18,MATCH($S1183,Config!$B$15:$B$18,0))-$E1183)*1440,0)),""))</f>
        <v/>
      </c>
      <c r="U1183" s="13" t="str">
        <f>IF(OR($N1183="",$T1183=""),"",IFERROR(MAX(0,1-($N1183+$T1183+MAX(0,N($Q1183)))/ROUND((INDEX(Config!$D$15:$D$18,MATCH($S1183,Config!$B$15:$B$18,0))-INDEX(Config!$C$15:$C$18,MATCH($S1183,Config!$B$15:$B$18,0)))*1440,0)),""))</f>
        <v/>
      </c>
      <c r="V1183" s="5"/>
    </row>
    <row r="1184" spans="1:22" x14ac:dyDescent="0.25">
      <c r="A1184" s="11"/>
      <c r="B1184" s="5"/>
      <c r="C1184" s="6" t="str">
        <f>IFERROR(INDEX(Ejecutivos!$B$2:$B$100,MATCH(B1184,Ejecutivos!$A$2:$A$100,0)),"")</f>
        <v/>
      </c>
      <c r="D1184" s="12"/>
      <c r="E1184" s="12"/>
      <c r="F1184" s="12"/>
      <c r="G1184" s="12"/>
      <c r="H1184" s="5"/>
      <c r="I1184" s="5"/>
      <c r="J1184" s="5"/>
      <c r="K1184" s="5"/>
      <c r="L1184" s="18">
        <v>0</v>
      </c>
      <c r="M1184" t="str">
        <f t="shared" si="75"/>
        <v/>
      </c>
      <c r="N1184" t="str">
        <f>IF(OR($D1184="",$S1184=""),"",IFERROR(MAX(0,ROUND(($D1184-INDEX(Config!$C$15:$C$18,MATCH($S1184,Config!$B$15:$B$18,0)))*24*60,0)),""))</f>
        <v/>
      </c>
      <c r="O1184" t="str">
        <f t="shared" si="76"/>
        <v/>
      </c>
      <c r="P1184" t="str">
        <f t="shared" si="77"/>
        <v/>
      </c>
      <c r="Q1184" t="str">
        <f>IF(OR($P1184="",$S1184=""),"",IFERROR($P1184-INDEX(Config!$E$15:$E$18,MATCH($S1184,Config!$B$15:$B$18,0)),""))</f>
        <v/>
      </c>
      <c r="R1184" t="str">
        <f t="shared" si="78"/>
        <v/>
      </c>
      <c r="S1184" s="6" t="str">
        <f>IF(OR($A1184="",$C1184=""),"",IFERROR(INDEX(Turno!$C$3:$V$32,MATCH($C1184,Turno!$B$3:$B$32,0),MATCH(DAY($A1184),Turno!$C$1:$V$1,0)),""))</f>
        <v/>
      </c>
      <c r="T1184" t="str">
        <f>IF(OR($E1184="",$S1184=""),"",IFERROR(MAX(0,ROUND((INDEX(Config!$D$15:$D$18,MATCH($S1184,Config!$B$15:$B$18,0))-$E1184)*1440,0)),""))</f>
        <v/>
      </c>
      <c r="U1184" s="13" t="str">
        <f>IF(OR($N1184="",$T1184=""),"",IFERROR(MAX(0,1-($N1184+$T1184+MAX(0,N($Q1184)))/ROUND((INDEX(Config!$D$15:$D$18,MATCH($S1184,Config!$B$15:$B$18,0))-INDEX(Config!$C$15:$C$18,MATCH($S1184,Config!$B$15:$B$18,0)))*1440,0)),""))</f>
        <v/>
      </c>
      <c r="V1184" s="5"/>
    </row>
    <row r="1185" spans="1:22" x14ac:dyDescent="0.25">
      <c r="A1185" s="11"/>
      <c r="B1185" s="5"/>
      <c r="C1185" s="6" t="str">
        <f>IFERROR(INDEX(Ejecutivos!$B$2:$B$100,MATCH(B1185,Ejecutivos!$A$2:$A$100,0)),"")</f>
        <v/>
      </c>
      <c r="D1185" s="12"/>
      <c r="E1185" s="12"/>
      <c r="F1185" s="12"/>
      <c r="G1185" s="12"/>
      <c r="H1185" s="5"/>
      <c r="I1185" s="5"/>
      <c r="J1185" s="5"/>
      <c r="K1185" s="5"/>
      <c r="L1185" s="18">
        <v>0</v>
      </c>
      <c r="M1185" t="str">
        <f t="shared" si="75"/>
        <v/>
      </c>
      <c r="N1185" t="str">
        <f>IF(OR($D1185="",$S1185=""),"",IFERROR(MAX(0,ROUND(($D1185-INDEX(Config!$C$15:$C$18,MATCH($S1185,Config!$B$15:$B$18,0)))*24*60,0)),""))</f>
        <v/>
      </c>
      <c r="O1185" t="str">
        <f t="shared" si="76"/>
        <v/>
      </c>
      <c r="P1185" t="str">
        <f t="shared" si="77"/>
        <v/>
      </c>
      <c r="Q1185" t="str">
        <f>IF(OR($P1185="",$S1185=""),"",IFERROR($P1185-INDEX(Config!$E$15:$E$18,MATCH($S1185,Config!$B$15:$B$18,0)),""))</f>
        <v/>
      </c>
      <c r="R1185" t="str">
        <f t="shared" si="78"/>
        <v/>
      </c>
      <c r="S1185" s="6" t="str">
        <f>IF(OR($A1185="",$C1185=""),"",IFERROR(INDEX(Turno!$C$3:$V$32,MATCH($C1185,Turno!$B$3:$B$32,0),MATCH(DAY($A1185),Turno!$C$1:$V$1,0)),""))</f>
        <v/>
      </c>
      <c r="T1185" t="str">
        <f>IF(OR($E1185="",$S1185=""),"",IFERROR(MAX(0,ROUND((INDEX(Config!$D$15:$D$18,MATCH($S1185,Config!$B$15:$B$18,0))-$E1185)*1440,0)),""))</f>
        <v/>
      </c>
      <c r="U1185" s="13" t="str">
        <f>IF(OR($N1185="",$T1185=""),"",IFERROR(MAX(0,1-($N1185+$T1185+MAX(0,N($Q1185)))/ROUND((INDEX(Config!$D$15:$D$18,MATCH($S1185,Config!$B$15:$B$18,0))-INDEX(Config!$C$15:$C$18,MATCH($S1185,Config!$B$15:$B$18,0)))*1440,0)),""))</f>
        <v/>
      </c>
      <c r="V1185" s="5"/>
    </row>
    <row r="1186" spans="1:22" x14ac:dyDescent="0.25">
      <c r="A1186" s="11"/>
      <c r="B1186" s="5"/>
      <c r="C1186" s="6" t="str">
        <f>IFERROR(INDEX(Ejecutivos!$B$2:$B$100,MATCH(B1186,Ejecutivos!$A$2:$A$100,0)),"")</f>
        <v/>
      </c>
      <c r="D1186" s="12"/>
      <c r="E1186" s="12"/>
      <c r="F1186" s="12"/>
      <c r="G1186" s="12"/>
      <c r="H1186" s="5"/>
      <c r="I1186" s="5"/>
      <c r="J1186" s="5"/>
      <c r="K1186" s="5"/>
      <c r="L1186" s="18">
        <v>0</v>
      </c>
      <c r="M1186" t="str">
        <f t="shared" si="75"/>
        <v/>
      </c>
      <c r="N1186" t="str">
        <f>IF(OR($D1186="",$S1186=""),"",IFERROR(MAX(0,ROUND(($D1186-INDEX(Config!$C$15:$C$18,MATCH($S1186,Config!$B$15:$B$18,0)))*24*60,0)),""))</f>
        <v/>
      </c>
      <c r="O1186" t="str">
        <f t="shared" si="76"/>
        <v/>
      </c>
      <c r="P1186" t="str">
        <f t="shared" si="77"/>
        <v/>
      </c>
      <c r="Q1186" t="str">
        <f>IF(OR($P1186="",$S1186=""),"",IFERROR($P1186-INDEX(Config!$E$15:$E$18,MATCH($S1186,Config!$B$15:$B$18,0)),""))</f>
        <v/>
      </c>
      <c r="R1186" t="str">
        <f t="shared" si="78"/>
        <v/>
      </c>
      <c r="S1186" s="6" t="str">
        <f>IF(OR($A1186="",$C1186=""),"",IFERROR(INDEX(Turno!$C$3:$V$32,MATCH($C1186,Turno!$B$3:$B$32,0),MATCH(DAY($A1186),Turno!$C$1:$V$1,0)),""))</f>
        <v/>
      </c>
      <c r="T1186" t="str">
        <f>IF(OR($E1186="",$S1186=""),"",IFERROR(MAX(0,ROUND((INDEX(Config!$D$15:$D$18,MATCH($S1186,Config!$B$15:$B$18,0))-$E1186)*1440,0)),""))</f>
        <v/>
      </c>
      <c r="U1186" s="13" t="str">
        <f>IF(OR($N1186="",$T1186=""),"",IFERROR(MAX(0,1-($N1186+$T1186+MAX(0,N($Q1186)))/ROUND((INDEX(Config!$D$15:$D$18,MATCH($S1186,Config!$B$15:$B$18,0))-INDEX(Config!$C$15:$C$18,MATCH($S1186,Config!$B$15:$B$18,0)))*1440,0)),""))</f>
        <v/>
      </c>
      <c r="V1186" s="5"/>
    </row>
    <row r="1187" spans="1:22" x14ac:dyDescent="0.25">
      <c r="A1187" s="11"/>
      <c r="B1187" s="5"/>
      <c r="C1187" s="6" t="str">
        <f>IFERROR(INDEX(Ejecutivos!$B$2:$B$100,MATCH(B1187,Ejecutivos!$A$2:$A$100,0)),"")</f>
        <v/>
      </c>
      <c r="D1187" s="12"/>
      <c r="E1187" s="12"/>
      <c r="F1187" s="12"/>
      <c r="G1187" s="12"/>
      <c r="H1187" s="5"/>
      <c r="I1187" s="5"/>
      <c r="J1187" s="5"/>
      <c r="K1187" s="5"/>
      <c r="L1187" s="18">
        <v>0</v>
      </c>
      <c r="M1187" t="str">
        <f t="shared" si="75"/>
        <v/>
      </c>
      <c r="N1187" t="str">
        <f>IF(OR($D1187="",$S1187=""),"",IFERROR(MAX(0,ROUND(($D1187-INDEX(Config!$C$15:$C$18,MATCH($S1187,Config!$B$15:$B$18,0)))*24*60,0)),""))</f>
        <v/>
      </c>
      <c r="O1187" t="str">
        <f t="shared" si="76"/>
        <v/>
      </c>
      <c r="P1187" t="str">
        <f t="shared" si="77"/>
        <v/>
      </c>
      <c r="Q1187" t="str">
        <f>IF(OR($P1187="",$S1187=""),"",IFERROR($P1187-INDEX(Config!$E$15:$E$18,MATCH($S1187,Config!$B$15:$B$18,0)),""))</f>
        <v/>
      </c>
      <c r="R1187" t="str">
        <f t="shared" si="78"/>
        <v/>
      </c>
      <c r="S1187" s="6" t="str">
        <f>IF(OR($A1187="",$C1187=""),"",IFERROR(INDEX(Turno!$C$3:$V$32,MATCH($C1187,Turno!$B$3:$B$32,0),MATCH(DAY($A1187),Turno!$C$1:$V$1,0)),""))</f>
        <v/>
      </c>
      <c r="T1187" t="str">
        <f>IF(OR($E1187="",$S1187=""),"",IFERROR(MAX(0,ROUND((INDEX(Config!$D$15:$D$18,MATCH($S1187,Config!$B$15:$B$18,0))-$E1187)*1440,0)),""))</f>
        <v/>
      </c>
      <c r="U1187" s="13" t="str">
        <f>IF(OR($N1187="",$T1187=""),"",IFERROR(MAX(0,1-($N1187+$T1187+MAX(0,N($Q1187)))/ROUND((INDEX(Config!$D$15:$D$18,MATCH($S1187,Config!$B$15:$B$18,0))-INDEX(Config!$C$15:$C$18,MATCH($S1187,Config!$B$15:$B$18,0)))*1440,0)),""))</f>
        <v/>
      </c>
      <c r="V1187" s="5"/>
    </row>
    <row r="1188" spans="1:22" x14ac:dyDescent="0.25">
      <c r="A1188" s="11"/>
      <c r="B1188" s="5"/>
      <c r="C1188" s="6" t="str">
        <f>IFERROR(INDEX(Ejecutivos!$B$2:$B$100,MATCH(B1188,Ejecutivos!$A$2:$A$100,0)),"")</f>
        <v/>
      </c>
      <c r="D1188" s="12"/>
      <c r="E1188" s="12"/>
      <c r="F1188" s="12"/>
      <c r="G1188" s="12"/>
      <c r="H1188" s="5"/>
      <c r="I1188" s="5"/>
      <c r="J1188" s="5"/>
      <c r="K1188" s="5"/>
      <c r="L1188" s="18">
        <v>0</v>
      </c>
      <c r="M1188" t="str">
        <f t="shared" si="75"/>
        <v/>
      </c>
      <c r="N1188" t="str">
        <f>IF(OR($D1188="",$S1188=""),"",IFERROR(MAX(0,ROUND(($D1188-INDEX(Config!$C$15:$C$18,MATCH($S1188,Config!$B$15:$B$18,0)))*24*60,0)),""))</f>
        <v/>
      </c>
      <c r="O1188" t="str">
        <f t="shared" si="76"/>
        <v/>
      </c>
      <c r="P1188" t="str">
        <f t="shared" si="77"/>
        <v/>
      </c>
      <c r="Q1188" t="str">
        <f>IF(OR($P1188="",$S1188=""),"",IFERROR($P1188-INDEX(Config!$E$15:$E$18,MATCH($S1188,Config!$B$15:$B$18,0)),""))</f>
        <v/>
      </c>
      <c r="R1188" t="str">
        <f t="shared" si="78"/>
        <v/>
      </c>
      <c r="S1188" s="6" t="str">
        <f>IF(OR($A1188="",$C1188=""),"",IFERROR(INDEX(Turno!$C$3:$V$32,MATCH($C1188,Turno!$B$3:$B$32,0),MATCH(DAY($A1188),Turno!$C$1:$V$1,0)),""))</f>
        <v/>
      </c>
      <c r="T1188" t="str">
        <f>IF(OR($E1188="",$S1188=""),"",IFERROR(MAX(0,ROUND((INDEX(Config!$D$15:$D$18,MATCH($S1188,Config!$B$15:$B$18,0))-$E1188)*1440,0)),""))</f>
        <v/>
      </c>
      <c r="U1188" s="13" t="str">
        <f>IF(OR($N1188="",$T1188=""),"",IFERROR(MAX(0,1-($N1188+$T1188+MAX(0,N($Q1188)))/ROUND((INDEX(Config!$D$15:$D$18,MATCH($S1188,Config!$B$15:$B$18,0))-INDEX(Config!$C$15:$C$18,MATCH($S1188,Config!$B$15:$B$18,0)))*1440,0)),""))</f>
        <v/>
      </c>
      <c r="V1188" s="5"/>
    </row>
    <row r="1189" spans="1:22" x14ac:dyDescent="0.25">
      <c r="A1189" s="11"/>
      <c r="B1189" s="5"/>
      <c r="C1189" s="6" t="str">
        <f>IFERROR(INDEX(Ejecutivos!$B$2:$B$100,MATCH(B1189,Ejecutivos!$A$2:$A$100,0)),"")</f>
        <v/>
      </c>
      <c r="D1189" s="12"/>
      <c r="E1189" s="12"/>
      <c r="F1189" s="12"/>
      <c r="G1189" s="12"/>
      <c r="H1189" s="5"/>
      <c r="I1189" s="5"/>
      <c r="J1189" s="5"/>
      <c r="K1189" s="5"/>
      <c r="L1189" s="18">
        <v>0</v>
      </c>
      <c r="M1189" t="str">
        <f t="shared" si="75"/>
        <v/>
      </c>
      <c r="N1189" t="str">
        <f>IF(OR($D1189="",$S1189=""),"",IFERROR(MAX(0,ROUND(($D1189-INDEX(Config!$C$15:$C$18,MATCH($S1189,Config!$B$15:$B$18,0)))*24*60,0)),""))</f>
        <v/>
      </c>
      <c r="O1189" t="str">
        <f t="shared" si="76"/>
        <v/>
      </c>
      <c r="P1189" t="str">
        <f t="shared" si="77"/>
        <v/>
      </c>
      <c r="Q1189" t="str">
        <f>IF(OR($P1189="",$S1189=""),"",IFERROR($P1189-INDEX(Config!$E$15:$E$18,MATCH($S1189,Config!$B$15:$B$18,0)),""))</f>
        <v/>
      </c>
      <c r="R1189" t="str">
        <f t="shared" si="78"/>
        <v/>
      </c>
      <c r="S1189" s="6" t="str">
        <f>IF(OR($A1189="",$C1189=""),"",IFERROR(INDEX(Turno!$C$3:$V$32,MATCH($C1189,Turno!$B$3:$B$32,0),MATCH(DAY($A1189),Turno!$C$1:$V$1,0)),""))</f>
        <v/>
      </c>
      <c r="T1189" t="str">
        <f>IF(OR($E1189="",$S1189=""),"",IFERROR(MAX(0,ROUND((INDEX(Config!$D$15:$D$18,MATCH($S1189,Config!$B$15:$B$18,0))-$E1189)*1440,0)),""))</f>
        <v/>
      </c>
      <c r="U1189" s="13" t="str">
        <f>IF(OR($N1189="",$T1189=""),"",IFERROR(MAX(0,1-($N1189+$T1189+MAX(0,N($Q1189)))/ROUND((INDEX(Config!$D$15:$D$18,MATCH($S1189,Config!$B$15:$B$18,0))-INDEX(Config!$C$15:$C$18,MATCH($S1189,Config!$B$15:$B$18,0)))*1440,0)),""))</f>
        <v/>
      </c>
      <c r="V1189" s="5"/>
    </row>
    <row r="1190" spans="1:22" x14ac:dyDescent="0.25">
      <c r="A1190" s="11"/>
      <c r="B1190" s="5"/>
      <c r="C1190" s="6" t="str">
        <f>IFERROR(INDEX(Ejecutivos!$B$2:$B$100,MATCH(B1190,Ejecutivos!$A$2:$A$100,0)),"")</f>
        <v/>
      </c>
      <c r="D1190" s="12"/>
      <c r="E1190" s="12"/>
      <c r="F1190" s="12"/>
      <c r="G1190" s="12"/>
      <c r="H1190" s="5"/>
      <c r="I1190" s="5"/>
      <c r="J1190" s="5"/>
      <c r="K1190" s="5"/>
      <c r="L1190" s="18">
        <v>0</v>
      </c>
      <c r="M1190" t="str">
        <f t="shared" si="75"/>
        <v/>
      </c>
      <c r="N1190" t="str">
        <f>IF(OR($D1190="",$S1190=""),"",IFERROR(MAX(0,ROUND(($D1190-INDEX(Config!$C$15:$C$18,MATCH($S1190,Config!$B$15:$B$18,0)))*24*60,0)),""))</f>
        <v/>
      </c>
      <c r="O1190" t="str">
        <f t="shared" si="76"/>
        <v/>
      </c>
      <c r="P1190" t="str">
        <f t="shared" si="77"/>
        <v/>
      </c>
      <c r="Q1190" t="str">
        <f>IF(OR($P1190="",$S1190=""),"",IFERROR($P1190-INDEX(Config!$E$15:$E$18,MATCH($S1190,Config!$B$15:$B$18,0)),""))</f>
        <v/>
      </c>
      <c r="R1190" t="str">
        <f t="shared" si="78"/>
        <v/>
      </c>
      <c r="S1190" s="6" t="str">
        <f>IF(OR($A1190="",$C1190=""),"",IFERROR(INDEX(Turno!$C$3:$V$32,MATCH($C1190,Turno!$B$3:$B$32,0),MATCH(DAY($A1190),Turno!$C$1:$V$1,0)),""))</f>
        <v/>
      </c>
      <c r="T1190" t="str">
        <f>IF(OR($E1190="",$S1190=""),"",IFERROR(MAX(0,ROUND((INDEX(Config!$D$15:$D$18,MATCH($S1190,Config!$B$15:$B$18,0))-$E1190)*1440,0)),""))</f>
        <v/>
      </c>
      <c r="U1190" s="13" t="str">
        <f>IF(OR($N1190="",$T1190=""),"",IFERROR(MAX(0,1-($N1190+$T1190+MAX(0,N($Q1190)))/ROUND((INDEX(Config!$D$15:$D$18,MATCH($S1190,Config!$B$15:$B$18,0))-INDEX(Config!$C$15:$C$18,MATCH($S1190,Config!$B$15:$B$18,0)))*1440,0)),""))</f>
        <v/>
      </c>
      <c r="V1190" s="5"/>
    </row>
    <row r="1191" spans="1:22" x14ac:dyDescent="0.25">
      <c r="A1191" s="11"/>
      <c r="B1191" s="5"/>
      <c r="C1191" s="6" t="str">
        <f>IFERROR(INDEX(Ejecutivos!$B$2:$B$100,MATCH(B1191,Ejecutivos!$A$2:$A$100,0)),"")</f>
        <v/>
      </c>
      <c r="D1191" s="12"/>
      <c r="E1191" s="12"/>
      <c r="F1191" s="12"/>
      <c r="G1191" s="12"/>
      <c r="H1191" s="5"/>
      <c r="I1191" s="5"/>
      <c r="J1191" s="5"/>
      <c r="K1191" s="5"/>
      <c r="L1191" s="18">
        <v>0</v>
      </c>
      <c r="M1191" t="str">
        <f t="shared" si="75"/>
        <v/>
      </c>
      <c r="N1191" t="str">
        <f>IF(OR($D1191="",$S1191=""),"",IFERROR(MAX(0,ROUND(($D1191-INDEX(Config!$C$15:$C$18,MATCH($S1191,Config!$B$15:$B$18,0)))*24*60,0)),""))</f>
        <v/>
      </c>
      <c r="O1191" t="str">
        <f t="shared" si="76"/>
        <v/>
      </c>
      <c r="P1191" t="str">
        <f t="shared" si="77"/>
        <v/>
      </c>
      <c r="Q1191" t="str">
        <f>IF(OR($P1191="",$S1191=""),"",IFERROR($P1191-INDEX(Config!$E$15:$E$18,MATCH($S1191,Config!$B$15:$B$18,0)),""))</f>
        <v/>
      </c>
      <c r="R1191" t="str">
        <f t="shared" si="78"/>
        <v/>
      </c>
      <c r="S1191" s="6" t="str">
        <f>IF(OR($A1191="",$C1191=""),"",IFERROR(INDEX(Turno!$C$3:$V$32,MATCH($C1191,Turno!$B$3:$B$32,0),MATCH(DAY($A1191),Turno!$C$1:$V$1,0)),""))</f>
        <v/>
      </c>
      <c r="T1191" t="str">
        <f>IF(OR($E1191="",$S1191=""),"",IFERROR(MAX(0,ROUND((INDEX(Config!$D$15:$D$18,MATCH($S1191,Config!$B$15:$B$18,0))-$E1191)*1440,0)),""))</f>
        <v/>
      </c>
      <c r="U1191" s="13" t="str">
        <f>IF(OR($N1191="",$T1191=""),"",IFERROR(MAX(0,1-($N1191+$T1191+MAX(0,N($Q1191)))/ROUND((INDEX(Config!$D$15:$D$18,MATCH($S1191,Config!$B$15:$B$18,0))-INDEX(Config!$C$15:$C$18,MATCH($S1191,Config!$B$15:$B$18,0)))*1440,0)),""))</f>
        <v/>
      </c>
      <c r="V1191" s="5"/>
    </row>
    <row r="1192" spans="1:22" x14ac:dyDescent="0.25">
      <c r="A1192" s="11"/>
      <c r="B1192" s="5"/>
      <c r="C1192" s="6" t="str">
        <f>IFERROR(INDEX(Ejecutivos!$B$2:$B$100,MATCH(B1192,Ejecutivos!$A$2:$A$100,0)),"")</f>
        <v/>
      </c>
      <c r="D1192" s="12"/>
      <c r="E1192" s="12"/>
      <c r="F1192" s="12"/>
      <c r="G1192" s="12"/>
      <c r="H1192" s="5"/>
      <c r="I1192" s="5"/>
      <c r="J1192" s="5"/>
      <c r="K1192" s="5"/>
      <c r="L1192" s="18">
        <v>0</v>
      </c>
      <c r="M1192" t="str">
        <f t="shared" si="75"/>
        <v/>
      </c>
      <c r="N1192" t="str">
        <f>IF(OR($D1192="",$S1192=""),"",IFERROR(MAX(0,ROUND(($D1192-INDEX(Config!$C$15:$C$18,MATCH($S1192,Config!$B$15:$B$18,0)))*24*60,0)),""))</f>
        <v/>
      </c>
      <c r="O1192" t="str">
        <f t="shared" si="76"/>
        <v/>
      </c>
      <c r="P1192" t="str">
        <f t="shared" si="77"/>
        <v/>
      </c>
      <c r="Q1192" t="str">
        <f>IF(OR($P1192="",$S1192=""),"",IFERROR($P1192-INDEX(Config!$E$15:$E$18,MATCH($S1192,Config!$B$15:$B$18,0)),""))</f>
        <v/>
      </c>
      <c r="R1192" t="str">
        <f t="shared" si="78"/>
        <v/>
      </c>
      <c r="S1192" s="6" t="str">
        <f>IF(OR($A1192="",$C1192=""),"",IFERROR(INDEX(Turno!$C$3:$V$32,MATCH($C1192,Turno!$B$3:$B$32,0),MATCH(DAY($A1192),Turno!$C$1:$V$1,0)),""))</f>
        <v/>
      </c>
      <c r="T1192" t="str">
        <f>IF(OR($E1192="",$S1192=""),"",IFERROR(MAX(0,ROUND((INDEX(Config!$D$15:$D$18,MATCH($S1192,Config!$B$15:$B$18,0))-$E1192)*1440,0)),""))</f>
        <v/>
      </c>
      <c r="U1192" s="13" t="str">
        <f>IF(OR($N1192="",$T1192=""),"",IFERROR(MAX(0,1-($N1192+$T1192+MAX(0,N($Q1192)))/ROUND((INDEX(Config!$D$15:$D$18,MATCH($S1192,Config!$B$15:$B$18,0))-INDEX(Config!$C$15:$C$18,MATCH($S1192,Config!$B$15:$B$18,0)))*1440,0)),""))</f>
        <v/>
      </c>
      <c r="V1192" s="5"/>
    </row>
    <row r="1193" spans="1:22" x14ac:dyDescent="0.25">
      <c r="A1193" s="11"/>
      <c r="B1193" s="5"/>
      <c r="C1193" s="6" t="str">
        <f>IFERROR(INDEX(Ejecutivos!$B$2:$B$100,MATCH(B1193,Ejecutivos!$A$2:$A$100,0)),"")</f>
        <v/>
      </c>
      <c r="D1193" s="12"/>
      <c r="E1193" s="12"/>
      <c r="F1193" s="12"/>
      <c r="G1193" s="12"/>
      <c r="H1193" s="5"/>
      <c r="I1193" s="5"/>
      <c r="J1193" s="5"/>
      <c r="K1193" s="5"/>
      <c r="L1193" s="18">
        <v>0</v>
      </c>
      <c r="M1193" t="str">
        <f t="shared" si="75"/>
        <v/>
      </c>
      <c r="N1193" t="str">
        <f>IF(OR($D1193="",$S1193=""),"",IFERROR(MAX(0,ROUND(($D1193-INDEX(Config!$C$15:$C$18,MATCH($S1193,Config!$B$15:$B$18,0)))*24*60,0)),""))</f>
        <v/>
      </c>
      <c r="O1193" t="str">
        <f t="shared" si="76"/>
        <v/>
      </c>
      <c r="P1193" t="str">
        <f t="shared" si="77"/>
        <v/>
      </c>
      <c r="Q1193" t="str">
        <f>IF(OR($P1193="",$S1193=""),"",IFERROR($P1193-INDEX(Config!$E$15:$E$18,MATCH($S1193,Config!$B$15:$B$18,0)),""))</f>
        <v/>
      </c>
      <c r="R1193" t="str">
        <f t="shared" si="78"/>
        <v/>
      </c>
      <c r="S1193" s="6" t="str">
        <f>IF(OR($A1193="",$C1193=""),"",IFERROR(INDEX(Turno!$C$3:$V$32,MATCH($C1193,Turno!$B$3:$B$32,0),MATCH(DAY($A1193),Turno!$C$1:$V$1,0)),""))</f>
        <v/>
      </c>
      <c r="T1193" t="str">
        <f>IF(OR($E1193="",$S1193=""),"",IFERROR(MAX(0,ROUND((INDEX(Config!$D$15:$D$18,MATCH($S1193,Config!$B$15:$B$18,0))-$E1193)*1440,0)),""))</f>
        <v/>
      </c>
      <c r="U1193" s="13" t="str">
        <f>IF(OR($N1193="",$T1193=""),"",IFERROR(MAX(0,1-($N1193+$T1193+MAX(0,N($Q1193)))/ROUND((INDEX(Config!$D$15:$D$18,MATCH($S1193,Config!$B$15:$B$18,0))-INDEX(Config!$C$15:$C$18,MATCH($S1193,Config!$B$15:$B$18,0)))*1440,0)),""))</f>
        <v/>
      </c>
      <c r="V1193" s="5"/>
    </row>
    <row r="1194" spans="1:22" x14ac:dyDescent="0.25">
      <c r="A1194" s="11"/>
      <c r="B1194" s="5"/>
      <c r="C1194" s="6" t="str">
        <f>IFERROR(INDEX(Ejecutivos!$B$2:$B$100,MATCH(B1194,Ejecutivos!$A$2:$A$100,0)),"")</f>
        <v/>
      </c>
      <c r="D1194" s="12"/>
      <c r="E1194" s="12"/>
      <c r="F1194" s="12"/>
      <c r="G1194" s="12"/>
      <c r="H1194" s="5"/>
      <c r="I1194" s="5"/>
      <c r="J1194" s="5"/>
      <c r="K1194" s="5"/>
      <c r="L1194" s="18">
        <v>0</v>
      </c>
      <c r="M1194" t="str">
        <f t="shared" si="75"/>
        <v/>
      </c>
      <c r="N1194" t="str">
        <f>IF(OR($D1194="",$S1194=""),"",IFERROR(MAX(0,ROUND(($D1194-INDEX(Config!$C$15:$C$18,MATCH($S1194,Config!$B$15:$B$18,0)))*24*60,0)),""))</f>
        <v/>
      </c>
      <c r="O1194" t="str">
        <f t="shared" si="76"/>
        <v/>
      </c>
      <c r="P1194" t="str">
        <f t="shared" si="77"/>
        <v/>
      </c>
      <c r="Q1194" t="str">
        <f>IF(OR($P1194="",$S1194=""),"",IFERROR($P1194-INDEX(Config!$E$15:$E$18,MATCH($S1194,Config!$B$15:$B$18,0)),""))</f>
        <v/>
      </c>
      <c r="R1194" t="str">
        <f t="shared" si="78"/>
        <v/>
      </c>
      <c r="S1194" s="6" t="str">
        <f>IF(OR($A1194="",$C1194=""),"",IFERROR(INDEX(Turno!$C$3:$V$32,MATCH($C1194,Turno!$B$3:$B$32,0),MATCH(DAY($A1194),Turno!$C$1:$V$1,0)),""))</f>
        <v/>
      </c>
      <c r="T1194" t="str">
        <f>IF(OR($E1194="",$S1194=""),"",IFERROR(MAX(0,ROUND((INDEX(Config!$D$15:$D$18,MATCH($S1194,Config!$B$15:$B$18,0))-$E1194)*1440,0)),""))</f>
        <v/>
      </c>
      <c r="U1194" s="13" t="str">
        <f>IF(OR($N1194="",$T1194=""),"",IFERROR(MAX(0,1-($N1194+$T1194+MAX(0,N($Q1194)))/ROUND((INDEX(Config!$D$15:$D$18,MATCH($S1194,Config!$B$15:$B$18,0))-INDEX(Config!$C$15:$C$18,MATCH($S1194,Config!$B$15:$B$18,0)))*1440,0)),""))</f>
        <v/>
      </c>
      <c r="V1194" s="5"/>
    </row>
    <row r="1195" spans="1:22" x14ac:dyDescent="0.25">
      <c r="A1195" s="11"/>
      <c r="B1195" s="5"/>
      <c r="C1195" s="6" t="str">
        <f>IFERROR(INDEX(Ejecutivos!$B$2:$B$100,MATCH(B1195,Ejecutivos!$A$2:$A$100,0)),"")</f>
        <v/>
      </c>
      <c r="D1195" s="12"/>
      <c r="E1195" s="12"/>
      <c r="F1195" s="12"/>
      <c r="G1195" s="12"/>
      <c r="H1195" s="5"/>
      <c r="I1195" s="5"/>
      <c r="J1195" s="5"/>
      <c r="K1195" s="5"/>
      <c r="L1195" s="18">
        <v>0</v>
      </c>
      <c r="M1195" t="str">
        <f t="shared" si="75"/>
        <v/>
      </c>
      <c r="N1195" t="str">
        <f>IF(OR($D1195="",$S1195=""),"",IFERROR(MAX(0,ROUND(($D1195-INDEX(Config!$C$15:$C$18,MATCH($S1195,Config!$B$15:$B$18,0)))*24*60,0)),""))</f>
        <v/>
      </c>
      <c r="O1195" t="str">
        <f t="shared" si="76"/>
        <v/>
      </c>
      <c r="P1195" t="str">
        <f t="shared" si="77"/>
        <v/>
      </c>
      <c r="Q1195" t="str">
        <f>IF(OR($P1195="",$S1195=""),"",IFERROR($P1195-INDEX(Config!$E$15:$E$18,MATCH($S1195,Config!$B$15:$B$18,0)),""))</f>
        <v/>
      </c>
      <c r="R1195" t="str">
        <f t="shared" si="78"/>
        <v/>
      </c>
      <c r="S1195" s="6" t="str">
        <f>IF(OR($A1195="",$C1195=""),"",IFERROR(INDEX(Turno!$C$3:$V$32,MATCH($C1195,Turno!$B$3:$B$32,0),MATCH(DAY($A1195),Turno!$C$1:$V$1,0)),""))</f>
        <v/>
      </c>
      <c r="T1195" t="str">
        <f>IF(OR($E1195="",$S1195=""),"",IFERROR(MAX(0,ROUND((INDEX(Config!$D$15:$D$18,MATCH($S1195,Config!$B$15:$B$18,0))-$E1195)*1440,0)),""))</f>
        <v/>
      </c>
      <c r="U1195" s="13" t="str">
        <f>IF(OR($N1195="",$T1195=""),"",IFERROR(MAX(0,1-($N1195+$T1195+MAX(0,N($Q1195)))/ROUND((INDEX(Config!$D$15:$D$18,MATCH($S1195,Config!$B$15:$B$18,0))-INDEX(Config!$C$15:$C$18,MATCH($S1195,Config!$B$15:$B$18,0)))*1440,0)),""))</f>
        <v/>
      </c>
      <c r="V1195" s="5"/>
    </row>
    <row r="1196" spans="1:22" x14ac:dyDescent="0.25">
      <c r="A1196" s="11"/>
      <c r="B1196" s="5"/>
      <c r="C1196" s="6" t="str">
        <f>IFERROR(INDEX(Ejecutivos!$B$2:$B$100,MATCH(B1196,Ejecutivos!$A$2:$A$100,0)),"")</f>
        <v/>
      </c>
      <c r="D1196" s="12"/>
      <c r="E1196" s="12"/>
      <c r="F1196" s="12"/>
      <c r="G1196" s="12"/>
      <c r="H1196" s="5"/>
      <c r="I1196" s="5"/>
      <c r="J1196" s="5"/>
      <c r="K1196" s="5"/>
      <c r="L1196" s="18">
        <v>0</v>
      </c>
      <c r="M1196" t="str">
        <f t="shared" si="75"/>
        <v/>
      </c>
      <c r="N1196" t="str">
        <f>IF(OR($D1196="",$S1196=""),"",IFERROR(MAX(0,ROUND(($D1196-INDEX(Config!$C$15:$C$18,MATCH($S1196,Config!$B$15:$B$18,0)))*24*60,0)),""))</f>
        <v/>
      </c>
      <c r="O1196" t="str">
        <f t="shared" si="76"/>
        <v/>
      </c>
      <c r="P1196" t="str">
        <f t="shared" si="77"/>
        <v/>
      </c>
      <c r="Q1196" t="str">
        <f>IF(OR($P1196="",$S1196=""),"",IFERROR($P1196-INDEX(Config!$E$15:$E$18,MATCH($S1196,Config!$B$15:$B$18,0)),""))</f>
        <v/>
      </c>
      <c r="R1196" t="str">
        <f t="shared" si="78"/>
        <v/>
      </c>
      <c r="S1196" s="6" t="str">
        <f>IF(OR($A1196="",$C1196=""),"",IFERROR(INDEX(Turno!$C$3:$V$32,MATCH($C1196,Turno!$B$3:$B$32,0),MATCH(DAY($A1196),Turno!$C$1:$V$1,0)),""))</f>
        <v/>
      </c>
      <c r="T1196" t="str">
        <f>IF(OR($E1196="",$S1196=""),"",IFERROR(MAX(0,ROUND((INDEX(Config!$D$15:$D$18,MATCH($S1196,Config!$B$15:$B$18,0))-$E1196)*1440,0)),""))</f>
        <v/>
      </c>
      <c r="U1196" s="13" t="str">
        <f>IF(OR($N1196="",$T1196=""),"",IFERROR(MAX(0,1-($N1196+$T1196+MAX(0,N($Q1196)))/ROUND((INDEX(Config!$D$15:$D$18,MATCH($S1196,Config!$B$15:$B$18,0))-INDEX(Config!$C$15:$C$18,MATCH($S1196,Config!$B$15:$B$18,0)))*1440,0)),""))</f>
        <v/>
      </c>
      <c r="V1196" s="5"/>
    </row>
    <row r="1197" spans="1:22" x14ac:dyDescent="0.25">
      <c r="A1197" s="11"/>
      <c r="B1197" s="5"/>
      <c r="C1197" s="6" t="str">
        <f>IFERROR(INDEX(Ejecutivos!$B$2:$B$100,MATCH(B1197,Ejecutivos!$A$2:$A$100,0)),"")</f>
        <v/>
      </c>
      <c r="D1197" s="12"/>
      <c r="E1197" s="12"/>
      <c r="F1197" s="12"/>
      <c r="G1197" s="12"/>
      <c r="H1197" s="5"/>
      <c r="I1197" s="5"/>
      <c r="J1197" s="5"/>
      <c r="K1197" s="5"/>
      <c r="L1197" s="18">
        <v>0</v>
      </c>
      <c r="M1197" t="str">
        <f t="shared" si="75"/>
        <v/>
      </c>
      <c r="N1197" t="str">
        <f>IF(OR($D1197="",$S1197=""),"",IFERROR(MAX(0,ROUND(($D1197-INDEX(Config!$C$15:$C$18,MATCH($S1197,Config!$B$15:$B$18,0)))*24*60,0)),""))</f>
        <v/>
      </c>
      <c r="O1197" t="str">
        <f t="shared" si="76"/>
        <v/>
      </c>
      <c r="P1197" t="str">
        <f t="shared" si="77"/>
        <v/>
      </c>
      <c r="Q1197" t="str">
        <f>IF(OR($P1197="",$S1197=""),"",IFERROR($P1197-INDEX(Config!$E$15:$E$18,MATCH($S1197,Config!$B$15:$B$18,0)),""))</f>
        <v/>
      </c>
      <c r="R1197" t="str">
        <f t="shared" si="78"/>
        <v/>
      </c>
      <c r="S1197" s="6" t="str">
        <f>IF(OR($A1197="",$C1197=""),"",IFERROR(INDEX(Turno!$C$3:$V$32,MATCH($C1197,Turno!$B$3:$B$32,0),MATCH(DAY($A1197),Turno!$C$1:$V$1,0)),""))</f>
        <v/>
      </c>
      <c r="T1197" t="str">
        <f>IF(OR($E1197="",$S1197=""),"",IFERROR(MAX(0,ROUND((INDEX(Config!$D$15:$D$18,MATCH($S1197,Config!$B$15:$B$18,0))-$E1197)*1440,0)),""))</f>
        <v/>
      </c>
      <c r="U1197" s="13" t="str">
        <f>IF(OR($N1197="",$T1197=""),"",IFERROR(MAX(0,1-($N1197+$T1197+MAX(0,N($Q1197)))/ROUND((INDEX(Config!$D$15:$D$18,MATCH($S1197,Config!$B$15:$B$18,0))-INDEX(Config!$C$15:$C$18,MATCH($S1197,Config!$B$15:$B$18,0)))*1440,0)),""))</f>
        <v/>
      </c>
      <c r="V1197" s="5"/>
    </row>
    <row r="1198" spans="1:22" x14ac:dyDescent="0.25">
      <c r="A1198" s="11"/>
      <c r="B1198" s="5"/>
      <c r="C1198" s="6" t="str">
        <f>IFERROR(INDEX(Ejecutivos!$B$2:$B$100,MATCH(B1198,Ejecutivos!$A$2:$A$100,0)),"")</f>
        <v/>
      </c>
      <c r="D1198" s="12"/>
      <c r="E1198" s="12"/>
      <c r="F1198" s="12"/>
      <c r="G1198" s="12"/>
      <c r="H1198" s="5"/>
      <c r="I1198" s="5"/>
      <c r="J1198" s="5"/>
      <c r="K1198" s="5"/>
      <c r="L1198" s="18">
        <v>0</v>
      </c>
      <c r="M1198" t="str">
        <f t="shared" si="75"/>
        <v/>
      </c>
      <c r="N1198" t="str">
        <f>IF(OR($D1198="",$S1198=""),"",IFERROR(MAX(0,ROUND(($D1198-INDEX(Config!$C$15:$C$18,MATCH($S1198,Config!$B$15:$B$18,0)))*24*60,0)),""))</f>
        <v/>
      </c>
      <c r="O1198" t="str">
        <f t="shared" si="76"/>
        <v/>
      </c>
      <c r="P1198" t="str">
        <f t="shared" si="77"/>
        <v/>
      </c>
      <c r="Q1198" t="str">
        <f>IF(OR($P1198="",$S1198=""),"",IFERROR($P1198-INDEX(Config!$E$15:$E$18,MATCH($S1198,Config!$B$15:$B$18,0)),""))</f>
        <v/>
      </c>
      <c r="R1198" t="str">
        <f t="shared" si="78"/>
        <v/>
      </c>
      <c r="S1198" s="6" t="str">
        <f>IF(OR($A1198="",$C1198=""),"",IFERROR(INDEX(Turno!$C$3:$V$32,MATCH($C1198,Turno!$B$3:$B$32,0),MATCH(DAY($A1198),Turno!$C$1:$V$1,0)),""))</f>
        <v/>
      </c>
      <c r="T1198" t="str">
        <f>IF(OR($E1198="",$S1198=""),"",IFERROR(MAX(0,ROUND((INDEX(Config!$D$15:$D$18,MATCH($S1198,Config!$B$15:$B$18,0))-$E1198)*1440,0)),""))</f>
        <v/>
      </c>
      <c r="U1198" s="13" t="str">
        <f>IF(OR($N1198="",$T1198=""),"",IFERROR(MAX(0,1-($N1198+$T1198+MAX(0,N($Q1198)))/ROUND((INDEX(Config!$D$15:$D$18,MATCH($S1198,Config!$B$15:$B$18,0))-INDEX(Config!$C$15:$C$18,MATCH($S1198,Config!$B$15:$B$18,0)))*1440,0)),""))</f>
        <v/>
      </c>
      <c r="V1198" s="5"/>
    </row>
    <row r="1199" spans="1:22" x14ac:dyDescent="0.25">
      <c r="A1199" s="11"/>
      <c r="B1199" s="5"/>
      <c r="C1199" s="6" t="str">
        <f>IFERROR(INDEX(Ejecutivos!$B$2:$B$100,MATCH(B1199,Ejecutivos!$A$2:$A$100,0)),"")</f>
        <v/>
      </c>
      <c r="D1199" s="12"/>
      <c r="E1199" s="12"/>
      <c r="F1199" s="12"/>
      <c r="G1199" s="12"/>
      <c r="H1199" s="5"/>
      <c r="I1199" s="5"/>
      <c r="J1199" s="5"/>
      <c r="K1199" s="5"/>
      <c r="L1199" s="18">
        <v>0</v>
      </c>
      <c r="M1199" t="str">
        <f t="shared" si="75"/>
        <v/>
      </c>
      <c r="N1199" t="str">
        <f>IF(OR($D1199="",$S1199=""),"",IFERROR(MAX(0,ROUND(($D1199-INDEX(Config!$C$15:$C$18,MATCH($S1199,Config!$B$15:$B$18,0)))*24*60,0)),""))</f>
        <v/>
      </c>
      <c r="O1199" t="str">
        <f t="shared" si="76"/>
        <v/>
      </c>
      <c r="P1199" t="str">
        <f t="shared" si="77"/>
        <v/>
      </c>
      <c r="Q1199" t="str">
        <f>IF(OR($P1199="",$S1199=""),"",IFERROR($P1199-INDEX(Config!$E$15:$E$18,MATCH($S1199,Config!$B$15:$B$18,0)),""))</f>
        <v/>
      </c>
      <c r="R1199" t="str">
        <f t="shared" si="78"/>
        <v/>
      </c>
      <c r="S1199" s="6" t="str">
        <f>IF(OR($A1199="",$C1199=""),"",IFERROR(INDEX(Turno!$C$3:$V$32,MATCH($C1199,Turno!$B$3:$B$32,0),MATCH(DAY($A1199),Turno!$C$1:$V$1,0)),""))</f>
        <v/>
      </c>
      <c r="T1199" t="str">
        <f>IF(OR($E1199="",$S1199=""),"",IFERROR(MAX(0,ROUND((INDEX(Config!$D$15:$D$18,MATCH($S1199,Config!$B$15:$B$18,0))-$E1199)*1440,0)),""))</f>
        <v/>
      </c>
      <c r="U1199" s="13" t="str">
        <f>IF(OR($N1199="",$T1199=""),"",IFERROR(MAX(0,1-($N1199+$T1199+MAX(0,N($Q1199)))/ROUND((INDEX(Config!$D$15:$D$18,MATCH($S1199,Config!$B$15:$B$18,0))-INDEX(Config!$C$15:$C$18,MATCH($S1199,Config!$B$15:$B$18,0)))*1440,0)),""))</f>
        <v/>
      </c>
      <c r="V1199" s="5"/>
    </row>
    <row r="1200" spans="1:22" x14ac:dyDescent="0.25">
      <c r="A1200" s="11"/>
      <c r="B1200" s="5"/>
      <c r="C1200" s="6" t="str">
        <f>IFERROR(INDEX(Ejecutivos!$B$2:$B$100,MATCH(B1200,Ejecutivos!$A$2:$A$100,0)),"")</f>
        <v/>
      </c>
      <c r="D1200" s="12"/>
      <c r="E1200" s="12"/>
      <c r="F1200" s="12"/>
      <c r="G1200" s="12"/>
      <c r="H1200" s="5"/>
      <c r="I1200" s="5"/>
      <c r="J1200" s="5"/>
      <c r="K1200" s="5"/>
      <c r="L1200" s="18">
        <v>0</v>
      </c>
      <c r="M1200" t="str">
        <f t="shared" si="75"/>
        <v/>
      </c>
      <c r="N1200" t="str">
        <f>IF(OR($D1200="",$S1200=""),"",IFERROR(MAX(0,ROUND(($D1200-INDEX(Config!$C$15:$C$18,MATCH($S1200,Config!$B$15:$B$18,0)))*24*60,0)),""))</f>
        <v/>
      </c>
      <c r="O1200" t="str">
        <f t="shared" si="76"/>
        <v/>
      </c>
      <c r="P1200" t="str">
        <f t="shared" si="77"/>
        <v/>
      </c>
      <c r="Q1200" t="str">
        <f>IF(OR($P1200="",$S1200=""),"",IFERROR($P1200-INDEX(Config!$E$15:$E$18,MATCH($S1200,Config!$B$15:$B$18,0)),""))</f>
        <v/>
      </c>
      <c r="R1200" t="str">
        <f t="shared" si="78"/>
        <v/>
      </c>
      <c r="S1200" s="6" t="str">
        <f>IF(OR($A1200="",$C1200=""),"",IFERROR(INDEX(Turno!$C$3:$V$32,MATCH($C1200,Turno!$B$3:$B$32,0),MATCH(DAY($A1200),Turno!$C$1:$V$1,0)),""))</f>
        <v/>
      </c>
      <c r="T1200" t="str">
        <f>IF(OR($E1200="",$S1200=""),"",IFERROR(MAX(0,ROUND((INDEX(Config!$D$15:$D$18,MATCH($S1200,Config!$B$15:$B$18,0))-$E1200)*1440,0)),""))</f>
        <v/>
      </c>
      <c r="U1200" s="13" t="str">
        <f>IF(OR($N1200="",$T1200=""),"",IFERROR(MAX(0,1-($N1200+$T1200+MAX(0,N($Q1200)))/ROUND((INDEX(Config!$D$15:$D$18,MATCH($S1200,Config!$B$15:$B$18,0))-INDEX(Config!$C$15:$C$18,MATCH($S1200,Config!$B$15:$B$18,0)))*1440,0)),""))</f>
        <v/>
      </c>
      <c r="V1200" s="5"/>
    </row>
    <row r="1201" spans="1:22" x14ac:dyDescent="0.25">
      <c r="A1201" s="11"/>
      <c r="B1201" s="5"/>
      <c r="C1201" s="6" t="str">
        <f>IFERROR(INDEX(Ejecutivos!$B$2:$B$100,MATCH(B1201,Ejecutivos!$A$2:$A$100,0)),"")</f>
        <v/>
      </c>
      <c r="D1201" s="12"/>
      <c r="E1201" s="12"/>
      <c r="F1201" s="12"/>
      <c r="G1201" s="12"/>
      <c r="H1201" s="5"/>
      <c r="I1201" s="5"/>
      <c r="J1201" s="5"/>
      <c r="K1201" s="5"/>
      <c r="L1201" s="18">
        <v>0</v>
      </c>
      <c r="M1201" t="str">
        <f t="shared" si="75"/>
        <v/>
      </c>
      <c r="N1201" t="str">
        <f>IF(OR($D1201="",$S1201=""),"",IFERROR(MAX(0,ROUND(($D1201-INDEX(Config!$C$15:$C$18,MATCH($S1201,Config!$B$15:$B$18,0)))*24*60,0)),""))</f>
        <v/>
      </c>
      <c r="O1201" t="str">
        <f t="shared" si="76"/>
        <v/>
      </c>
      <c r="P1201" t="str">
        <f t="shared" si="77"/>
        <v/>
      </c>
      <c r="Q1201" t="str">
        <f>IF(OR($P1201="",$S1201=""),"",IFERROR($P1201-INDEX(Config!$E$15:$E$18,MATCH($S1201,Config!$B$15:$B$18,0)),""))</f>
        <v/>
      </c>
      <c r="R1201" t="str">
        <f t="shared" si="78"/>
        <v/>
      </c>
      <c r="S1201" s="6" t="str">
        <f>IF(OR($A1201="",$C1201=""),"",IFERROR(INDEX(Turno!$C$3:$V$32,MATCH($C1201,Turno!$B$3:$B$32,0),MATCH(DAY($A1201),Turno!$C$1:$V$1,0)),""))</f>
        <v/>
      </c>
      <c r="T1201" t="str">
        <f>IF(OR($E1201="",$S1201=""),"",IFERROR(MAX(0,ROUND((INDEX(Config!$D$15:$D$18,MATCH($S1201,Config!$B$15:$B$18,0))-$E1201)*1440,0)),""))</f>
        <v/>
      </c>
      <c r="U1201" s="13" t="str">
        <f>IF(OR($N1201="",$T1201=""),"",IFERROR(MAX(0,1-($N1201+$T1201+MAX(0,N($Q1201)))/ROUND((INDEX(Config!$D$15:$D$18,MATCH($S1201,Config!$B$15:$B$18,0))-INDEX(Config!$C$15:$C$18,MATCH($S1201,Config!$B$15:$B$18,0)))*1440,0)),""))</f>
        <v/>
      </c>
      <c r="V1201" s="5"/>
    </row>
    <row r="1202" spans="1:22" x14ac:dyDescent="0.25">
      <c r="A1202" s="11"/>
      <c r="B1202" s="5"/>
      <c r="C1202" s="6" t="str">
        <f>IFERROR(INDEX(Ejecutivos!$B$2:$B$100,MATCH(B1202,Ejecutivos!$A$2:$A$100,0)),"")</f>
        <v/>
      </c>
      <c r="D1202" s="12"/>
      <c r="E1202" s="12"/>
      <c r="F1202" s="12"/>
      <c r="G1202" s="12"/>
      <c r="H1202" s="5"/>
      <c r="I1202" s="5"/>
      <c r="J1202" s="5"/>
      <c r="K1202" s="5"/>
      <c r="L1202" s="18">
        <v>0</v>
      </c>
      <c r="M1202" t="str">
        <f t="shared" si="75"/>
        <v/>
      </c>
      <c r="N1202" t="str">
        <f>IF(OR($D1202="",$S1202=""),"",IFERROR(MAX(0,ROUND(($D1202-INDEX(Config!$C$15:$C$18,MATCH($S1202,Config!$B$15:$B$18,0)))*24*60,0)),""))</f>
        <v/>
      </c>
      <c r="O1202" t="str">
        <f t="shared" si="76"/>
        <v/>
      </c>
      <c r="P1202" t="str">
        <f t="shared" si="77"/>
        <v/>
      </c>
      <c r="Q1202" t="str">
        <f>IF(OR($P1202="",$S1202=""),"",IFERROR($P1202-INDEX(Config!$E$15:$E$18,MATCH($S1202,Config!$B$15:$B$18,0)),""))</f>
        <v/>
      </c>
      <c r="R1202" t="str">
        <f t="shared" si="78"/>
        <v/>
      </c>
      <c r="S1202" s="6" t="str">
        <f>IF(OR($A1202="",$C1202=""),"",IFERROR(INDEX(Turno!$C$3:$V$32,MATCH($C1202,Turno!$B$3:$B$32,0),MATCH(DAY($A1202),Turno!$C$1:$V$1,0)),""))</f>
        <v/>
      </c>
      <c r="T1202" t="str">
        <f>IF(OR($E1202="",$S1202=""),"",IFERROR(MAX(0,ROUND((INDEX(Config!$D$15:$D$18,MATCH($S1202,Config!$B$15:$B$18,0))-$E1202)*1440,0)),""))</f>
        <v/>
      </c>
      <c r="U1202" s="13" t="str">
        <f>IF(OR($N1202="",$T1202=""),"",IFERROR(MAX(0,1-($N1202+$T1202+MAX(0,N($Q1202)))/ROUND((INDEX(Config!$D$15:$D$18,MATCH($S1202,Config!$B$15:$B$18,0))-INDEX(Config!$C$15:$C$18,MATCH($S1202,Config!$B$15:$B$18,0)))*1440,0)),""))</f>
        <v/>
      </c>
      <c r="V1202" s="5"/>
    </row>
    <row r="1203" spans="1:22" x14ac:dyDescent="0.25">
      <c r="A1203" s="11"/>
      <c r="B1203" s="5"/>
      <c r="C1203" s="6" t="str">
        <f>IFERROR(INDEX(Ejecutivos!$B$2:$B$100,MATCH(B1203,Ejecutivos!$A$2:$A$100,0)),"")</f>
        <v/>
      </c>
      <c r="D1203" s="12"/>
      <c r="E1203" s="12"/>
      <c r="F1203" s="12"/>
      <c r="G1203" s="12"/>
      <c r="H1203" s="5"/>
      <c r="I1203" s="5"/>
      <c r="J1203" s="5"/>
      <c r="K1203" s="5"/>
      <c r="L1203" s="18">
        <v>0</v>
      </c>
      <c r="M1203" t="str">
        <f t="shared" si="75"/>
        <v/>
      </c>
      <c r="N1203" t="str">
        <f>IF(OR($D1203="",$S1203=""),"",IFERROR(MAX(0,ROUND(($D1203-INDEX(Config!$C$15:$C$18,MATCH($S1203,Config!$B$15:$B$18,0)))*24*60,0)),""))</f>
        <v/>
      </c>
      <c r="O1203" t="str">
        <f t="shared" si="76"/>
        <v/>
      </c>
      <c r="P1203" t="str">
        <f t="shared" si="77"/>
        <v/>
      </c>
      <c r="Q1203" t="str">
        <f>IF(OR($P1203="",$S1203=""),"",IFERROR($P1203-INDEX(Config!$E$15:$E$18,MATCH($S1203,Config!$B$15:$B$18,0)),""))</f>
        <v/>
      </c>
      <c r="R1203" t="str">
        <f t="shared" si="78"/>
        <v/>
      </c>
      <c r="S1203" s="6" t="str">
        <f>IF(OR($A1203="",$C1203=""),"",IFERROR(INDEX(Turno!$C$3:$V$32,MATCH($C1203,Turno!$B$3:$B$32,0),MATCH(DAY($A1203),Turno!$C$1:$V$1,0)),""))</f>
        <v/>
      </c>
      <c r="T1203" t="str">
        <f>IF(OR($E1203="",$S1203=""),"",IFERROR(MAX(0,ROUND((INDEX(Config!$D$15:$D$18,MATCH($S1203,Config!$B$15:$B$18,0))-$E1203)*1440,0)),""))</f>
        <v/>
      </c>
      <c r="U1203" s="13" t="str">
        <f>IF(OR($N1203="",$T1203=""),"",IFERROR(MAX(0,1-($N1203+$T1203+MAX(0,N($Q1203)))/ROUND((INDEX(Config!$D$15:$D$18,MATCH($S1203,Config!$B$15:$B$18,0))-INDEX(Config!$C$15:$C$18,MATCH($S1203,Config!$B$15:$B$18,0)))*1440,0)),""))</f>
        <v/>
      </c>
      <c r="V1203" s="5"/>
    </row>
    <row r="1204" spans="1:22" x14ac:dyDescent="0.25">
      <c r="A1204" s="11"/>
      <c r="B1204" s="5"/>
      <c r="C1204" s="6" t="str">
        <f>IFERROR(INDEX(Ejecutivos!$B$2:$B$100,MATCH(B1204,Ejecutivos!$A$2:$A$100,0)),"")</f>
        <v/>
      </c>
      <c r="D1204" s="12"/>
      <c r="E1204" s="12"/>
      <c r="F1204" s="12"/>
      <c r="G1204" s="12"/>
      <c r="H1204" s="5"/>
      <c r="I1204" s="5"/>
      <c r="J1204" s="5"/>
      <c r="K1204" s="5"/>
      <c r="L1204" s="18">
        <v>0</v>
      </c>
      <c r="M1204" t="str">
        <f t="shared" si="75"/>
        <v/>
      </c>
      <c r="N1204" t="str">
        <f>IF(OR($D1204="",$S1204=""),"",IFERROR(MAX(0,ROUND(($D1204-INDEX(Config!$C$15:$C$18,MATCH($S1204,Config!$B$15:$B$18,0)))*24*60,0)),""))</f>
        <v/>
      </c>
      <c r="O1204" t="str">
        <f t="shared" si="76"/>
        <v/>
      </c>
      <c r="P1204" t="str">
        <f t="shared" si="77"/>
        <v/>
      </c>
      <c r="Q1204" t="str">
        <f>IF(OR($P1204="",$S1204=""),"",IFERROR($P1204-INDEX(Config!$E$15:$E$18,MATCH($S1204,Config!$B$15:$B$18,0)),""))</f>
        <v/>
      </c>
      <c r="R1204" t="str">
        <f t="shared" si="78"/>
        <v/>
      </c>
      <c r="S1204" s="6" t="str">
        <f>IF(OR($A1204="",$C1204=""),"",IFERROR(INDEX(Turno!$C$3:$V$32,MATCH($C1204,Turno!$B$3:$B$32,0),MATCH(DAY($A1204),Turno!$C$1:$V$1,0)),""))</f>
        <v/>
      </c>
      <c r="T1204" t="str">
        <f>IF(OR($E1204="",$S1204=""),"",IFERROR(MAX(0,ROUND((INDEX(Config!$D$15:$D$18,MATCH($S1204,Config!$B$15:$B$18,0))-$E1204)*1440,0)),""))</f>
        <v/>
      </c>
      <c r="U1204" s="13" t="str">
        <f>IF(OR($N1204="",$T1204=""),"",IFERROR(MAX(0,1-($N1204+$T1204+MAX(0,N($Q1204)))/ROUND((INDEX(Config!$D$15:$D$18,MATCH($S1204,Config!$B$15:$B$18,0))-INDEX(Config!$C$15:$C$18,MATCH($S1204,Config!$B$15:$B$18,0)))*1440,0)),""))</f>
        <v/>
      </c>
      <c r="V1204" s="5"/>
    </row>
    <row r="1205" spans="1:22" x14ac:dyDescent="0.25">
      <c r="A1205" s="11"/>
      <c r="B1205" s="5"/>
      <c r="C1205" s="6" t="str">
        <f>IFERROR(INDEX(Ejecutivos!$B$2:$B$100,MATCH(B1205,Ejecutivos!$A$2:$A$100,0)),"")</f>
        <v/>
      </c>
      <c r="D1205" s="12"/>
      <c r="E1205" s="12"/>
      <c r="F1205" s="12"/>
      <c r="G1205" s="12"/>
      <c r="H1205" s="5"/>
      <c r="I1205" s="5"/>
      <c r="J1205" s="5"/>
      <c r="K1205" s="5"/>
      <c r="L1205" s="18">
        <v>0</v>
      </c>
      <c r="M1205" t="str">
        <f t="shared" ref="M1205:M1268" si="79">IF(OR(D1205="",E1205=""),"",ROUND(((E1205-D1205)*24)-((G1205-F1205)*24)-((H1205+I1205)/60),2))</f>
        <v/>
      </c>
      <c r="N1205" t="str">
        <f>IF(OR($D1205="",$S1205=""),"",IFERROR(MAX(0,ROUND(($D1205-INDEX(Config!$C$15:$C$18,MATCH($S1205,Config!$B$15:$B$18,0)))*24*60,0)),""))</f>
        <v/>
      </c>
      <c r="O1205" t="str">
        <f t="shared" ref="O1205:O1268" si="80">IF(OR(F1205="",G1205=""),"",ROUND((G1205-F1205)*24*60,0))</f>
        <v/>
      </c>
      <c r="P1205" t="str">
        <f t="shared" ref="P1205:P1268" si="81">IF(O1205="","",O1205+H1205+I1205)</f>
        <v/>
      </c>
      <c r="Q1205" t="str">
        <f>IF(OR($P1205="",$S1205=""),"",IFERROR($P1205-INDEX(Config!$E$15:$E$18,MATCH($S1205,Config!$B$15:$B$18,0)),""))</f>
        <v/>
      </c>
      <c r="R1205" t="str">
        <f t="shared" ref="R1205:R1268" si="82">IF($A1205="","",IF($D1205="","Ausente",IF($N1205="","",IF($N1205&gt;0,"Atrasado","Puntual"))))</f>
        <v/>
      </c>
      <c r="S1205" s="6" t="str">
        <f>IF(OR($A1205="",$C1205=""),"",IFERROR(INDEX(Turno!$C$3:$V$32,MATCH($C1205,Turno!$B$3:$B$32,0),MATCH(DAY($A1205),Turno!$C$1:$V$1,0)),""))</f>
        <v/>
      </c>
      <c r="T1205" t="str">
        <f>IF(OR($E1205="",$S1205=""),"",IFERROR(MAX(0,ROUND((INDEX(Config!$D$15:$D$18,MATCH($S1205,Config!$B$15:$B$18,0))-$E1205)*1440,0)),""))</f>
        <v/>
      </c>
      <c r="U1205" s="13" t="str">
        <f>IF(OR($N1205="",$T1205=""),"",IFERROR(MAX(0,1-($N1205+$T1205+MAX(0,N($Q1205)))/ROUND((INDEX(Config!$D$15:$D$18,MATCH($S1205,Config!$B$15:$B$18,0))-INDEX(Config!$C$15:$C$18,MATCH($S1205,Config!$B$15:$B$18,0)))*1440,0)),""))</f>
        <v/>
      </c>
      <c r="V1205" s="5"/>
    </row>
    <row r="1206" spans="1:22" x14ac:dyDescent="0.25">
      <c r="A1206" s="11"/>
      <c r="B1206" s="5"/>
      <c r="C1206" s="6" t="str">
        <f>IFERROR(INDEX(Ejecutivos!$B$2:$B$100,MATCH(B1206,Ejecutivos!$A$2:$A$100,0)),"")</f>
        <v/>
      </c>
      <c r="D1206" s="12"/>
      <c r="E1206" s="12"/>
      <c r="F1206" s="12"/>
      <c r="G1206" s="12"/>
      <c r="H1206" s="5"/>
      <c r="I1206" s="5"/>
      <c r="J1206" s="5"/>
      <c r="K1206" s="5"/>
      <c r="L1206" s="18">
        <v>0</v>
      </c>
      <c r="M1206" t="str">
        <f t="shared" si="79"/>
        <v/>
      </c>
      <c r="N1206" t="str">
        <f>IF(OR($D1206="",$S1206=""),"",IFERROR(MAX(0,ROUND(($D1206-INDEX(Config!$C$15:$C$18,MATCH($S1206,Config!$B$15:$B$18,0)))*24*60,0)),""))</f>
        <v/>
      </c>
      <c r="O1206" t="str">
        <f t="shared" si="80"/>
        <v/>
      </c>
      <c r="P1206" t="str">
        <f t="shared" si="81"/>
        <v/>
      </c>
      <c r="Q1206" t="str">
        <f>IF(OR($P1206="",$S1206=""),"",IFERROR($P1206-INDEX(Config!$E$15:$E$18,MATCH($S1206,Config!$B$15:$B$18,0)),""))</f>
        <v/>
      </c>
      <c r="R1206" t="str">
        <f t="shared" si="82"/>
        <v/>
      </c>
      <c r="S1206" s="6" t="str">
        <f>IF(OR($A1206="",$C1206=""),"",IFERROR(INDEX(Turno!$C$3:$V$32,MATCH($C1206,Turno!$B$3:$B$32,0),MATCH(DAY($A1206),Turno!$C$1:$V$1,0)),""))</f>
        <v/>
      </c>
      <c r="T1206" t="str">
        <f>IF(OR($E1206="",$S1206=""),"",IFERROR(MAX(0,ROUND((INDEX(Config!$D$15:$D$18,MATCH($S1206,Config!$B$15:$B$18,0))-$E1206)*1440,0)),""))</f>
        <v/>
      </c>
      <c r="U1206" s="13" t="str">
        <f>IF(OR($N1206="",$T1206=""),"",IFERROR(MAX(0,1-($N1206+$T1206+MAX(0,N($Q1206)))/ROUND((INDEX(Config!$D$15:$D$18,MATCH($S1206,Config!$B$15:$B$18,0))-INDEX(Config!$C$15:$C$18,MATCH($S1206,Config!$B$15:$B$18,0)))*1440,0)),""))</f>
        <v/>
      </c>
      <c r="V1206" s="5"/>
    </row>
    <row r="1207" spans="1:22" x14ac:dyDescent="0.25">
      <c r="A1207" s="11"/>
      <c r="B1207" s="5"/>
      <c r="C1207" s="6" t="str">
        <f>IFERROR(INDEX(Ejecutivos!$B$2:$B$100,MATCH(B1207,Ejecutivos!$A$2:$A$100,0)),"")</f>
        <v/>
      </c>
      <c r="D1207" s="12"/>
      <c r="E1207" s="12"/>
      <c r="F1207" s="12"/>
      <c r="G1207" s="12"/>
      <c r="H1207" s="5"/>
      <c r="I1207" s="5"/>
      <c r="J1207" s="5"/>
      <c r="K1207" s="5"/>
      <c r="L1207" s="18">
        <v>0</v>
      </c>
      <c r="M1207" t="str">
        <f t="shared" si="79"/>
        <v/>
      </c>
      <c r="N1207" t="str">
        <f>IF(OR($D1207="",$S1207=""),"",IFERROR(MAX(0,ROUND(($D1207-INDEX(Config!$C$15:$C$18,MATCH($S1207,Config!$B$15:$B$18,0)))*24*60,0)),""))</f>
        <v/>
      </c>
      <c r="O1207" t="str">
        <f t="shared" si="80"/>
        <v/>
      </c>
      <c r="P1207" t="str">
        <f t="shared" si="81"/>
        <v/>
      </c>
      <c r="Q1207" t="str">
        <f>IF(OR($P1207="",$S1207=""),"",IFERROR($P1207-INDEX(Config!$E$15:$E$18,MATCH($S1207,Config!$B$15:$B$18,0)),""))</f>
        <v/>
      </c>
      <c r="R1207" t="str">
        <f t="shared" si="82"/>
        <v/>
      </c>
      <c r="S1207" s="6" t="str">
        <f>IF(OR($A1207="",$C1207=""),"",IFERROR(INDEX(Turno!$C$3:$V$32,MATCH($C1207,Turno!$B$3:$B$32,0),MATCH(DAY($A1207),Turno!$C$1:$V$1,0)),""))</f>
        <v/>
      </c>
      <c r="T1207" t="str">
        <f>IF(OR($E1207="",$S1207=""),"",IFERROR(MAX(0,ROUND((INDEX(Config!$D$15:$D$18,MATCH($S1207,Config!$B$15:$B$18,0))-$E1207)*1440,0)),""))</f>
        <v/>
      </c>
      <c r="U1207" s="13" t="str">
        <f>IF(OR($N1207="",$T1207=""),"",IFERROR(MAX(0,1-($N1207+$T1207+MAX(0,N($Q1207)))/ROUND((INDEX(Config!$D$15:$D$18,MATCH($S1207,Config!$B$15:$B$18,0))-INDEX(Config!$C$15:$C$18,MATCH($S1207,Config!$B$15:$B$18,0)))*1440,0)),""))</f>
        <v/>
      </c>
      <c r="V1207" s="5"/>
    </row>
    <row r="1208" spans="1:22" x14ac:dyDescent="0.25">
      <c r="A1208" s="11"/>
      <c r="B1208" s="5"/>
      <c r="C1208" s="6" t="str">
        <f>IFERROR(INDEX(Ejecutivos!$B$2:$B$100,MATCH(B1208,Ejecutivos!$A$2:$A$100,0)),"")</f>
        <v/>
      </c>
      <c r="D1208" s="12"/>
      <c r="E1208" s="12"/>
      <c r="F1208" s="12"/>
      <c r="G1208" s="12"/>
      <c r="H1208" s="5"/>
      <c r="I1208" s="5"/>
      <c r="J1208" s="5"/>
      <c r="K1208" s="5"/>
      <c r="L1208" s="18">
        <v>0</v>
      </c>
      <c r="M1208" t="str">
        <f t="shared" si="79"/>
        <v/>
      </c>
      <c r="N1208" t="str">
        <f>IF(OR($D1208="",$S1208=""),"",IFERROR(MAX(0,ROUND(($D1208-INDEX(Config!$C$15:$C$18,MATCH($S1208,Config!$B$15:$B$18,0)))*24*60,0)),""))</f>
        <v/>
      </c>
      <c r="O1208" t="str">
        <f t="shared" si="80"/>
        <v/>
      </c>
      <c r="P1208" t="str">
        <f t="shared" si="81"/>
        <v/>
      </c>
      <c r="Q1208" t="str">
        <f>IF(OR($P1208="",$S1208=""),"",IFERROR($P1208-INDEX(Config!$E$15:$E$18,MATCH($S1208,Config!$B$15:$B$18,0)),""))</f>
        <v/>
      </c>
      <c r="R1208" t="str">
        <f t="shared" si="82"/>
        <v/>
      </c>
      <c r="S1208" s="6" t="str">
        <f>IF(OR($A1208="",$C1208=""),"",IFERROR(INDEX(Turno!$C$3:$V$32,MATCH($C1208,Turno!$B$3:$B$32,0),MATCH(DAY($A1208),Turno!$C$1:$V$1,0)),""))</f>
        <v/>
      </c>
      <c r="T1208" t="str">
        <f>IF(OR($E1208="",$S1208=""),"",IFERROR(MAX(0,ROUND((INDEX(Config!$D$15:$D$18,MATCH($S1208,Config!$B$15:$B$18,0))-$E1208)*1440,0)),""))</f>
        <v/>
      </c>
      <c r="U1208" s="13" t="str">
        <f>IF(OR($N1208="",$T1208=""),"",IFERROR(MAX(0,1-($N1208+$T1208+MAX(0,N($Q1208)))/ROUND((INDEX(Config!$D$15:$D$18,MATCH($S1208,Config!$B$15:$B$18,0))-INDEX(Config!$C$15:$C$18,MATCH($S1208,Config!$B$15:$B$18,0)))*1440,0)),""))</f>
        <v/>
      </c>
      <c r="V1208" s="5"/>
    </row>
    <row r="1209" spans="1:22" x14ac:dyDescent="0.25">
      <c r="A1209" s="11"/>
      <c r="B1209" s="5"/>
      <c r="C1209" s="6" t="str">
        <f>IFERROR(INDEX(Ejecutivos!$B$2:$B$100,MATCH(B1209,Ejecutivos!$A$2:$A$100,0)),"")</f>
        <v/>
      </c>
      <c r="D1209" s="12"/>
      <c r="E1209" s="12"/>
      <c r="F1209" s="12"/>
      <c r="G1209" s="12"/>
      <c r="H1209" s="5"/>
      <c r="I1209" s="5"/>
      <c r="J1209" s="5"/>
      <c r="K1209" s="5"/>
      <c r="L1209" s="18">
        <v>0</v>
      </c>
      <c r="M1209" t="str">
        <f t="shared" si="79"/>
        <v/>
      </c>
      <c r="N1209" t="str">
        <f>IF(OR($D1209="",$S1209=""),"",IFERROR(MAX(0,ROUND(($D1209-INDEX(Config!$C$15:$C$18,MATCH($S1209,Config!$B$15:$B$18,0)))*24*60,0)),""))</f>
        <v/>
      </c>
      <c r="O1209" t="str">
        <f t="shared" si="80"/>
        <v/>
      </c>
      <c r="P1209" t="str">
        <f t="shared" si="81"/>
        <v/>
      </c>
      <c r="Q1209" t="str">
        <f>IF(OR($P1209="",$S1209=""),"",IFERROR($P1209-INDEX(Config!$E$15:$E$18,MATCH($S1209,Config!$B$15:$B$18,0)),""))</f>
        <v/>
      </c>
      <c r="R1209" t="str">
        <f t="shared" si="82"/>
        <v/>
      </c>
      <c r="S1209" s="6" t="str">
        <f>IF(OR($A1209="",$C1209=""),"",IFERROR(INDEX(Turno!$C$3:$V$32,MATCH($C1209,Turno!$B$3:$B$32,0),MATCH(DAY($A1209),Turno!$C$1:$V$1,0)),""))</f>
        <v/>
      </c>
      <c r="T1209" t="str">
        <f>IF(OR($E1209="",$S1209=""),"",IFERROR(MAX(0,ROUND((INDEX(Config!$D$15:$D$18,MATCH($S1209,Config!$B$15:$B$18,0))-$E1209)*1440,0)),""))</f>
        <v/>
      </c>
      <c r="U1209" s="13" t="str">
        <f>IF(OR($N1209="",$T1209=""),"",IFERROR(MAX(0,1-($N1209+$T1209+MAX(0,N($Q1209)))/ROUND((INDEX(Config!$D$15:$D$18,MATCH($S1209,Config!$B$15:$B$18,0))-INDEX(Config!$C$15:$C$18,MATCH($S1209,Config!$B$15:$B$18,0)))*1440,0)),""))</f>
        <v/>
      </c>
      <c r="V1209" s="5"/>
    </row>
    <row r="1210" spans="1:22" x14ac:dyDescent="0.25">
      <c r="A1210" s="11"/>
      <c r="B1210" s="5"/>
      <c r="C1210" s="6" t="str">
        <f>IFERROR(INDEX(Ejecutivos!$B$2:$B$100,MATCH(B1210,Ejecutivos!$A$2:$A$100,0)),"")</f>
        <v/>
      </c>
      <c r="D1210" s="12"/>
      <c r="E1210" s="12"/>
      <c r="F1210" s="12"/>
      <c r="G1210" s="12"/>
      <c r="H1210" s="5"/>
      <c r="I1210" s="5"/>
      <c r="J1210" s="5"/>
      <c r="K1210" s="5"/>
      <c r="L1210" s="18">
        <v>0</v>
      </c>
      <c r="M1210" t="str">
        <f t="shared" si="79"/>
        <v/>
      </c>
      <c r="N1210" t="str">
        <f>IF(OR($D1210="",$S1210=""),"",IFERROR(MAX(0,ROUND(($D1210-INDEX(Config!$C$15:$C$18,MATCH($S1210,Config!$B$15:$B$18,0)))*24*60,0)),""))</f>
        <v/>
      </c>
      <c r="O1210" t="str">
        <f t="shared" si="80"/>
        <v/>
      </c>
      <c r="P1210" t="str">
        <f t="shared" si="81"/>
        <v/>
      </c>
      <c r="Q1210" t="str">
        <f>IF(OR($P1210="",$S1210=""),"",IFERROR($P1210-INDEX(Config!$E$15:$E$18,MATCH($S1210,Config!$B$15:$B$18,0)),""))</f>
        <v/>
      </c>
      <c r="R1210" t="str">
        <f t="shared" si="82"/>
        <v/>
      </c>
      <c r="S1210" s="6" t="str">
        <f>IF(OR($A1210="",$C1210=""),"",IFERROR(INDEX(Turno!$C$3:$V$32,MATCH($C1210,Turno!$B$3:$B$32,0),MATCH(DAY($A1210),Turno!$C$1:$V$1,0)),""))</f>
        <v/>
      </c>
      <c r="T1210" t="str">
        <f>IF(OR($E1210="",$S1210=""),"",IFERROR(MAX(0,ROUND((INDEX(Config!$D$15:$D$18,MATCH($S1210,Config!$B$15:$B$18,0))-$E1210)*1440,0)),""))</f>
        <v/>
      </c>
      <c r="U1210" s="13" t="str">
        <f>IF(OR($N1210="",$T1210=""),"",IFERROR(MAX(0,1-($N1210+$T1210+MAX(0,N($Q1210)))/ROUND((INDEX(Config!$D$15:$D$18,MATCH($S1210,Config!$B$15:$B$18,0))-INDEX(Config!$C$15:$C$18,MATCH($S1210,Config!$B$15:$B$18,0)))*1440,0)),""))</f>
        <v/>
      </c>
      <c r="V1210" s="5"/>
    </row>
    <row r="1211" spans="1:22" x14ac:dyDescent="0.25">
      <c r="A1211" s="11"/>
      <c r="B1211" s="5"/>
      <c r="C1211" s="6" t="str">
        <f>IFERROR(INDEX(Ejecutivos!$B$2:$B$100,MATCH(B1211,Ejecutivos!$A$2:$A$100,0)),"")</f>
        <v/>
      </c>
      <c r="D1211" s="12"/>
      <c r="E1211" s="12"/>
      <c r="F1211" s="12"/>
      <c r="G1211" s="12"/>
      <c r="H1211" s="5"/>
      <c r="I1211" s="5"/>
      <c r="J1211" s="5"/>
      <c r="K1211" s="5"/>
      <c r="L1211" s="18">
        <v>0</v>
      </c>
      <c r="M1211" t="str">
        <f t="shared" si="79"/>
        <v/>
      </c>
      <c r="N1211" t="str">
        <f>IF(OR($D1211="",$S1211=""),"",IFERROR(MAX(0,ROUND(($D1211-INDEX(Config!$C$15:$C$18,MATCH($S1211,Config!$B$15:$B$18,0)))*24*60,0)),""))</f>
        <v/>
      </c>
      <c r="O1211" t="str">
        <f t="shared" si="80"/>
        <v/>
      </c>
      <c r="P1211" t="str">
        <f t="shared" si="81"/>
        <v/>
      </c>
      <c r="Q1211" t="str">
        <f>IF(OR($P1211="",$S1211=""),"",IFERROR($P1211-INDEX(Config!$E$15:$E$18,MATCH($S1211,Config!$B$15:$B$18,0)),""))</f>
        <v/>
      </c>
      <c r="R1211" t="str">
        <f t="shared" si="82"/>
        <v/>
      </c>
      <c r="S1211" s="6" t="str">
        <f>IF(OR($A1211="",$C1211=""),"",IFERROR(INDEX(Turno!$C$3:$V$32,MATCH($C1211,Turno!$B$3:$B$32,0),MATCH(DAY($A1211),Turno!$C$1:$V$1,0)),""))</f>
        <v/>
      </c>
      <c r="T1211" t="str">
        <f>IF(OR($E1211="",$S1211=""),"",IFERROR(MAX(0,ROUND((INDEX(Config!$D$15:$D$18,MATCH($S1211,Config!$B$15:$B$18,0))-$E1211)*1440,0)),""))</f>
        <v/>
      </c>
      <c r="U1211" s="13" t="str">
        <f>IF(OR($N1211="",$T1211=""),"",IFERROR(MAX(0,1-($N1211+$T1211+MAX(0,N($Q1211)))/ROUND((INDEX(Config!$D$15:$D$18,MATCH($S1211,Config!$B$15:$B$18,0))-INDEX(Config!$C$15:$C$18,MATCH($S1211,Config!$B$15:$B$18,0)))*1440,0)),""))</f>
        <v/>
      </c>
      <c r="V1211" s="5"/>
    </row>
    <row r="1212" spans="1:22" x14ac:dyDescent="0.25">
      <c r="A1212" s="11"/>
      <c r="B1212" s="5"/>
      <c r="C1212" s="6" t="str">
        <f>IFERROR(INDEX(Ejecutivos!$B$2:$B$100,MATCH(B1212,Ejecutivos!$A$2:$A$100,0)),"")</f>
        <v/>
      </c>
      <c r="D1212" s="12"/>
      <c r="E1212" s="12"/>
      <c r="F1212" s="12"/>
      <c r="G1212" s="12"/>
      <c r="H1212" s="5"/>
      <c r="I1212" s="5"/>
      <c r="J1212" s="5"/>
      <c r="K1212" s="5"/>
      <c r="L1212" s="18">
        <v>0</v>
      </c>
      <c r="M1212" t="str">
        <f t="shared" si="79"/>
        <v/>
      </c>
      <c r="N1212" t="str">
        <f>IF(OR($D1212="",$S1212=""),"",IFERROR(MAX(0,ROUND(($D1212-INDEX(Config!$C$15:$C$18,MATCH($S1212,Config!$B$15:$B$18,0)))*24*60,0)),""))</f>
        <v/>
      </c>
      <c r="O1212" t="str">
        <f t="shared" si="80"/>
        <v/>
      </c>
      <c r="P1212" t="str">
        <f t="shared" si="81"/>
        <v/>
      </c>
      <c r="Q1212" t="str">
        <f>IF(OR($P1212="",$S1212=""),"",IFERROR($P1212-INDEX(Config!$E$15:$E$18,MATCH($S1212,Config!$B$15:$B$18,0)),""))</f>
        <v/>
      </c>
      <c r="R1212" t="str">
        <f t="shared" si="82"/>
        <v/>
      </c>
      <c r="S1212" s="6" t="str">
        <f>IF(OR($A1212="",$C1212=""),"",IFERROR(INDEX(Turno!$C$3:$V$32,MATCH($C1212,Turno!$B$3:$B$32,0),MATCH(DAY($A1212),Turno!$C$1:$V$1,0)),""))</f>
        <v/>
      </c>
      <c r="T1212" t="str">
        <f>IF(OR($E1212="",$S1212=""),"",IFERROR(MAX(0,ROUND((INDEX(Config!$D$15:$D$18,MATCH($S1212,Config!$B$15:$B$18,0))-$E1212)*1440,0)),""))</f>
        <v/>
      </c>
      <c r="U1212" s="13" t="str">
        <f>IF(OR($N1212="",$T1212=""),"",IFERROR(MAX(0,1-($N1212+$T1212+MAX(0,N($Q1212)))/ROUND((INDEX(Config!$D$15:$D$18,MATCH($S1212,Config!$B$15:$B$18,0))-INDEX(Config!$C$15:$C$18,MATCH($S1212,Config!$B$15:$B$18,0)))*1440,0)),""))</f>
        <v/>
      </c>
      <c r="V1212" s="5"/>
    </row>
    <row r="1213" spans="1:22" x14ac:dyDescent="0.25">
      <c r="A1213" s="11"/>
      <c r="B1213" s="5"/>
      <c r="C1213" s="6" t="str">
        <f>IFERROR(INDEX(Ejecutivos!$B$2:$B$100,MATCH(B1213,Ejecutivos!$A$2:$A$100,0)),"")</f>
        <v/>
      </c>
      <c r="D1213" s="12"/>
      <c r="E1213" s="12"/>
      <c r="F1213" s="12"/>
      <c r="G1213" s="12"/>
      <c r="H1213" s="5"/>
      <c r="I1213" s="5"/>
      <c r="J1213" s="5"/>
      <c r="K1213" s="5"/>
      <c r="L1213" s="18">
        <v>0</v>
      </c>
      <c r="M1213" t="str">
        <f t="shared" si="79"/>
        <v/>
      </c>
      <c r="N1213" t="str">
        <f>IF(OR($D1213="",$S1213=""),"",IFERROR(MAX(0,ROUND(($D1213-INDEX(Config!$C$15:$C$18,MATCH($S1213,Config!$B$15:$B$18,0)))*24*60,0)),""))</f>
        <v/>
      </c>
      <c r="O1213" t="str">
        <f t="shared" si="80"/>
        <v/>
      </c>
      <c r="P1213" t="str">
        <f t="shared" si="81"/>
        <v/>
      </c>
      <c r="Q1213" t="str">
        <f>IF(OR($P1213="",$S1213=""),"",IFERROR($P1213-INDEX(Config!$E$15:$E$18,MATCH($S1213,Config!$B$15:$B$18,0)),""))</f>
        <v/>
      </c>
      <c r="R1213" t="str">
        <f t="shared" si="82"/>
        <v/>
      </c>
      <c r="S1213" s="6" t="str">
        <f>IF(OR($A1213="",$C1213=""),"",IFERROR(INDEX(Turno!$C$3:$V$32,MATCH($C1213,Turno!$B$3:$B$32,0),MATCH(DAY($A1213),Turno!$C$1:$V$1,0)),""))</f>
        <v/>
      </c>
      <c r="T1213" t="str">
        <f>IF(OR($E1213="",$S1213=""),"",IFERROR(MAX(0,ROUND((INDEX(Config!$D$15:$D$18,MATCH($S1213,Config!$B$15:$B$18,0))-$E1213)*1440,0)),""))</f>
        <v/>
      </c>
      <c r="U1213" s="13" t="str">
        <f>IF(OR($N1213="",$T1213=""),"",IFERROR(MAX(0,1-($N1213+$T1213+MAX(0,N($Q1213)))/ROUND((INDEX(Config!$D$15:$D$18,MATCH($S1213,Config!$B$15:$B$18,0))-INDEX(Config!$C$15:$C$18,MATCH($S1213,Config!$B$15:$B$18,0)))*1440,0)),""))</f>
        <v/>
      </c>
      <c r="V1213" s="5"/>
    </row>
    <row r="1214" spans="1:22" x14ac:dyDescent="0.25">
      <c r="A1214" s="11"/>
      <c r="B1214" s="5"/>
      <c r="C1214" s="6" t="str">
        <f>IFERROR(INDEX(Ejecutivos!$B$2:$B$100,MATCH(B1214,Ejecutivos!$A$2:$A$100,0)),"")</f>
        <v/>
      </c>
      <c r="D1214" s="12"/>
      <c r="E1214" s="12"/>
      <c r="F1214" s="12"/>
      <c r="G1214" s="12"/>
      <c r="H1214" s="5"/>
      <c r="I1214" s="5"/>
      <c r="J1214" s="5"/>
      <c r="K1214" s="5"/>
      <c r="L1214" s="18">
        <v>0</v>
      </c>
      <c r="M1214" t="str">
        <f t="shared" si="79"/>
        <v/>
      </c>
      <c r="N1214" t="str">
        <f>IF(OR($D1214="",$S1214=""),"",IFERROR(MAX(0,ROUND(($D1214-INDEX(Config!$C$15:$C$18,MATCH($S1214,Config!$B$15:$B$18,0)))*24*60,0)),""))</f>
        <v/>
      </c>
      <c r="O1214" t="str">
        <f t="shared" si="80"/>
        <v/>
      </c>
      <c r="P1214" t="str">
        <f t="shared" si="81"/>
        <v/>
      </c>
      <c r="Q1214" t="str">
        <f>IF(OR($P1214="",$S1214=""),"",IFERROR($P1214-INDEX(Config!$E$15:$E$18,MATCH($S1214,Config!$B$15:$B$18,0)),""))</f>
        <v/>
      </c>
      <c r="R1214" t="str">
        <f t="shared" si="82"/>
        <v/>
      </c>
      <c r="S1214" s="6" t="str">
        <f>IF(OR($A1214="",$C1214=""),"",IFERROR(INDEX(Turno!$C$3:$V$32,MATCH($C1214,Turno!$B$3:$B$32,0),MATCH(DAY($A1214),Turno!$C$1:$V$1,0)),""))</f>
        <v/>
      </c>
      <c r="T1214" t="str">
        <f>IF(OR($E1214="",$S1214=""),"",IFERROR(MAX(0,ROUND((INDEX(Config!$D$15:$D$18,MATCH($S1214,Config!$B$15:$B$18,0))-$E1214)*1440,0)),""))</f>
        <v/>
      </c>
      <c r="U1214" s="13" t="str">
        <f>IF(OR($N1214="",$T1214=""),"",IFERROR(MAX(0,1-($N1214+$T1214+MAX(0,N($Q1214)))/ROUND((INDEX(Config!$D$15:$D$18,MATCH($S1214,Config!$B$15:$B$18,0))-INDEX(Config!$C$15:$C$18,MATCH($S1214,Config!$B$15:$B$18,0)))*1440,0)),""))</f>
        <v/>
      </c>
      <c r="V1214" s="5"/>
    </row>
    <row r="1215" spans="1:22" x14ac:dyDescent="0.25">
      <c r="A1215" s="11"/>
      <c r="B1215" s="5"/>
      <c r="C1215" s="6" t="str">
        <f>IFERROR(INDEX(Ejecutivos!$B$2:$B$100,MATCH(B1215,Ejecutivos!$A$2:$A$100,0)),"")</f>
        <v/>
      </c>
      <c r="D1215" s="12"/>
      <c r="E1215" s="12"/>
      <c r="F1215" s="12"/>
      <c r="G1215" s="12"/>
      <c r="H1215" s="5"/>
      <c r="I1215" s="5"/>
      <c r="J1215" s="5"/>
      <c r="K1215" s="5"/>
      <c r="L1215" s="18">
        <v>0</v>
      </c>
      <c r="M1215" t="str">
        <f t="shared" si="79"/>
        <v/>
      </c>
      <c r="N1215" t="str">
        <f>IF(OR($D1215="",$S1215=""),"",IFERROR(MAX(0,ROUND(($D1215-INDEX(Config!$C$15:$C$18,MATCH($S1215,Config!$B$15:$B$18,0)))*24*60,0)),""))</f>
        <v/>
      </c>
      <c r="O1215" t="str">
        <f t="shared" si="80"/>
        <v/>
      </c>
      <c r="P1215" t="str">
        <f t="shared" si="81"/>
        <v/>
      </c>
      <c r="Q1215" t="str">
        <f>IF(OR($P1215="",$S1215=""),"",IFERROR($P1215-INDEX(Config!$E$15:$E$18,MATCH($S1215,Config!$B$15:$B$18,0)),""))</f>
        <v/>
      </c>
      <c r="R1215" t="str">
        <f t="shared" si="82"/>
        <v/>
      </c>
      <c r="S1215" s="6" t="str">
        <f>IF(OR($A1215="",$C1215=""),"",IFERROR(INDEX(Turno!$C$3:$V$32,MATCH($C1215,Turno!$B$3:$B$32,0),MATCH(DAY($A1215),Turno!$C$1:$V$1,0)),""))</f>
        <v/>
      </c>
      <c r="T1215" t="str">
        <f>IF(OR($E1215="",$S1215=""),"",IFERROR(MAX(0,ROUND((INDEX(Config!$D$15:$D$18,MATCH($S1215,Config!$B$15:$B$18,0))-$E1215)*1440,0)),""))</f>
        <v/>
      </c>
      <c r="U1215" s="13" t="str">
        <f>IF(OR($N1215="",$T1215=""),"",IFERROR(MAX(0,1-($N1215+$T1215+MAX(0,N($Q1215)))/ROUND((INDEX(Config!$D$15:$D$18,MATCH($S1215,Config!$B$15:$B$18,0))-INDEX(Config!$C$15:$C$18,MATCH($S1215,Config!$B$15:$B$18,0)))*1440,0)),""))</f>
        <v/>
      </c>
      <c r="V1215" s="5"/>
    </row>
    <row r="1216" spans="1:22" x14ac:dyDescent="0.25">
      <c r="A1216" s="11"/>
      <c r="B1216" s="5"/>
      <c r="C1216" s="6" t="str">
        <f>IFERROR(INDEX(Ejecutivos!$B$2:$B$100,MATCH(B1216,Ejecutivos!$A$2:$A$100,0)),"")</f>
        <v/>
      </c>
      <c r="D1216" s="12"/>
      <c r="E1216" s="12"/>
      <c r="F1216" s="12"/>
      <c r="G1216" s="12"/>
      <c r="H1216" s="5"/>
      <c r="I1216" s="5"/>
      <c r="J1216" s="5"/>
      <c r="K1216" s="5"/>
      <c r="L1216" s="18">
        <v>0</v>
      </c>
      <c r="M1216" t="str">
        <f t="shared" si="79"/>
        <v/>
      </c>
      <c r="N1216" t="str">
        <f>IF(OR($D1216="",$S1216=""),"",IFERROR(MAX(0,ROUND(($D1216-INDEX(Config!$C$15:$C$18,MATCH($S1216,Config!$B$15:$B$18,0)))*24*60,0)),""))</f>
        <v/>
      </c>
      <c r="O1216" t="str">
        <f t="shared" si="80"/>
        <v/>
      </c>
      <c r="P1216" t="str">
        <f t="shared" si="81"/>
        <v/>
      </c>
      <c r="Q1216" t="str">
        <f>IF(OR($P1216="",$S1216=""),"",IFERROR($P1216-INDEX(Config!$E$15:$E$18,MATCH($S1216,Config!$B$15:$B$18,0)),""))</f>
        <v/>
      </c>
      <c r="R1216" t="str">
        <f t="shared" si="82"/>
        <v/>
      </c>
      <c r="S1216" s="6" t="str">
        <f>IF(OR($A1216="",$C1216=""),"",IFERROR(INDEX(Turno!$C$3:$V$32,MATCH($C1216,Turno!$B$3:$B$32,0),MATCH(DAY($A1216),Turno!$C$1:$V$1,0)),""))</f>
        <v/>
      </c>
      <c r="T1216" t="str">
        <f>IF(OR($E1216="",$S1216=""),"",IFERROR(MAX(0,ROUND((INDEX(Config!$D$15:$D$18,MATCH($S1216,Config!$B$15:$B$18,0))-$E1216)*1440,0)),""))</f>
        <v/>
      </c>
      <c r="U1216" s="13" t="str">
        <f>IF(OR($N1216="",$T1216=""),"",IFERROR(MAX(0,1-($N1216+$T1216+MAX(0,N($Q1216)))/ROUND((INDEX(Config!$D$15:$D$18,MATCH($S1216,Config!$B$15:$B$18,0))-INDEX(Config!$C$15:$C$18,MATCH($S1216,Config!$B$15:$B$18,0)))*1440,0)),""))</f>
        <v/>
      </c>
      <c r="V1216" s="5"/>
    </row>
    <row r="1217" spans="1:22" x14ac:dyDescent="0.25">
      <c r="A1217" s="11"/>
      <c r="B1217" s="5"/>
      <c r="C1217" s="6" t="str">
        <f>IFERROR(INDEX(Ejecutivos!$B$2:$B$100,MATCH(B1217,Ejecutivos!$A$2:$A$100,0)),"")</f>
        <v/>
      </c>
      <c r="D1217" s="12"/>
      <c r="E1217" s="12"/>
      <c r="F1217" s="12"/>
      <c r="G1217" s="12"/>
      <c r="H1217" s="5"/>
      <c r="I1217" s="5"/>
      <c r="J1217" s="5"/>
      <c r="K1217" s="5"/>
      <c r="L1217" s="18">
        <v>0</v>
      </c>
      <c r="M1217" t="str">
        <f t="shared" si="79"/>
        <v/>
      </c>
      <c r="N1217" t="str">
        <f>IF(OR($D1217="",$S1217=""),"",IFERROR(MAX(0,ROUND(($D1217-INDEX(Config!$C$15:$C$18,MATCH($S1217,Config!$B$15:$B$18,0)))*24*60,0)),""))</f>
        <v/>
      </c>
      <c r="O1217" t="str">
        <f t="shared" si="80"/>
        <v/>
      </c>
      <c r="P1217" t="str">
        <f t="shared" si="81"/>
        <v/>
      </c>
      <c r="Q1217" t="str">
        <f>IF(OR($P1217="",$S1217=""),"",IFERROR($P1217-INDEX(Config!$E$15:$E$18,MATCH($S1217,Config!$B$15:$B$18,0)),""))</f>
        <v/>
      </c>
      <c r="R1217" t="str">
        <f t="shared" si="82"/>
        <v/>
      </c>
      <c r="S1217" s="6" t="str">
        <f>IF(OR($A1217="",$C1217=""),"",IFERROR(INDEX(Turno!$C$3:$V$32,MATCH($C1217,Turno!$B$3:$B$32,0),MATCH(DAY($A1217),Turno!$C$1:$V$1,0)),""))</f>
        <v/>
      </c>
      <c r="T1217" t="str">
        <f>IF(OR($E1217="",$S1217=""),"",IFERROR(MAX(0,ROUND((INDEX(Config!$D$15:$D$18,MATCH($S1217,Config!$B$15:$B$18,0))-$E1217)*1440,0)),""))</f>
        <v/>
      </c>
      <c r="U1217" s="13" t="str">
        <f>IF(OR($N1217="",$T1217=""),"",IFERROR(MAX(0,1-($N1217+$T1217+MAX(0,N($Q1217)))/ROUND((INDEX(Config!$D$15:$D$18,MATCH($S1217,Config!$B$15:$B$18,0))-INDEX(Config!$C$15:$C$18,MATCH($S1217,Config!$B$15:$B$18,0)))*1440,0)),""))</f>
        <v/>
      </c>
      <c r="V1217" s="5"/>
    </row>
    <row r="1218" spans="1:22" x14ac:dyDescent="0.25">
      <c r="A1218" s="11"/>
      <c r="B1218" s="5"/>
      <c r="C1218" s="6" t="str">
        <f>IFERROR(INDEX(Ejecutivos!$B$2:$B$100,MATCH(B1218,Ejecutivos!$A$2:$A$100,0)),"")</f>
        <v/>
      </c>
      <c r="D1218" s="12"/>
      <c r="E1218" s="12"/>
      <c r="F1218" s="12"/>
      <c r="G1218" s="12"/>
      <c r="H1218" s="5"/>
      <c r="I1218" s="5"/>
      <c r="J1218" s="5"/>
      <c r="K1218" s="5"/>
      <c r="L1218" s="18">
        <v>0</v>
      </c>
      <c r="M1218" t="str">
        <f t="shared" si="79"/>
        <v/>
      </c>
      <c r="N1218" t="str">
        <f>IF(OR($D1218="",$S1218=""),"",IFERROR(MAX(0,ROUND(($D1218-INDEX(Config!$C$15:$C$18,MATCH($S1218,Config!$B$15:$B$18,0)))*24*60,0)),""))</f>
        <v/>
      </c>
      <c r="O1218" t="str">
        <f t="shared" si="80"/>
        <v/>
      </c>
      <c r="P1218" t="str">
        <f t="shared" si="81"/>
        <v/>
      </c>
      <c r="Q1218" t="str">
        <f>IF(OR($P1218="",$S1218=""),"",IFERROR($P1218-INDEX(Config!$E$15:$E$18,MATCH($S1218,Config!$B$15:$B$18,0)),""))</f>
        <v/>
      </c>
      <c r="R1218" t="str">
        <f t="shared" si="82"/>
        <v/>
      </c>
      <c r="S1218" s="6" t="str">
        <f>IF(OR($A1218="",$C1218=""),"",IFERROR(INDEX(Turno!$C$3:$V$32,MATCH($C1218,Turno!$B$3:$B$32,0),MATCH(DAY($A1218),Turno!$C$1:$V$1,0)),""))</f>
        <v/>
      </c>
      <c r="T1218" t="str">
        <f>IF(OR($E1218="",$S1218=""),"",IFERROR(MAX(0,ROUND((INDEX(Config!$D$15:$D$18,MATCH($S1218,Config!$B$15:$B$18,0))-$E1218)*1440,0)),""))</f>
        <v/>
      </c>
      <c r="U1218" s="13" t="str">
        <f>IF(OR($N1218="",$T1218=""),"",IFERROR(MAX(0,1-($N1218+$T1218+MAX(0,N($Q1218)))/ROUND((INDEX(Config!$D$15:$D$18,MATCH($S1218,Config!$B$15:$B$18,0))-INDEX(Config!$C$15:$C$18,MATCH($S1218,Config!$B$15:$B$18,0)))*1440,0)),""))</f>
        <v/>
      </c>
      <c r="V1218" s="5"/>
    </row>
    <row r="1219" spans="1:22" x14ac:dyDescent="0.25">
      <c r="A1219" s="11"/>
      <c r="B1219" s="5"/>
      <c r="C1219" s="6" t="str">
        <f>IFERROR(INDEX(Ejecutivos!$B$2:$B$100,MATCH(B1219,Ejecutivos!$A$2:$A$100,0)),"")</f>
        <v/>
      </c>
      <c r="D1219" s="12"/>
      <c r="E1219" s="12"/>
      <c r="F1219" s="12"/>
      <c r="G1219" s="12"/>
      <c r="H1219" s="5"/>
      <c r="I1219" s="5"/>
      <c r="J1219" s="5"/>
      <c r="K1219" s="5"/>
      <c r="L1219" s="18">
        <v>0</v>
      </c>
      <c r="M1219" t="str">
        <f t="shared" si="79"/>
        <v/>
      </c>
      <c r="N1219" t="str">
        <f>IF(OR($D1219="",$S1219=""),"",IFERROR(MAX(0,ROUND(($D1219-INDEX(Config!$C$15:$C$18,MATCH($S1219,Config!$B$15:$B$18,0)))*24*60,0)),""))</f>
        <v/>
      </c>
      <c r="O1219" t="str">
        <f t="shared" si="80"/>
        <v/>
      </c>
      <c r="P1219" t="str">
        <f t="shared" si="81"/>
        <v/>
      </c>
      <c r="Q1219" t="str">
        <f>IF(OR($P1219="",$S1219=""),"",IFERROR($P1219-INDEX(Config!$E$15:$E$18,MATCH($S1219,Config!$B$15:$B$18,0)),""))</f>
        <v/>
      </c>
      <c r="R1219" t="str">
        <f t="shared" si="82"/>
        <v/>
      </c>
      <c r="S1219" s="6" t="str">
        <f>IF(OR($A1219="",$C1219=""),"",IFERROR(INDEX(Turno!$C$3:$V$32,MATCH($C1219,Turno!$B$3:$B$32,0),MATCH(DAY($A1219),Turno!$C$1:$V$1,0)),""))</f>
        <v/>
      </c>
      <c r="T1219" t="str">
        <f>IF(OR($E1219="",$S1219=""),"",IFERROR(MAX(0,ROUND((INDEX(Config!$D$15:$D$18,MATCH($S1219,Config!$B$15:$B$18,0))-$E1219)*1440,0)),""))</f>
        <v/>
      </c>
      <c r="U1219" s="13" t="str">
        <f>IF(OR($N1219="",$T1219=""),"",IFERROR(MAX(0,1-($N1219+$T1219+MAX(0,N($Q1219)))/ROUND((INDEX(Config!$D$15:$D$18,MATCH($S1219,Config!$B$15:$B$18,0))-INDEX(Config!$C$15:$C$18,MATCH($S1219,Config!$B$15:$B$18,0)))*1440,0)),""))</f>
        <v/>
      </c>
      <c r="V1219" s="5"/>
    </row>
    <row r="1220" spans="1:22" x14ac:dyDescent="0.25">
      <c r="A1220" s="11"/>
      <c r="B1220" s="5"/>
      <c r="C1220" s="6" t="str">
        <f>IFERROR(INDEX(Ejecutivos!$B$2:$B$100,MATCH(B1220,Ejecutivos!$A$2:$A$100,0)),"")</f>
        <v/>
      </c>
      <c r="D1220" s="12"/>
      <c r="E1220" s="12"/>
      <c r="F1220" s="12"/>
      <c r="G1220" s="12"/>
      <c r="H1220" s="5"/>
      <c r="I1220" s="5"/>
      <c r="J1220" s="5"/>
      <c r="K1220" s="5"/>
      <c r="L1220" s="18">
        <v>0</v>
      </c>
      <c r="M1220" t="str">
        <f t="shared" si="79"/>
        <v/>
      </c>
      <c r="N1220" t="str">
        <f>IF(OR($D1220="",$S1220=""),"",IFERROR(MAX(0,ROUND(($D1220-INDEX(Config!$C$15:$C$18,MATCH($S1220,Config!$B$15:$B$18,0)))*24*60,0)),""))</f>
        <v/>
      </c>
      <c r="O1220" t="str">
        <f t="shared" si="80"/>
        <v/>
      </c>
      <c r="P1220" t="str">
        <f t="shared" si="81"/>
        <v/>
      </c>
      <c r="Q1220" t="str">
        <f>IF(OR($P1220="",$S1220=""),"",IFERROR($P1220-INDEX(Config!$E$15:$E$18,MATCH($S1220,Config!$B$15:$B$18,0)),""))</f>
        <v/>
      </c>
      <c r="R1220" t="str">
        <f t="shared" si="82"/>
        <v/>
      </c>
      <c r="S1220" s="6" t="str">
        <f>IF(OR($A1220="",$C1220=""),"",IFERROR(INDEX(Turno!$C$3:$V$32,MATCH($C1220,Turno!$B$3:$B$32,0),MATCH(DAY($A1220),Turno!$C$1:$V$1,0)),""))</f>
        <v/>
      </c>
      <c r="T1220" t="str">
        <f>IF(OR($E1220="",$S1220=""),"",IFERROR(MAX(0,ROUND((INDEX(Config!$D$15:$D$18,MATCH($S1220,Config!$B$15:$B$18,0))-$E1220)*1440,0)),""))</f>
        <v/>
      </c>
      <c r="U1220" s="13" t="str">
        <f>IF(OR($N1220="",$T1220=""),"",IFERROR(MAX(0,1-($N1220+$T1220+MAX(0,N($Q1220)))/ROUND((INDEX(Config!$D$15:$D$18,MATCH($S1220,Config!$B$15:$B$18,0))-INDEX(Config!$C$15:$C$18,MATCH($S1220,Config!$B$15:$B$18,0)))*1440,0)),""))</f>
        <v/>
      </c>
      <c r="V1220" s="5"/>
    </row>
    <row r="1221" spans="1:22" x14ac:dyDescent="0.25">
      <c r="A1221" s="11"/>
      <c r="B1221" s="5"/>
      <c r="C1221" s="6" t="str">
        <f>IFERROR(INDEX(Ejecutivos!$B$2:$B$100,MATCH(B1221,Ejecutivos!$A$2:$A$100,0)),"")</f>
        <v/>
      </c>
      <c r="D1221" s="12"/>
      <c r="E1221" s="12"/>
      <c r="F1221" s="12"/>
      <c r="G1221" s="12"/>
      <c r="H1221" s="5"/>
      <c r="I1221" s="5"/>
      <c r="J1221" s="5"/>
      <c r="K1221" s="5"/>
      <c r="L1221" s="18">
        <v>0</v>
      </c>
      <c r="M1221" t="str">
        <f t="shared" si="79"/>
        <v/>
      </c>
      <c r="N1221" t="str">
        <f>IF(OR($D1221="",$S1221=""),"",IFERROR(MAX(0,ROUND(($D1221-INDEX(Config!$C$15:$C$18,MATCH($S1221,Config!$B$15:$B$18,0)))*24*60,0)),""))</f>
        <v/>
      </c>
      <c r="O1221" t="str">
        <f t="shared" si="80"/>
        <v/>
      </c>
      <c r="P1221" t="str">
        <f t="shared" si="81"/>
        <v/>
      </c>
      <c r="Q1221" t="str">
        <f>IF(OR($P1221="",$S1221=""),"",IFERROR($P1221-INDEX(Config!$E$15:$E$18,MATCH($S1221,Config!$B$15:$B$18,0)),""))</f>
        <v/>
      </c>
      <c r="R1221" t="str">
        <f t="shared" si="82"/>
        <v/>
      </c>
      <c r="S1221" s="6" t="str">
        <f>IF(OR($A1221="",$C1221=""),"",IFERROR(INDEX(Turno!$C$3:$V$32,MATCH($C1221,Turno!$B$3:$B$32,0),MATCH(DAY($A1221),Turno!$C$1:$V$1,0)),""))</f>
        <v/>
      </c>
      <c r="T1221" t="str">
        <f>IF(OR($E1221="",$S1221=""),"",IFERROR(MAX(0,ROUND((INDEX(Config!$D$15:$D$18,MATCH($S1221,Config!$B$15:$B$18,0))-$E1221)*1440,0)),""))</f>
        <v/>
      </c>
      <c r="U1221" s="13" t="str">
        <f>IF(OR($N1221="",$T1221=""),"",IFERROR(MAX(0,1-($N1221+$T1221+MAX(0,N($Q1221)))/ROUND((INDEX(Config!$D$15:$D$18,MATCH($S1221,Config!$B$15:$B$18,0))-INDEX(Config!$C$15:$C$18,MATCH($S1221,Config!$B$15:$B$18,0)))*1440,0)),""))</f>
        <v/>
      </c>
      <c r="V1221" s="5"/>
    </row>
    <row r="1222" spans="1:22" x14ac:dyDescent="0.25">
      <c r="A1222" s="11"/>
      <c r="B1222" s="5"/>
      <c r="C1222" s="6" t="str">
        <f>IFERROR(INDEX(Ejecutivos!$B$2:$B$100,MATCH(B1222,Ejecutivos!$A$2:$A$100,0)),"")</f>
        <v/>
      </c>
      <c r="D1222" s="12"/>
      <c r="E1222" s="12"/>
      <c r="F1222" s="12"/>
      <c r="G1222" s="12"/>
      <c r="H1222" s="5"/>
      <c r="I1222" s="5"/>
      <c r="J1222" s="5"/>
      <c r="K1222" s="5"/>
      <c r="L1222" s="18">
        <v>0</v>
      </c>
      <c r="M1222" t="str">
        <f t="shared" si="79"/>
        <v/>
      </c>
      <c r="N1222" t="str">
        <f>IF(OR($D1222="",$S1222=""),"",IFERROR(MAX(0,ROUND(($D1222-INDEX(Config!$C$15:$C$18,MATCH($S1222,Config!$B$15:$B$18,0)))*24*60,0)),""))</f>
        <v/>
      </c>
      <c r="O1222" t="str">
        <f t="shared" si="80"/>
        <v/>
      </c>
      <c r="P1222" t="str">
        <f t="shared" si="81"/>
        <v/>
      </c>
      <c r="Q1222" t="str">
        <f>IF(OR($P1222="",$S1222=""),"",IFERROR($P1222-INDEX(Config!$E$15:$E$18,MATCH($S1222,Config!$B$15:$B$18,0)),""))</f>
        <v/>
      </c>
      <c r="R1222" t="str">
        <f t="shared" si="82"/>
        <v/>
      </c>
      <c r="S1222" s="6" t="str">
        <f>IF(OR($A1222="",$C1222=""),"",IFERROR(INDEX(Turno!$C$3:$V$32,MATCH($C1222,Turno!$B$3:$B$32,0),MATCH(DAY($A1222),Turno!$C$1:$V$1,0)),""))</f>
        <v/>
      </c>
      <c r="T1222" t="str">
        <f>IF(OR($E1222="",$S1222=""),"",IFERROR(MAX(0,ROUND((INDEX(Config!$D$15:$D$18,MATCH($S1222,Config!$B$15:$B$18,0))-$E1222)*1440,0)),""))</f>
        <v/>
      </c>
      <c r="U1222" s="13" t="str">
        <f>IF(OR($N1222="",$T1222=""),"",IFERROR(MAX(0,1-($N1222+$T1222+MAX(0,N($Q1222)))/ROUND((INDEX(Config!$D$15:$D$18,MATCH($S1222,Config!$B$15:$B$18,0))-INDEX(Config!$C$15:$C$18,MATCH($S1222,Config!$B$15:$B$18,0)))*1440,0)),""))</f>
        <v/>
      </c>
      <c r="V1222" s="5"/>
    </row>
    <row r="1223" spans="1:22" x14ac:dyDescent="0.25">
      <c r="A1223" s="11"/>
      <c r="B1223" s="5"/>
      <c r="C1223" s="6" t="str">
        <f>IFERROR(INDEX(Ejecutivos!$B$2:$B$100,MATCH(B1223,Ejecutivos!$A$2:$A$100,0)),"")</f>
        <v/>
      </c>
      <c r="D1223" s="12"/>
      <c r="E1223" s="12"/>
      <c r="F1223" s="12"/>
      <c r="G1223" s="12"/>
      <c r="H1223" s="5"/>
      <c r="I1223" s="5"/>
      <c r="J1223" s="5"/>
      <c r="K1223" s="5"/>
      <c r="L1223" s="18">
        <v>0</v>
      </c>
      <c r="M1223" t="str">
        <f t="shared" si="79"/>
        <v/>
      </c>
      <c r="N1223" t="str">
        <f>IF(OR($D1223="",$S1223=""),"",IFERROR(MAX(0,ROUND(($D1223-INDEX(Config!$C$15:$C$18,MATCH($S1223,Config!$B$15:$B$18,0)))*24*60,0)),""))</f>
        <v/>
      </c>
      <c r="O1223" t="str">
        <f t="shared" si="80"/>
        <v/>
      </c>
      <c r="P1223" t="str">
        <f t="shared" si="81"/>
        <v/>
      </c>
      <c r="Q1223" t="str">
        <f>IF(OR($P1223="",$S1223=""),"",IFERROR($P1223-INDEX(Config!$E$15:$E$18,MATCH($S1223,Config!$B$15:$B$18,0)),""))</f>
        <v/>
      </c>
      <c r="R1223" t="str">
        <f t="shared" si="82"/>
        <v/>
      </c>
      <c r="S1223" s="6" t="str">
        <f>IF(OR($A1223="",$C1223=""),"",IFERROR(INDEX(Turno!$C$3:$V$32,MATCH($C1223,Turno!$B$3:$B$32,0),MATCH(DAY($A1223),Turno!$C$1:$V$1,0)),""))</f>
        <v/>
      </c>
      <c r="T1223" t="str">
        <f>IF(OR($E1223="",$S1223=""),"",IFERROR(MAX(0,ROUND((INDEX(Config!$D$15:$D$18,MATCH($S1223,Config!$B$15:$B$18,0))-$E1223)*1440,0)),""))</f>
        <v/>
      </c>
      <c r="U1223" s="13" t="str">
        <f>IF(OR($N1223="",$T1223=""),"",IFERROR(MAX(0,1-($N1223+$T1223+MAX(0,N($Q1223)))/ROUND((INDEX(Config!$D$15:$D$18,MATCH($S1223,Config!$B$15:$B$18,0))-INDEX(Config!$C$15:$C$18,MATCH($S1223,Config!$B$15:$B$18,0)))*1440,0)),""))</f>
        <v/>
      </c>
      <c r="V1223" s="5"/>
    </row>
    <row r="1224" spans="1:22" x14ac:dyDescent="0.25">
      <c r="A1224" s="11"/>
      <c r="B1224" s="5"/>
      <c r="C1224" s="6" t="str">
        <f>IFERROR(INDEX(Ejecutivos!$B$2:$B$100,MATCH(B1224,Ejecutivos!$A$2:$A$100,0)),"")</f>
        <v/>
      </c>
      <c r="D1224" s="12"/>
      <c r="E1224" s="12"/>
      <c r="F1224" s="12"/>
      <c r="G1224" s="12"/>
      <c r="H1224" s="5"/>
      <c r="I1224" s="5"/>
      <c r="J1224" s="5"/>
      <c r="K1224" s="5"/>
      <c r="L1224" s="18">
        <v>0</v>
      </c>
      <c r="M1224" t="str">
        <f t="shared" si="79"/>
        <v/>
      </c>
      <c r="N1224" t="str">
        <f>IF(OR($D1224="",$S1224=""),"",IFERROR(MAX(0,ROUND(($D1224-INDEX(Config!$C$15:$C$18,MATCH($S1224,Config!$B$15:$B$18,0)))*24*60,0)),""))</f>
        <v/>
      </c>
      <c r="O1224" t="str">
        <f t="shared" si="80"/>
        <v/>
      </c>
      <c r="P1224" t="str">
        <f t="shared" si="81"/>
        <v/>
      </c>
      <c r="Q1224" t="str">
        <f>IF(OR($P1224="",$S1224=""),"",IFERROR($P1224-INDEX(Config!$E$15:$E$18,MATCH($S1224,Config!$B$15:$B$18,0)),""))</f>
        <v/>
      </c>
      <c r="R1224" t="str">
        <f t="shared" si="82"/>
        <v/>
      </c>
      <c r="S1224" s="6" t="str">
        <f>IF(OR($A1224="",$C1224=""),"",IFERROR(INDEX(Turno!$C$3:$V$32,MATCH($C1224,Turno!$B$3:$B$32,0),MATCH(DAY($A1224),Turno!$C$1:$V$1,0)),""))</f>
        <v/>
      </c>
      <c r="T1224" t="str">
        <f>IF(OR($E1224="",$S1224=""),"",IFERROR(MAX(0,ROUND((INDEX(Config!$D$15:$D$18,MATCH($S1224,Config!$B$15:$B$18,0))-$E1224)*1440,0)),""))</f>
        <v/>
      </c>
      <c r="U1224" s="13" t="str">
        <f>IF(OR($N1224="",$T1224=""),"",IFERROR(MAX(0,1-($N1224+$T1224+MAX(0,N($Q1224)))/ROUND((INDEX(Config!$D$15:$D$18,MATCH($S1224,Config!$B$15:$B$18,0))-INDEX(Config!$C$15:$C$18,MATCH($S1224,Config!$B$15:$B$18,0)))*1440,0)),""))</f>
        <v/>
      </c>
      <c r="V1224" s="5"/>
    </row>
    <row r="1225" spans="1:22" x14ac:dyDescent="0.25">
      <c r="A1225" s="11"/>
      <c r="B1225" s="5"/>
      <c r="C1225" s="6" t="str">
        <f>IFERROR(INDEX(Ejecutivos!$B$2:$B$100,MATCH(B1225,Ejecutivos!$A$2:$A$100,0)),"")</f>
        <v/>
      </c>
      <c r="D1225" s="12"/>
      <c r="E1225" s="12"/>
      <c r="F1225" s="12"/>
      <c r="G1225" s="12"/>
      <c r="H1225" s="5"/>
      <c r="I1225" s="5"/>
      <c r="J1225" s="5"/>
      <c r="K1225" s="5"/>
      <c r="L1225" s="18">
        <v>0</v>
      </c>
      <c r="M1225" t="str">
        <f t="shared" si="79"/>
        <v/>
      </c>
      <c r="N1225" t="str">
        <f>IF(OR($D1225="",$S1225=""),"",IFERROR(MAX(0,ROUND(($D1225-INDEX(Config!$C$15:$C$18,MATCH($S1225,Config!$B$15:$B$18,0)))*24*60,0)),""))</f>
        <v/>
      </c>
      <c r="O1225" t="str">
        <f t="shared" si="80"/>
        <v/>
      </c>
      <c r="P1225" t="str">
        <f t="shared" si="81"/>
        <v/>
      </c>
      <c r="Q1225" t="str">
        <f>IF(OR($P1225="",$S1225=""),"",IFERROR($P1225-INDEX(Config!$E$15:$E$18,MATCH($S1225,Config!$B$15:$B$18,0)),""))</f>
        <v/>
      </c>
      <c r="R1225" t="str">
        <f t="shared" si="82"/>
        <v/>
      </c>
      <c r="S1225" s="6" t="str">
        <f>IF(OR($A1225="",$C1225=""),"",IFERROR(INDEX(Turno!$C$3:$V$32,MATCH($C1225,Turno!$B$3:$B$32,0),MATCH(DAY($A1225),Turno!$C$1:$V$1,0)),""))</f>
        <v/>
      </c>
      <c r="T1225" t="str">
        <f>IF(OR($E1225="",$S1225=""),"",IFERROR(MAX(0,ROUND((INDEX(Config!$D$15:$D$18,MATCH($S1225,Config!$B$15:$B$18,0))-$E1225)*1440,0)),""))</f>
        <v/>
      </c>
      <c r="U1225" s="13" t="str">
        <f>IF(OR($N1225="",$T1225=""),"",IFERROR(MAX(0,1-($N1225+$T1225+MAX(0,N($Q1225)))/ROUND((INDEX(Config!$D$15:$D$18,MATCH($S1225,Config!$B$15:$B$18,0))-INDEX(Config!$C$15:$C$18,MATCH($S1225,Config!$B$15:$B$18,0)))*1440,0)),""))</f>
        <v/>
      </c>
      <c r="V1225" s="5"/>
    </row>
    <row r="1226" spans="1:22" x14ac:dyDescent="0.25">
      <c r="A1226" s="11"/>
      <c r="B1226" s="5"/>
      <c r="C1226" s="6" t="str">
        <f>IFERROR(INDEX(Ejecutivos!$B$2:$B$100,MATCH(B1226,Ejecutivos!$A$2:$A$100,0)),"")</f>
        <v/>
      </c>
      <c r="D1226" s="12"/>
      <c r="E1226" s="12"/>
      <c r="F1226" s="12"/>
      <c r="G1226" s="12"/>
      <c r="H1226" s="5"/>
      <c r="I1226" s="5"/>
      <c r="J1226" s="5"/>
      <c r="K1226" s="5"/>
      <c r="L1226" s="18">
        <v>0</v>
      </c>
      <c r="M1226" t="str">
        <f t="shared" si="79"/>
        <v/>
      </c>
      <c r="N1226" t="str">
        <f>IF(OR($D1226="",$S1226=""),"",IFERROR(MAX(0,ROUND(($D1226-INDEX(Config!$C$15:$C$18,MATCH($S1226,Config!$B$15:$B$18,0)))*24*60,0)),""))</f>
        <v/>
      </c>
      <c r="O1226" t="str">
        <f t="shared" si="80"/>
        <v/>
      </c>
      <c r="P1226" t="str">
        <f t="shared" si="81"/>
        <v/>
      </c>
      <c r="Q1226" t="str">
        <f>IF(OR($P1226="",$S1226=""),"",IFERROR($P1226-INDEX(Config!$E$15:$E$18,MATCH($S1226,Config!$B$15:$B$18,0)),""))</f>
        <v/>
      </c>
      <c r="R1226" t="str">
        <f t="shared" si="82"/>
        <v/>
      </c>
      <c r="S1226" s="6" t="str">
        <f>IF(OR($A1226="",$C1226=""),"",IFERROR(INDEX(Turno!$C$3:$V$32,MATCH($C1226,Turno!$B$3:$B$32,0),MATCH(DAY($A1226),Turno!$C$1:$V$1,0)),""))</f>
        <v/>
      </c>
      <c r="T1226" t="str">
        <f>IF(OR($E1226="",$S1226=""),"",IFERROR(MAX(0,ROUND((INDEX(Config!$D$15:$D$18,MATCH($S1226,Config!$B$15:$B$18,0))-$E1226)*1440,0)),""))</f>
        <v/>
      </c>
      <c r="U1226" s="13" t="str">
        <f>IF(OR($N1226="",$T1226=""),"",IFERROR(MAX(0,1-($N1226+$T1226+MAX(0,N($Q1226)))/ROUND((INDEX(Config!$D$15:$D$18,MATCH($S1226,Config!$B$15:$B$18,0))-INDEX(Config!$C$15:$C$18,MATCH($S1226,Config!$B$15:$B$18,0)))*1440,0)),""))</f>
        <v/>
      </c>
      <c r="V1226" s="5"/>
    </row>
    <row r="1227" spans="1:22" x14ac:dyDescent="0.25">
      <c r="A1227" s="11"/>
      <c r="B1227" s="5"/>
      <c r="C1227" s="6" t="str">
        <f>IFERROR(INDEX(Ejecutivos!$B$2:$B$100,MATCH(B1227,Ejecutivos!$A$2:$A$100,0)),"")</f>
        <v/>
      </c>
      <c r="D1227" s="12"/>
      <c r="E1227" s="12"/>
      <c r="F1227" s="12"/>
      <c r="G1227" s="12"/>
      <c r="H1227" s="5"/>
      <c r="I1227" s="5"/>
      <c r="J1227" s="5"/>
      <c r="K1227" s="5"/>
      <c r="L1227" s="18">
        <v>0</v>
      </c>
      <c r="M1227" t="str">
        <f t="shared" si="79"/>
        <v/>
      </c>
      <c r="N1227" t="str">
        <f>IF(OR($D1227="",$S1227=""),"",IFERROR(MAX(0,ROUND(($D1227-INDEX(Config!$C$15:$C$18,MATCH($S1227,Config!$B$15:$B$18,0)))*24*60,0)),""))</f>
        <v/>
      </c>
      <c r="O1227" t="str">
        <f t="shared" si="80"/>
        <v/>
      </c>
      <c r="P1227" t="str">
        <f t="shared" si="81"/>
        <v/>
      </c>
      <c r="Q1227" t="str">
        <f>IF(OR($P1227="",$S1227=""),"",IFERROR($P1227-INDEX(Config!$E$15:$E$18,MATCH($S1227,Config!$B$15:$B$18,0)),""))</f>
        <v/>
      </c>
      <c r="R1227" t="str">
        <f t="shared" si="82"/>
        <v/>
      </c>
      <c r="S1227" s="6" t="str">
        <f>IF(OR($A1227="",$C1227=""),"",IFERROR(INDEX(Turno!$C$3:$V$32,MATCH($C1227,Turno!$B$3:$B$32,0),MATCH(DAY($A1227),Turno!$C$1:$V$1,0)),""))</f>
        <v/>
      </c>
      <c r="T1227" t="str">
        <f>IF(OR($E1227="",$S1227=""),"",IFERROR(MAX(0,ROUND((INDEX(Config!$D$15:$D$18,MATCH($S1227,Config!$B$15:$B$18,0))-$E1227)*1440,0)),""))</f>
        <v/>
      </c>
      <c r="U1227" s="13" t="str">
        <f>IF(OR($N1227="",$T1227=""),"",IFERROR(MAX(0,1-($N1227+$T1227+MAX(0,N($Q1227)))/ROUND((INDEX(Config!$D$15:$D$18,MATCH($S1227,Config!$B$15:$B$18,0))-INDEX(Config!$C$15:$C$18,MATCH($S1227,Config!$B$15:$B$18,0)))*1440,0)),""))</f>
        <v/>
      </c>
      <c r="V1227" s="5"/>
    </row>
    <row r="1228" spans="1:22" x14ac:dyDescent="0.25">
      <c r="A1228" s="11"/>
      <c r="B1228" s="5"/>
      <c r="C1228" s="6" t="str">
        <f>IFERROR(INDEX(Ejecutivos!$B$2:$B$100,MATCH(B1228,Ejecutivos!$A$2:$A$100,0)),"")</f>
        <v/>
      </c>
      <c r="D1228" s="12"/>
      <c r="E1228" s="12"/>
      <c r="F1228" s="12"/>
      <c r="G1228" s="12"/>
      <c r="H1228" s="5"/>
      <c r="I1228" s="5"/>
      <c r="J1228" s="5"/>
      <c r="K1228" s="5"/>
      <c r="L1228" s="18">
        <v>0</v>
      </c>
      <c r="M1228" t="str">
        <f t="shared" si="79"/>
        <v/>
      </c>
      <c r="N1228" t="str">
        <f>IF(OR($D1228="",$S1228=""),"",IFERROR(MAX(0,ROUND(($D1228-INDEX(Config!$C$15:$C$18,MATCH($S1228,Config!$B$15:$B$18,0)))*24*60,0)),""))</f>
        <v/>
      </c>
      <c r="O1228" t="str">
        <f t="shared" si="80"/>
        <v/>
      </c>
      <c r="P1228" t="str">
        <f t="shared" si="81"/>
        <v/>
      </c>
      <c r="Q1228" t="str">
        <f>IF(OR($P1228="",$S1228=""),"",IFERROR($P1228-INDEX(Config!$E$15:$E$18,MATCH($S1228,Config!$B$15:$B$18,0)),""))</f>
        <v/>
      </c>
      <c r="R1228" t="str">
        <f t="shared" si="82"/>
        <v/>
      </c>
      <c r="S1228" s="6" t="str">
        <f>IF(OR($A1228="",$C1228=""),"",IFERROR(INDEX(Turno!$C$3:$V$32,MATCH($C1228,Turno!$B$3:$B$32,0),MATCH(DAY($A1228),Turno!$C$1:$V$1,0)),""))</f>
        <v/>
      </c>
      <c r="T1228" t="str">
        <f>IF(OR($E1228="",$S1228=""),"",IFERROR(MAX(0,ROUND((INDEX(Config!$D$15:$D$18,MATCH($S1228,Config!$B$15:$B$18,0))-$E1228)*1440,0)),""))</f>
        <v/>
      </c>
      <c r="U1228" s="13" t="str">
        <f>IF(OR($N1228="",$T1228=""),"",IFERROR(MAX(0,1-($N1228+$T1228+MAX(0,N($Q1228)))/ROUND((INDEX(Config!$D$15:$D$18,MATCH($S1228,Config!$B$15:$B$18,0))-INDEX(Config!$C$15:$C$18,MATCH($S1228,Config!$B$15:$B$18,0)))*1440,0)),""))</f>
        <v/>
      </c>
      <c r="V1228" s="5"/>
    </row>
    <row r="1229" spans="1:22" x14ac:dyDescent="0.25">
      <c r="A1229" s="11"/>
      <c r="B1229" s="5"/>
      <c r="C1229" s="6" t="str">
        <f>IFERROR(INDEX(Ejecutivos!$B$2:$B$100,MATCH(B1229,Ejecutivos!$A$2:$A$100,0)),"")</f>
        <v/>
      </c>
      <c r="D1229" s="12"/>
      <c r="E1229" s="12"/>
      <c r="F1229" s="12"/>
      <c r="G1229" s="12"/>
      <c r="H1229" s="5"/>
      <c r="I1229" s="5"/>
      <c r="J1229" s="5"/>
      <c r="K1229" s="5"/>
      <c r="L1229" s="18">
        <v>0</v>
      </c>
      <c r="M1229" t="str">
        <f t="shared" si="79"/>
        <v/>
      </c>
      <c r="N1229" t="str">
        <f>IF(OR($D1229="",$S1229=""),"",IFERROR(MAX(0,ROUND(($D1229-INDEX(Config!$C$15:$C$18,MATCH($S1229,Config!$B$15:$B$18,0)))*24*60,0)),""))</f>
        <v/>
      </c>
      <c r="O1229" t="str">
        <f t="shared" si="80"/>
        <v/>
      </c>
      <c r="P1229" t="str">
        <f t="shared" si="81"/>
        <v/>
      </c>
      <c r="Q1229" t="str">
        <f>IF(OR($P1229="",$S1229=""),"",IFERROR($P1229-INDEX(Config!$E$15:$E$18,MATCH($S1229,Config!$B$15:$B$18,0)),""))</f>
        <v/>
      </c>
      <c r="R1229" t="str">
        <f t="shared" si="82"/>
        <v/>
      </c>
      <c r="S1229" s="6" t="str">
        <f>IF(OR($A1229="",$C1229=""),"",IFERROR(INDEX(Turno!$C$3:$V$32,MATCH($C1229,Turno!$B$3:$B$32,0),MATCH(DAY($A1229),Turno!$C$1:$V$1,0)),""))</f>
        <v/>
      </c>
      <c r="T1229" t="str">
        <f>IF(OR($E1229="",$S1229=""),"",IFERROR(MAX(0,ROUND((INDEX(Config!$D$15:$D$18,MATCH($S1229,Config!$B$15:$B$18,0))-$E1229)*1440,0)),""))</f>
        <v/>
      </c>
      <c r="U1229" s="13" t="str">
        <f>IF(OR($N1229="",$T1229=""),"",IFERROR(MAX(0,1-($N1229+$T1229+MAX(0,N($Q1229)))/ROUND((INDEX(Config!$D$15:$D$18,MATCH($S1229,Config!$B$15:$B$18,0))-INDEX(Config!$C$15:$C$18,MATCH($S1229,Config!$B$15:$B$18,0)))*1440,0)),""))</f>
        <v/>
      </c>
      <c r="V1229" s="5"/>
    </row>
    <row r="1230" spans="1:22" x14ac:dyDescent="0.25">
      <c r="A1230" s="11"/>
      <c r="B1230" s="5"/>
      <c r="C1230" s="6" t="str">
        <f>IFERROR(INDEX(Ejecutivos!$B$2:$B$100,MATCH(B1230,Ejecutivos!$A$2:$A$100,0)),"")</f>
        <v/>
      </c>
      <c r="D1230" s="12"/>
      <c r="E1230" s="12"/>
      <c r="F1230" s="12"/>
      <c r="G1230" s="12"/>
      <c r="H1230" s="5"/>
      <c r="I1230" s="5"/>
      <c r="J1230" s="5"/>
      <c r="K1230" s="5"/>
      <c r="L1230" s="18">
        <v>0</v>
      </c>
      <c r="M1230" t="str">
        <f t="shared" si="79"/>
        <v/>
      </c>
      <c r="N1230" t="str">
        <f>IF(OR($D1230="",$S1230=""),"",IFERROR(MAX(0,ROUND(($D1230-INDEX(Config!$C$15:$C$18,MATCH($S1230,Config!$B$15:$B$18,0)))*24*60,0)),""))</f>
        <v/>
      </c>
      <c r="O1230" t="str">
        <f t="shared" si="80"/>
        <v/>
      </c>
      <c r="P1230" t="str">
        <f t="shared" si="81"/>
        <v/>
      </c>
      <c r="Q1230" t="str">
        <f>IF(OR($P1230="",$S1230=""),"",IFERROR($P1230-INDEX(Config!$E$15:$E$18,MATCH($S1230,Config!$B$15:$B$18,0)),""))</f>
        <v/>
      </c>
      <c r="R1230" t="str">
        <f t="shared" si="82"/>
        <v/>
      </c>
      <c r="S1230" s="6" t="str">
        <f>IF(OR($A1230="",$C1230=""),"",IFERROR(INDEX(Turno!$C$3:$V$32,MATCH($C1230,Turno!$B$3:$B$32,0),MATCH(DAY($A1230),Turno!$C$1:$V$1,0)),""))</f>
        <v/>
      </c>
      <c r="T1230" t="str">
        <f>IF(OR($E1230="",$S1230=""),"",IFERROR(MAX(0,ROUND((INDEX(Config!$D$15:$D$18,MATCH($S1230,Config!$B$15:$B$18,0))-$E1230)*1440,0)),""))</f>
        <v/>
      </c>
      <c r="U1230" s="13" t="str">
        <f>IF(OR($N1230="",$T1230=""),"",IFERROR(MAX(0,1-($N1230+$T1230+MAX(0,N($Q1230)))/ROUND((INDEX(Config!$D$15:$D$18,MATCH($S1230,Config!$B$15:$B$18,0))-INDEX(Config!$C$15:$C$18,MATCH($S1230,Config!$B$15:$B$18,0)))*1440,0)),""))</f>
        <v/>
      </c>
      <c r="V1230" s="5"/>
    </row>
    <row r="1231" spans="1:22" x14ac:dyDescent="0.25">
      <c r="A1231" s="11"/>
      <c r="B1231" s="5"/>
      <c r="C1231" s="6" t="str">
        <f>IFERROR(INDEX(Ejecutivos!$B$2:$B$100,MATCH(B1231,Ejecutivos!$A$2:$A$100,0)),"")</f>
        <v/>
      </c>
      <c r="D1231" s="12"/>
      <c r="E1231" s="12"/>
      <c r="F1231" s="12"/>
      <c r="G1231" s="12"/>
      <c r="H1231" s="5"/>
      <c r="I1231" s="5"/>
      <c r="J1231" s="5"/>
      <c r="K1231" s="5"/>
      <c r="L1231" s="18">
        <v>0</v>
      </c>
      <c r="M1231" t="str">
        <f t="shared" si="79"/>
        <v/>
      </c>
      <c r="N1231" t="str">
        <f>IF(OR($D1231="",$S1231=""),"",IFERROR(MAX(0,ROUND(($D1231-INDEX(Config!$C$15:$C$18,MATCH($S1231,Config!$B$15:$B$18,0)))*24*60,0)),""))</f>
        <v/>
      </c>
      <c r="O1231" t="str">
        <f t="shared" si="80"/>
        <v/>
      </c>
      <c r="P1231" t="str">
        <f t="shared" si="81"/>
        <v/>
      </c>
      <c r="Q1231" t="str">
        <f>IF(OR($P1231="",$S1231=""),"",IFERROR($P1231-INDEX(Config!$E$15:$E$18,MATCH($S1231,Config!$B$15:$B$18,0)),""))</f>
        <v/>
      </c>
      <c r="R1231" t="str">
        <f t="shared" si="82"/>
        <v/>
      </c>
      <c r="S1231" s="6" t="str">
        <f>IF(OR($A1231="",$C1231=""),"",IFERROR(INDEX(Turno!$C$3:$V$32,MATCH($C1231,Turno!$B$3:$B$32,0),MATCH(DAY($A1231),Turno!$C$1:$V$1,0)),""))</f>
        <v/>
      </c>
      <c r="T1231" t="str">
        <f>IF(OR($E1231="",$S1231=""),"",IFERROR(MAX(0,ROUND((INDEX(Config!$D$15:$D$18,MATCH($S1231,Config!$B$15:$B$18,0))-$E1231)*1440,0)),""))</f>
        <v/>
      </c>
      <c r="U1231" s="13" t="str">
        <f>IF(OR($N1231="",$T1231=""),"",IFERROR(MAX(0,1-($N1231+$T1231+MAX(0,N($Q1231)))/ROUND((INDEX(Config!$D$15:$D$18,MATCH($S1231,Config!$B$15:$B$18,0))-INDEX(Config!$C$15:$C$18,MATCH($S1231,Config!$B$15:$B$18,0)))*1440,0)),""))</f>
        <v/>
      </c>
      <c r="V1231" s="5"/>
    </row>
    <row r="1232" spans="1:22" x14ac:dyDescent="0.25">
      <c r="A1232" s="11"/>
      <c r="B1232" s="5"/>
      <c r="C1232" s="6" t="str">
        <f>IFERROR(INDEX(Ejecutivos!$B$2:$B$100,MATCH(B1232,Ejecutivos!$A$2:$A$100,0)),"")</f>
        <v/>
      </c>
      <c r="D1232" s="12"/>
      <c r="E1232" s="12"/>
      <c r="F1232" s="12"/>
      <c r="G1232" s="12"/>
      <c r="H1232" s="5"/>
      <c r="I1232" s="5"/>
      <c r="J1232" s="5"/>
      <c r="K1232" s="5"/>
      <c r="L1232" s="18">
        <v>0</v>
      </c>
      <c r="M1232" t="str">
        <f t="shared" si="79"/>
        <v/>
      </c>
      <c r="N1232" t="str">
        <f>IF(OR($D1232="",$S1232=""),"",IFERROR(MAX(0,ROUND(($D1232-INDEX(Config!$C$15:$C$18,MATCH($S1232,Config!$B$15:$B$18,0)))*24*60,0)),""))</f>
        <v/>
      </c>
      <c r="O1232" t="str">
        <f t="shared" si="80"/>
        <v/>
      </c>
      <c r="P1232" t="str">
        <f t="shared" si="81"/>
        <v/>
      </c>
      <c r="Q1232" t="str">
        <f>IF(OR($P1232="",$S1232=""),"",IFERROR($P1232-INDEX(Config!$E$15:$E$18,MATCH($S1232,Config!$B$15:$B$18,0)),""))</f>
        <v/>
      </c>
      <c r="R1232" t="str">
        <f t="shared" si="82"/>
        <v/>
      </c>
      <c r="S1232" s="6" t="str">
        <f>IF(OR($A1232="",$C1232=""),"",IFERROR(INDEX(Turno!$C$3:$V$32,MATCH($C1232,Turno!$B$3:$B$32,0),MATCH(DAY($A1232),Turno!$C$1:$V$1,0)),""))</f>
        <v/>
      </c>
      <c r="T1232" t="str">
        <f>IF(OR($E1232="",$S1232=""),"",IFERROR(MAX(0,ROUND((INDEX(Config!$D$15:$D$18,MATCH($S1232,Config!$B$15:$B$18,0))-$E1232)*1440,0)),""))</f>
        <v/>
      </c>
      <c r="U1232" s="13" t="str">
        <f>IF(OR($N1232="",$T1232=""),"",IFERROR(MAX(0,1-($N1232+$T1232+MAX(0,N($Q1232)))/ROUND((INDEX(Config!$D$15:$D$18,MATCH($S1232,Config!$B$15:$B$18,0))-INDEX(Config!$C$15:$C$18,MATCH($S1232,Config!$B$15:$B$18,0)))*1440,0)),""))</f>
        <v/>
      </c>
      <c r="V1232" s="5"/>
    </row>
    <row r="1233" spans="1:22" x14ac:dyDescent="0.25">
      <c r="A1233" s="11"/>
      <c r="B1233" s="5"/>
      <c r="C1233" s="6" t="str">
        <f>IFERROR(INDEX(Ejecutivos!$B$2:$B$100,MATCH(B1233,Ejecutivos!$A$2:$A$100,0)),"")</f>
        <v/>
      </c>
      <c r="D1233" s="12"/>
      <c r="E1233" s="12"/>
      <c r="F1233" s="12"/>
      <c r="G1233" s="12"/>
      <c r="H1233" s="5"/>
      <c r="I1233" s="5"/>
      <c r="J1233" s="5"/>
      <c r="K1233" s="5"/>
      <c r="L1233" s="18">
        <v>0</v>
      </c>
      <c r="M1233" t="str">
        <f t="shared" si="79"/>
        <v/>
      </c>
      <c r="N1233" t="str">
        <f>IF(OR($D1233="",$S1233=""),"",IFERROR(MAX(0,ROUND(($D1233-INDEX(Config!$C$15:$C$18,MATCH($S1233,Config!$B$15:$B$18,0)))*24*60,0)),""))</f>
        <v/>
      </c>
      <c r="O1233" t="str">
        <f t="shared" si="80"/>
        <v/>
      </c>
      <c r="P1233" t="str">
        <f t="shared" si="81"/>
        <v/>
      </c>
      <c r="Q1233" t="str">
        <f>IF(OR($P1233="",$S1233=""),"",IFERROR($P1233-INDEX(Config!$E$15:$E$18,MATCH($S1233,Config!$B$15:$B$18,0)),""))</f>
        <v/>
      </c>
      <c r="R1233" t="str">
        <f t="shared" si="82"/>
        <v/>
      </c>
      <c r="S1233" s="6" t="str">
        <f>IF(OR($A1233="",$C1233=""),"",IFERROR(INDEX(Turno!$C$3:$V$32,MATCH($C1233,Turno!$B$3:$B$32,0),MATCH(DAY($A1233),Turno!$C$1:$V$1,0)),""))</f>
        <v/>
      </c>
      <c r="T1233" t="str">
        <f>IF(OR($E1233="",$S1233=""),"",IFERROR(MAX(0,ROUND((INDEX(Config!$D$15:$D$18,MATCH($S1233,Config!$B$15:$B$18,0))-$E1233)*1440,0)),""))</f>
        <v/>
      </c>
      <c r="U1233" s="13" t="str">
        <f>IF(OR($N1233="",$T1233=""),"",IFERROR(MAX(0,1-($N1233+$T1233+MAX(0,N($Q1233)))/ROUND((INDEX(Config!$D$15:$D$18,MATCH($S1233,Config!$B$15:$B$18,0))-INDEX(Config!$C$15:$C$18,MATCH($S1233,Config!$B$15:$B$18,0)))*1440,0)),""))</f>
        <v/>
      </c>
      <c r="V1233" s="5"/>
    </row>
    <row r="1234" spans="1:22" x14ac:dyDescent="0.25">
      <c r="A1234" s="11"/>
      <c r="B1234" s="5"/>
      <c r="C1234" s="6" t="str">
        <f>IFERROR(INDEX(Ejecutivos!$B$2:$B$100,MATCH(B1234,Ejecutivos!$A$2:$A$100,0)),"")</f>
        <v/>
      </c>
      <c r="D1234" s="12"/>
      <c r="E1234" s="12"/>
      <c r="F1234" s="12"/>
      <c r="G1234" s="12"/>
      <c r="H1234" s="5"/>
      <c r="I1234" s="5"/>
      <c r="J1234" s="5"/>
      <c r="K1234" s="5"/>
      <c r="L1234" s="18">
        <v>0</v>
      </c>
      <c r="M1234" t="str">
        <f t="shared" si="79"/>
        <v/>
      </c>
      <c r="N1234" t="str">
        <f>IF(OR($D1234="",$S1234=""),"",IFERROR(MAX(0,ROUND(($D1234-INDEX(Config!$C$15:$C$18,MATCH($S1234,Config!$B$15:$B$18,0)))*24*60,0)),""))</f>
        <v/>
      </c>
      <c r="O1234" t="str">
        <f t="shared" si="80"/>
        <v/>
      </c>
      <c r="P1234" t="str">
        <f t="shared" si="81"/>
        <v/>
      </c>
      <c r="Q1234" t="str">
        <f>IF(OR($P1234="",$S1234=""),"",IFERROR($P1234-INDEX(Config!$E$15:$E$18,MATCH($S1234,Config!$B$15:$B$18,0)),""))</f>
        <v/>
      </c>
      <c r="R1234" t="str">
        <f t="shared" si="82"/>
        <v/>
      </c>
      <c r="S1234" s="6" t="str">
        <f>IF(OR($A1234="",$C1234=""),"",IFERROR(INDEX(Turno!$C$3:$V$32,MATCH($C1234,Turno!$B$3:$B$32,0),MATCH(DAY($A1234),Turno!$C$1:$V$1,0)),""))</f>
        <v/>
      </c>
      <c r="T1234" t="str">
        <f>IF(OR($E1234="",$S1234=""),"",IFERROR(MAX(0,ROUND((INDEX(Config!$D$15:$D$18,MATCH($S1234,Config!$B$15:$B$18,0))-$E1234)*1440,0)),""))</f>
        <v/>
      </c>
      <c r="U1234" s="13" t="str">
        <f>IF(OR($N1234="",$T1234=""),"",IFERROR(MAX(0,1-($N1234+$T1234+MAX(0,N($Q1234)))/ROUND((INDEX(Config!$D$15:$D$18,MATCH($S1234,Config!$B$15:$B$18,0))-INDEX(Config!$C$15:$C$18,MATCH($S1234,Config!$B$15:$B$18,0)))*1440,0)),""))</f>
        <v/>
      </c>
      <c r="V1234" s="5"/>
    </row>
    <row r="1235" spans="1:22" x14ac:dyDescent="0.25">
      <c r="A1235" s="11"/>
      <c r="B1235" s="5"/>
      <c r="C1235" s="6" t="str">
        <f>IFERROR(INDEX(Ejecutivos!$B$2:$B$100,MATCH(B1235,Ejecutivos!$A$2:$A$100,0)),"")</f>
        <v/>
      </c>
      <c r="D1235" s="12"/>
      <c r="E1235" s="12"/>
      <c r="F1235" s="12"/>
      <c r="G1235" s="12"/>
      <c r="H1235" s="5"/>
      <c r="I1235" s="5"/>
      <c r="J1235" s="5"/>
      <c r="K1235" s="5"/>
      <c r="L1235" s="18">
        <v>0</v>
      </c>
      <c r="M1235" t="str">
        <f t="shared" si="79"/>
        <v/>
      </c>
      <c r="N1235" t="str">
        <f>IF(OR($D1235="",$S1235=""),"",IFERROR(MAX(0,ROUND(($D1235-INDEX(Config!$C$15:$C$18,MATCH($S1235,Config!$B$15:$B$18,0)))*24*60,0)),""))</f>
        <v/>
      </c>
      <c r="O1235" t="str">
        <f t="shared" si="80"/>
        <v/>
      </c>
      <c r="P1235" t="str">
        <f t="shared" si="81"/>
        <v/>
      </c>
      <c r="Q1235" t="str">
        <f>IF(OR($P1235="",$S1235=""),"",IFERROR($P1235-INDEX(Config!$E$15:$E$18,MATCH($S1235,Config!$B$15:$B$18,0)),""))</f>
        <v/>
      </c>
      <c r="R1235" t="str">
        <f t="shared" si="82"/>
        <v/>
      </c>
      <c r="S1235" s="6" t="str">
        <f>IF(OR($A1235="",$C1235=""),"",IFERROR(INDEX(Turno!$C$3:$V$32,MATCH($C1235,Turno!$B$3:$B$32,0),MATCH(DAY($A1235),Turno!$C$1:$V$1,0)),""))</f>
        <v/>
      </c>
      <c r="T1235" t="str">
        <f>IF(OR($E1235="",$S1235=""),"",IFERROR(MAX(0,ROUND((INDEX(Config!$D$15:$D$18,MATCH($S1235,Config!$B$15:$B$18,0))-$E1235)*1440,0)),""))</f>
        <v/>
      </c>
      <c r="U1235" s="13" t="str">
        <f>IF(OR($N1235="",$T1235=""),"",IFERROR(MAX(0,1-($N1235+$T1235+MAX(0,N($Q1235)))/ROUND((INDEX(Config!$D$15:$D$18,MATCH($S1235,Config!$B$15:$B$18,0))-INDEX(Config!$C$15:$C$18,MATCH($S1235,Config!$B$15:$B$18,0)))*1440,0)),""))</f>
        <v/>
      </c>
      <c r="V1235" s="5"/>
    </row>
    <row r="1236" spans="1:22" x14ac:dyDescent="0.25">
      <c r="A1236" s="11"/>
      <c r="B1236" s="5"/>
      <c r="C1236" s="6" t="str">
        <f>IFERROR(INDEX(Ejecutivos!$B$2:$B$100,MATCH(B1236,Ejecutivos!$A$2:$A$100,0)),"")</f>
        <v/>
      </c>
      <c r="D1236" s="12"/>
      <c r="E1236" s="12"/>
      <c r="F1236" s="12"/>
      <c r="G1236" s="12"/>
      <c r="H1236" s="5"/>
      <c r="I1236" s="5"/>
      <c r="J1236" s="5"/>
      <c r="K1236" s="5"/>
      <c r="L1236" s="18">
        <v>0</v>
      </c>
      <c r="M1236" t="str">
        <f t="shared" si="79"/>
        <v/>
      </c>
      <c r="N1236" t="str">
        <f>IF(OR($D1236="",$S1236=""),"",IFERROR(MAX(0,ROUND(($D1236-INDEX(Config!$C$15:$C$18,MATCH($S1236,Config!$B$15:$B$18,0)))*24*60,0)),""))</f>
        <v/>
      </c>
      <c r="O1236" t="str">
        <f t="shared" si="80"/>
        <v/>
      </c>
      <c r="P1236" t="str">
        <f t="shared" si="81"/>
        <v/>
      </c>
      <c r="Q1236" t="str">
        <f>IF(OR($P1236="",$S1236=""),"",IFERROR($P1236-INDEX(Config!$E$15:$E$18,MATCH($S1236,Config!$B$15:$B$18,0)),""))</f>
        <v/>
      </c>
      <c r="R1236" t="str">
        <f t="shared" si="82"/>
        <v/>
      </c>
      <c r="S1236" s="6" t="str">
        <f>IF(OR($A1236="",$C1236=""),"",IFERROR(INDEX(Turno!$C$3:$V$32,MATCH($C1236,Turno!$B$3:$B$32,0),MATCH(DAY($A1236),Turno!$C$1:$V$1,0)),""))</f>
        <v/>
      </c>
      <c r="T1236" t="str">
        <f>IF(OR($E1236="",$S1236=""),"",IFERROR(MAX(0,ROUND((INDEX(Config!$D$15:$D$18,MATCH($S1236,Config!$B$15:$B$18,0))-$E1236)*1440,0)),""))</f>
        <v/>
      </c>
      <c r="U1236" s="13" t="str">
        <f>IF(OR($N1236="",$T1236=""),"",IFERROR(MAX(0,1-($N1236+$T1236+MAX(0,N($Q1236)))/ROUND((INDEX(Config!$D$15:$D$18,MATCH($S1236,Config!$B$15:$B$18,0))-INDEX(Config!$C$15:$C$18,MATCH($S1236,Config!$B$15:$B$18,0)))*1440,0)),""))</f>
        <v/>
      </c>
      <c r="V1236" s="5"/>
    </row>
    <row r="1237" spans="1:22" x14ac:dyDescent="0.25">
      <c r="A1237" s="11"/>
      <c r="B1237" s="5"/>
      <c r="C1237" s="6" t="str">
        <f>IFERROR(INDEX(Ejecutivos!$B$2:$B$100,MATCH(B1237,Ejecutivos!$A$2:$A$100,0)),"")</f>
        <v/>
      </c>
      <c r="D1237" s="12"/>
      <c r="E1237" s="12"/>
      <c r="F1237" s="12"/>
      <c r="G1237" s="12"/>
      <c r="H1237" s="5"/>
      <c r="I1237" s="5"/>
      <c r="J1237" s="5"/>
      <c r="K1237" s="5"/>
      <c r="L1237" s="18">
        <v>0</v>
      </c>
      <c r="M1237" t="str">
        <f t="shared" si="79"/>
        <v/>
      </c>
      <c r="N1237" t="str">
        <f>IF(OR($D1237="",$S1237=""),"",IFERROR(MAX(0,ROUND(($D1237-INDEX(Config!$C$15:$C$18,MATCH($S1237,Config!$B$15:$B$18,0)))*24*60,0)),""))</f>
        <v/>
      </c>
      <c r="O1237" t="str">
        <f t="shared" si="80"/>
        <v/>
      </c>
      <c r="P1237" t="str">
        <f t="shared" si="81"/>
        <v/>
      </c>
      <c r="Q1237" t="str">
        <f>IF(OR($P1237="",$S1237=""),"",IFERROR($P1237-INDEX(Config!$E$15:$E$18,MATCH($S1237,Config!$B$15:$B$18,0)),""))</f>
        <v/>
      </c>
      <c r="R1237" t="str">
        <f t="shared" si="82"/>
        <v/>
      </c>
      <c r="S1237" s="6" t="str">
        <f>IF(OR($A1237="",$C1237=""),"",IFERROR(INDEX(Turno!$C$3:$V$32,MATCH($C1237,Turno!$B$3:$B$32,0),MATCH(DAY($A1237),Turno!$C$1:$V$1,0)),""))</f>
        <v/>
      </c>
      <c r="T1237" t="str">
        <f>IF(OR($E1237="",$S1237=""),"",IFERROR(MAX(0,ROUND((INDEX(Config!$D$15:$D$18,MATCH($S1237,Config!$B$15:$B$18,0))-$E1237)*1440,0)),""))</f>
        <v/>
      </c>
      <c r="U1237" s="13" t="str">
        <f>IF(OR($N1237="",$T1237=""),"",IFERROR(MAX(0,1-($N1237+$T1237+MAX(0,N($Q1237)))/ROUND((INDEX(Config!$D$15:$D$18,MATCH($S1237,Config!$B$15:$B$18,0))-INDEX(Config!$C$15:$C$18,MATCH($S1237,Config!$B$15:$B$18,0)))*1440,0)),""))</f>
        <v/>
      </c>
      <c r="V1237" s="5"/>
    </row>
    <row r="1238" spans="1:22" x14ac:dyDescent="0.25">
      <c r="A1238" s="11"/>
      <c r="B1238" s="5"/>
      <c r="C1238" s="6" t="str">
        <f>IFERROR(INDEX(Ejecutivos!$B$2:$B$100,MATCH(B1238,Ejecutivos!$A$2:$A$100,0)),"")</f>
        <v/>
      </c>
      <c r="D1238" s="12"/>
      <c r="E1238" s="12"/>
      <c r="F1238" s="12"/>
      <c r="G1238" s="12"/>
      <c r="H1238" s="5"/>
      <c r="I1238" s="5"/>
      <c r="J1238" s="5"/>
      <c r="K1238" s="5"/>
      <c r="L1238" s="18">
        <v>0</v>
      </c>
      <c r="M1238" t="str">
        <f t="shared" si="79"/>
        <v/>
      </c>
      <c r="N1238" t="str">
        <f>IF(OR($D1238="",$S1238=""),"",IFERROR(MAX(0,ROUND(($D1238-INDEX(Config!$C$15:$C$18,MATCH($S1238,Config!$B$15:$B$18,0)))*24*60,0)),""))</f>
        <v/>
      </c>
      <c r="O1238" t="str">
        <f t="shared" si="80"/>
        <v/>
      </c>
      <c r="P1238" t="str">
        <f t="shared" si="81"/>
        <v/>
      </c>
      <c r="Q1238" t="str">
        <f>IF(OR($P1238="",$S1238=""),"",IFERROR($P1238-INDEX(Config!$E$15:$E$18,MATCH($S1238,Config!$B$15:$B$18,0)),""))</f>
        <v/>
      </c>
      <c r="R1238" t="str">
        <f t="shared" si="82"/>
        <v/>
      </c>
      <c r="S1238" s="6" t="str">
        <f>IF(OR($A1238="",$C1238=""),"",IFERROR(INDEX(Turno!$C$3:$V$32,MATCH($C1238,Turno!$B$3:$B$32,0),MATCH(DAY($A1238),Turno!$C$1:$V$1,0)),""))</f>
        <v/>
      </c>
      <c r="T1238" t="str">
        <f>IF(OR($E1238="",$S1238=""),"",IFERROR(MAX(0,ROUND((INDEX(Config!$D$15:$D$18,MATCH($S1238,Config!$B$15:$B$18,0))-$E1238)*1440,0)),""))</f>
        <v/>
      </c>
      <c r="U1238" s="13" t="str">
        <f>IF(OR($N1238="",$T1238=""),"",IFERROR(MAX(0,1-($N1238+$T1238+MAX(0,N($Q1238)))/ROUND((INDEX(Config!$D$15:$D$18,MATCH($S1238,Config!$B$15:$B$18,0))-INDEX(Config!$C$15:$C$18,MATCH($S1238,Config!$B$15:$B$18,0)))*1440,0)),""))</f>
        <v/>
      </c>
      <c r="V1238" s="5"/>
    </row>
    <row r="1239" spans="1:22" x14ac:dyDescent="0.25">
      <c r="A1239" s="11"/>
      <c r="B1239" s="5"/>
      <c r="C1239" s="6" t="str">
        <f>IFERROR(INDEX(Ejecutivos!$B$2:$B$100,MATCH(B1239,Ejecutivos!$A$2:$A$100,0)),"")</f>
        <v/>
      </c>
      <c r="D1239" s="12"/>
      <c r="E1239" s="12"/>
      <c r="F1239" s="12"/>
      <c r="G1239" s="12"/>
      <c r="H1239" s="5"/>
      <c r="I1239" s="5"/>
      <c r="J1239" s="5"/>
      <c r="K1239" s="5"/>
      <c r="L1239" s="18">
        <v>0</v>
      </c>
      <c r="M1239" t="str">
        <f t="shared" si="79"/>
        <v/>
      </c>
      <c r="N1239" t="str">
        <f>IF(OR($D1239="",$S1239=""),"",IFERROR(MAX(0,ROUND(($D1239-INDEX(Config!$C$15:$C$18,MATCH($S1239,Config!$B$15:$B$18,0)))*24*60,0)),""))</f>
        <v/>
      </c>
      <c r="O1239" t="str">
        <f t="shared" si="80"/>
        <v/>
      </c>
      <c r="P1239" t="str">
        <f t="shared" si="81"/>
        <v/>
      </c>
      <c r="Q1239" t="str">
        <f>IF(OR($P1239="",$S1239=""),"",IFERROR($P1239-INDEX(Config!$E$15:$E$18,MATCH($S1239,Config!$B$15:$B$18,0)),""))</f>
        <v/>
      </c>
      <c r="R1239" t="str">
        <f t="shared" si="82"/>
        <v/>
      </c>
      <c r="S1239" s="6" t="str">
        <f>IF(OR($A1239="",$C1239=""),"",IFERROR(INDEX(Turno!$C$3:$V$32,MATCH($C1239,Turno!$B$3:$B$32,0),MATCH(DAY($A1239),Turno!$C$1:$V$1,0)),""))</f>
        <v/>
      </c>
      <c r="T1239" t="str">
        <f>IF(OR($E1239="",$S1239=""),"",IFERROR(MAX(0,ROUND((INDEX(Config!$D$15:$D$18,MATCH($S1239,Config!$B$15:$B$18,0))-$E1239)*1440,0)),""))</f>
        <v/>
      </c>
      <c r="U1239" s="13" t="str">
        <f>IF(OR($N1239="",$T1239=""),"",IFERROR(MAX(0,1-($N1239+$T1239+MAX(0,N($Q1239)))/ROUND((INDEX(Config!$D$15:$D$18,MATCH($S1239,Config!$B$15:$B$18,0))-INDEX(Config!$C$15:$C$18,MATCH($S1239,Config!$B$15:$B$18,0)))*1440,0)),""))</f>
        <v/>
      </c>
      <c r="V1239" s="5"/>
    </row>
    <row r="1240" spans="1:22" x14ac:dyDescent="0.25">
      <c r="A1240" s="11"/>
      <c r="B1240" s="5"/>
      <c r="C1240" s="6" t="str">
        <f>IFERROR(INDEX(Ejecutivos!$B$2:$B$100,MATCH(B1240,Ejecutivos!$A$2:$A$100,0)),"")</f>
        <v/>
      </c>
      <c r="D1240" s="12"/>
      <c r="E1240" s="12"/>
      <c r="F1240" s="12"/>
      <c r="G1240" s="12"/>
      <c r="H1240" s="5"/>
      <c r="I1240" s="5"/>
      <c r="J1240" s="5"/>
      <c r="K1240" s="5"/>
      <c r="L1240" s="18">
        <v>0</v>
      </c>
      <c r="M1240" t="str">
        <f t="shared" si="79"/>
        <v/>
      </c>
      <c r="N1240" t="str">
        <f>IF(OR($D1240="",$S1240=""),"",IFERROR(MAX(0,ROUND(($D1240-INDEX(Config!$C$15:$C$18,MATCH($S1240,Config!$B$15:$B$18,0)))*24*60,0)),""))</f>
        <v/>
      </c>
      <c r="O1240" t="str">
        <f t="shared" si="80"/>
        <v/>
      </c>
      <c r="P1240" t="str">
        <f t="shared" si="81"/>
        <v/>
      </c>
      <c r="Q1240" t="str">
        <f>IF(OR($P1240="",$S1240=""),"",IFERROR($P1240-INDEX(Config!$E$15:$E$18,MATCH($S1240,Config!$B$15:$B$18,0)),""))</f>
        <v/>
      </c>
      <c r="R1240" t="str">
        <f t="shared" si="82"/>
        <v/>
      </c>
      <c r="S1240" s="6" t="str">
        <f>IF(OR($A1240="",$C1240=""),"",IFERROR(INDEX(Turno!$C$3:$V$32,MATCH($C1240,Turno!$B$3:$B$32,0),MATCH(DAY($A1240),Turno!$C$1:$V$1,0)),""))</f>
        <v/>
      </c>
      <c r="T1240" t="str">
        <f>IF(OR($E1240="",$S1240=""),"",IFERROR(MAX(0,ROUND((INDEX(Config!$D$15:$D$18,MATCH($S1240,Config!$B$15:$B$18,0))-$E1240)*1440,0)),""))</f>
        <v/>
      </c>
      <c r="U1240" s="13" t="str">
        <f>IF(OR($N1240="",$T1240=""),"",IFERROR(MAX(0,1-($N1240+$T1240+MAX(0,N($Q1240)))/ROUND((INDEX(Config!$D$15:$D$18,MATCH($S1240,Config!$B$15:$B$18,0))-INDEX(Config!$C$15:$C$18,MATCH($S1240,Config!$B$15:$B$18,0)))*1440,0)),""))</f>
        <v/>
      </c>
      <c r="V1240" s="5"/>
    </row>
    <row r="1241" spans="1:22" x14ac:dyDescent="0.25">
      <c r="A1241" s="11"/>
      <c r="B1241" s="5"/>
      <c r="C1241" s="6" t="str">
        <f>IFERROR(INDEX(Ejecutivos!$B$2:$B$100,MATCH(B1241,Ejecutivos!$A$2:$A$100,0)),"")</f>
        <v/>
      </c>
      <c r="D1241" s="12"/>
      <c r="E1241" s="12"/>
      <c r="F1241" s="12"/>
      <c r="G1241" s="12"/>
      <c r="H1241" s="5"/>
      <c r="I1241" s="5"/>
      <c r="J1241" s="5"/>
      <c r="K1241" s="5"/>
      <c r="L1241" s="18">
        <v>0</v>
      </c>
      <c r="M1241" t="str">
        <f t="shared" si="79"/>
        <v/>
      </c>
      <c r="N1241" t="str">
        <f>IF(OR($D1241="",$S1241=""),"",IFERROR(MAX(0,ROUND(($D1241-INDEX(Config!$C$15:$C$18,MATCH($S1241,Config!$B$15:$B$18,0)))*24*60,0)),""))</f>
        <v/>
      </c>
      <c r="O1241" t="str">
        <f t="shared" si="80"/>
        <v/>
      </c>
      <c r="P1241" t="str">
        <f t="shared" si="81"/>
        <v/>
      </c>
      <c r="Q1241" t="str">
        <f>IF(OR($P1241="",$S1241=""),"",IFERROR($P1241-INDEX(Config!$E$15:$E$18,MATCH($S1241,Config!$B$15:$B$18,0)),""))</f>
        <v/>
      </c>
      <c r="R1241" t="str">
        <f t="shared" si="82"/>
        <v/>
      </c>
      <c r="S1241" s="6" t="str">
        <f>IF(OR($A1241="",$C1241=""),"",IFERROR(INDEX(Turno!$C$3:$V$32,MATCH($C1241,Turno!$B$3:$B$32,0),MATCH(DAY($A1241),Turno!$C$1:$V$1,0)),""))</f>
        <v/>
      </c>
      <c r="T1241" t="str">
        <f>IF(OR($E1241="",$S1241=""),"",IFERROR(MAX(0,ROUND((INDEX(Config!$D$15:$D$18,MATCH($S1241,Config!$B$15:$B$18,0))-$E1241)*1440,0)),""))</f>
        <v/>
      </c>
      <c r="U1241" s="13" t="str">
        <f>IF(OR($N1241="",$T1241=""),"",IFERROR(MAX(0,1-($N1241+$T1241+MAX(0,N($Q1241)))/ROUND((INDEX(Config!$D$15:$D$18,MATCH($S1241,Config!$B$15:$B$18,0))-INDEX(Config!$C$15:$C$18,MATCH($S1241,Config!$B$15:$B$18,0)))*1440,0)),""))</f>
        <v/>
      </c>
      <c r="V1241" s="5"/>
    </row>
    <row r="1242" spans="1:22" x14ac:dyDescent="0.25">
      <c r="A1242" s="11"/>
      <c r="B1242" s="5"/>
      <c r="C1242" s="6" t="str">
        <f>IFERROR(INDEX(Ejecutivos!$B$2:$B$100,MATCH(B1242,Ejecutivos!$A$2:$A$100,0)),"")</f>
        <v/>
      </c>
      <c r="D1242" s="12"/>
      <c r="E1242" s="12"/>
      <c r="F1242" s="12"/>
      <c r="G1242" s="12"/>
      <c r="H1242" s="5"/>
      <c r="I1242" s="5"/>
      <c r="J1242" s="5"/>
      <c r="K1242" s="5"/>
      <c r="L1242" s="18">
        <v>0</v>
      </c>
      <c r="M1242" t="str">
        <f t="shared" si="79"/>
        <v/>
      </c>
      <c r="N1242" t="str">
        <f>IF(OR($D1242="",$S1242=""),"",IFERROR(MAX(0,ROUND(($D1242-INDEX(Config!$C$15:$C$18,MATCH($S1242,Config!$B$15:$B$18,0)))*24*60,0)),""))</f>
        <v/>
      </c>
      <c r="O1242" t="str">
        <f t="shared" si="80"/>
        <v/>
      </c>
      <c r="P1242" t="str">
        <f t="shared" si="81"/>
        <v/>
      </c>
      <c r="Q1242" t="str">
        <f>IF(OR($P1242="",$S1242=""),"",IFERROR($P1242-INDEX(Config!$E$15:$E$18,MATCH($S1242,Config!$B$15:$B$18,0)),""))</f>
        <v/>
      </c>
      <c r="R1242" t="str">
        <f t="shared" si="82"/>
        <v/>
      </c>
      <c r="S1242" s="6" t="str">
        <f>IF(OR($A1242="",$C1242=""),"",IFERROR(INDEX(Turno!$C$3:$V$32,MATCH($C1242,Turno!$B$3:$B$32,0),MATCH(DAY($A1242),Turno!$C$1:$V$1,0)),""))</f>
        <v/>
      </c>
      <c r="T1242" t="str">
        <f>IF(OR($E1242="",$S1242=""),"",IFERROR(MAX(0,ROUND((INDEX(Config!$D$15:$D$18,MATCH($S1242,Config!$B$15:$B$18,0))-$E1242)*1440,0)),""))</f>
        <v/>
      </c>
      <c r="U1242" s="13" t="str">
        <f>IF(OR($N1242="",$T1242=""),"",IFERROR(MAX(0,1-($N1242+$T1242+MAX(0,N($Q1242)))/ROUND((INDEX(Config!$D$15:$D$18,MATCH($S1242,Config!$B$15:$B$18,0))-INDEX(Config!$C$15:$C$18,MATCH($S1242,Config!$B$15:$B$18,0)))*1440,0)),""))</f>
        <v/>
      </c>
      <c r="V1242" s="5"/>
    </row>
    <row r="1243" spans="1:22" x14ac:dyDescent="0.25">
      <c r="A1243" s="11"/>
      <c r="B1243" s="5"/>
      <c r="C1243" s="6" t="str">
        <f>IFERROR(INDEX(Ejecutivos!$B$2:$B$100,MATCH(B1243,Ejecutivos!$A$2:$A$100,0)),"")</f>
        <v/>
      </c>
      <c r="D1243" s="12"/>
      <c r="E1243" s="12"/>
      <c r="F1243" s="12"/>
      <c r="G1243" s="12"/>
      <c r="H1243" s="5"/>
      <c r="I1243" s="5"/>
      <c r="J1243" s="5"/>
      <c r="K1243" s="5"/>
      <c r="L1243" s="18">
        <v>0</v>
      </c>
      <c r="M1243" t="str">
        <f t="shared" si="79"/>
        <v/>
      </c>
      <c r="N1243" t="str">
        <f>IF(OR($D1243="",$S1243=""),"",IFERROR(MAX(0,ROUND(($D1243-INDEX(Config!$C$15:$C$18,MATCH($S1243,Config!$B$15:$B$18,0)))*24*60,0)),""))</f>
        <v/>
      </c>
      <c r="O1243" t="str">
        <f t="shared" si="80"/>
        <v/>
      </c>
      <c r="P1243" t="str">
        <f t="shared" si="81"/>
        <v/>
      </c>
      <c r="Q1243" t="str">
        <f>IF(OR($P1243="",$S1243=""),"",IFERROR($P1243-INDEX(Config!$E$15:$E$18,MATCH($S1243,Config!$B$15:$B$18,0)),""))</f>
        <v/>
      </c>
      <c r="R1243" t="str">
        <f t="shared" si="82"/>
        <v/>
      </c>
      <c r="S1243" s="6" t="str">
        <f>IF(OR($A1243="",$C1243=""),"",IFERROR(INDEX(Turno!$C$3:$V$32,MATCH($C1243,Turno!$B$3:$B$32,0),MATCH(DAY($A1243),Turno!$C$1:$V$1,0)),""))</f>
        <v/>
      </c>
      <c r="T1243" t="str">
        <f>IF(OR($E1243="",$S1243=""),"",IFERROR(MAX(0,ROUND((INDEX(Config!$D$15:$D$18,MATCH($S1243,Config!$B$15:$B$18,0))-$E1243)*1440,0)),""))</f>
        <v/>
      </c>
      <c r="U1243" s="13" t="str">
        <f>IF(OR($N1243="",$T1243=""),"",IFERROR(MAX(0,1-($N1243+$T1243+MAX(0,N($Q1243)))/ROUND((INDEX(Config!$D$15:$D$18,MATCH($S1243,Config!$B$15:$B$18,0))-INDEX(Config!$C$15:$C$18,MATCH($S1243,Config!$B$15:$B$18,0)))*1440,0)),""))</f>
        <v/>
      </c>
      <c r="V1243" s="5"/>
    </row>
    <row r="1244" spans="1:22" x14ac:dyDescent="0.25">
      <c r="A1244" s="11"/>
      <c r="B1244" s="5"/>
      <c r="C1244" s="6" t="str">
        <f>IFERROR(INDEX(Ejecutivos!$B$2:$B$100,MATCH(B1244,Ejecutivos!$A$2:$A$100,0)),"")</f>
        <v/>
      </c>
      <c r="D1244" s="12"/>
      <c r="E1244" s="12"/>
      <c r="F1244" s="12"/>
      <c r="G1244" s="12"/>
      <c r="H1244" s="5"/>
      <c r="I1244" s="5"/>
      <c r="J1244" s="5"/>
      <c r="K1244" s="5"/>
      <c r="L1244" s="18">
        <v>0</v>
      </c>
      <c r="M1244" t="str">
        <f t="shared" si="79"/>
        <v/>
      </c>
      <c r="N1244" t="str">
        <f>IF(OR($D1244="",$S1244=""),"",IFERROR(MAX(0,ROUND(($D1244-INDEX(Config!$C$15:$C$18,MATCH($S1244,Config!$B$15:$B$18,0)))*24*60,0)),""))</f>
        <v/>
      </c>
      <c r="O1244" t="str">
        <f t="shared" si="80"/>
        <v/>
      </c>
      <c r="P1244" t="str">
        <f t="shared" si="81"/>
        <v/>
      </c>
      <c r="Q1244" t="str">
        <f>IF(OR($P1244="",$S1244=""),"",IFERROR($P1244-INDEX(Config!$E$15:$E$18,MATCH($S1244,Config!$B$15:$B$18,0)),""))</f>
        <v/>
      </c>
      <c r="R1244" t="str">
        <f t="shared" si="82"/>
        <v/>
      </c>
      <c r="S1244" s="6" t="str">
        <f>IF(OR($A1244="",$C1244=""),"",IFERROR(INDEX(Turno!$C$3:$V$32,MATCH($C1244,Turno!$B$3:$B$32,0),MATCH(DAY($A1244),Turno!$C$1:$V$1,0)),""))</f>
        <v/>
      </c>
      <c r="T1244" t="str">
        <f>IF(OR($E1244="",$S1244=""),"",IFERROR(MAX(0,ROUND((INDEX(Config!$D$15:$D$18,MATCH($S1244,Config!$B$15:$B$18,0))-$E1244)*1440,0)),""))</f>
        <v/>
      </c>
      <c r="U1244" s="13" t="str">
        <f>IF(OR($N1244="",$T1244=""),"",IFERROR(MAX(0,1-($N1244+$T1244+MAX(0,N($Q1244)))/ROUND((INDEX(Config!$D$15:$D$18,MATCH($S1244,Config!$B$15:$B$18,0))-INDEX(Config!$C$15:$C$18,MATCH($S1244,Config!$B$15:$B$18,0)))*1440,0)),""))</f>
        <v/>
      </c>
      <c r="V1244" s="5"/>
    </row>
    <row r="1245" spans="1:22" x14ac:dyDescent="0.25">
      <c r="A1245" s="11"/>
      <c r="B1245" s="5"/>
      <c r="C1245" s="6" t="str">
        <f>IFERROR(INDEX(Ejecutivos!$B$2:$B$100,MATCH(B1245,Ejecutivos!$A$2:$A$100,0)),"")</f>
        <v/>
      </c>
      <c r="D1245" s="12"/>
      <c r="E1245" s="12"/>
      <c r="F1245" s="12"/>
      <c r="G1245" s="12"/>
      <c r="H1245" s="5"/>
      <c r="I1245" s="5"/>
      <c r="J1245" s="5"/>
      <c r="K1245" s="5"/>
      <c r="L1245" s="18">
        <v>0</v>
      </c>
      <c r="M1245" t="str">
        <f t="shared" si="79"/>
        <v/>
      </c>
      <c r="N1245" t="str">
        <f>IF(OR($D1245="",$S1245=""),"",IFERROR(MAX(0,ROUND(($D1245-INDEX(Config!$C$15:$C$18,MATCH($S1245,Config!$B$15:$B$18,0)))*24*60,0)),""))</f>
        <v/>
      </c>
      <c r="O1245" t="str">
        <f t="shared" si="80"/>
        <v/>
      </c>
      <c r="P1245" t="str">
        <f t="shared" si="81"/>
        <v/>
      </c>
      <c r="Q1245" t="str">
        <f>IF(OR($P1245="",$S1245=""),"",IFERROR($P1245-INDEX(Config!$E$15:$E$18,MATCH($S1245,Config!$B$15:$B$18,0)),""))</f>
        <v/>
      </c>
      <c r="R1245" t="str">
        <f t="shared" si="82"/>
        <v/>
      </c>
      <c r="S1245" s="6" t="str">
        <f>IF(OR($A1245="",$C1245=""),"",IFERROR(INDEX(Turno!$C$3:$V$32,MATCH($C1245,Turno!$B$3:$B$32,0),MATCH(DAY($A1245),Turno!$C$1:$V$1,0)),""))</f>
        <v/>
      </c>
      <c r="T1245" t="str">
        <f>IF(OR($E1245="",$S1245=""),"",IFERROR(MAX(0,ROUND((INDEX(Config!$D$15:$D$18,MATCH($S1245,Config!$B$15:$B$18,0))-$E1245)*1440,0)),""))</f>
        <v/>
      </c>
      <c r="U1245" s="13" t="str">
        <f>IF(OR($N1245="",$T1245=""),"",IFERROR(MAX(0,1-($N1245+$T1245+MAX(0,N($Q1245)))/ROUND((INDEX(Config!$D$15:$D$18,MATCH($S1245,Config!$B$15:$B$18,0))-INDEX(Config!$C$15:$C$18,MATCH($S1245,Config!$B$15:$B$18,0)))*1440,0)),""))</f>
        <v/>
      </c>
      <c r="V1245" s="5"/>
    </row>
    <row r="1246" spans="1:22" x14ac:dyDescent="0.25">
      <c r="A1246" s="11"/>
      <c r="B1246" s="5"/>
      <c r="C1246" s="6" t="str">
        <f>IFERROR(INDEX(Ejecutivos!$B$2:$B$100,MATCH(B1246,Ejecutivos!$A$2:$A$100,0)),"")</f>
        <v/>
      </c>
      <c r="D1246" s="12"/>
      <c r="E1246" s="12"/>
      <c r="F1246" s="12"/>
      <c r="G1246" s="12"/>
      <c r="H1246" s="5"/>
      <c r="I1246" s="5"/>
      <c r="J1246" s="5"/>
      <c r="K1246" s="5"/>
      <c r="L1246" s="18">
        <v>0</v>
      </c>
      <c r="M1246" t="str">
        <f t="shared" si="79"/>
        <v/>
      </c>
      <c r="N1246" t="str">
        <f>IF(OR($D1246="",$S1246=""),"",IFERROR(MAX(0,ROUND(($D1246-INDEX(Config!$C$15:$C$18,MATCH($S1246,Config!$B$15:$B$18,0)))*24*60,0)),""))</f>
        <v/>
      </c>
      <c r="O1246" t="str">
        <f t="shared" si="80"/>
        <v/>
      </c>
      <c r="P1246" t="str">
        <f t="shared" si="81"/>
        <v/>
      </c>
      <c r="Q1246" t="str">
        <f>IF(OR($P1246="",$S1246=""),"",IFERROR($P1246-INDEX(Config!$E$15:$E$18,MATCH($S1246,Config!$B$15:$B$18,0)),""))</f>
        <v/>
      </c>
      <c r="R1246" t="str">
        <f t="shared" si="82"/>
        <v/>
      </c>
      <c r="S1246" s="6" t="str">
        <f>IF(OR($A1246="",$C1246=""),"",IFERROR(INDEX(Turno!$C$3:$V$32,MATCH($C1246,Turno!$B$3:$B$32,0),MATCH(DAY($A1246),Turno!$C$1:$V$1,0)),""))</f>
        <v/>
      </c>
      <c r="T1246" t="str">
        <f>IF(OR($E1246="",$S1246=""),"",IFERROR(MAX(0,ROUND((INDEX(Config!$D$15:$D$18,MATCH($S1246,Config!$B$15:$B$18,0))-$E1246)*1440,0)),""))</f>
        <v/>
      </c>
      <c r="U1246" s="13" t="str">
        <f>IF(OR($N1246="",$T1246=""),"",IFERROR(MAX(0,1-($N1246+$T1246+MAX(0,N($Q1246)))/ROUND((INDEX(Config!$D$15:$D$18,MATCH($S1246,Config!$B$15:$B$18,0))-INDEX(Config!$C$15:$C$18,MATCH($S1246,Config!$B$15:$B$18,0)))*1440,0)),""))</f>
        <v/>
      </c>
      <c r="V1246" s="5"/>
    </row>
    <row r="1247" spans="1:22" x14ac:dyDescent="0.25">
      <c r="A1247" s="11"/>
      <c r="B1247" s="5"/>
      <c r="C1247" s="6" t="str">
        <f>IFERROR(INDEX(Ejecutivos!$B$2:$B$100,MATCH(B1247,Ejecutivos!$A$2:$A$100,0)),"")</f>
        <v/>
      </c>
      <c r="D1247" s="12"/>
      <c r="E1247" s="12"/>
      <c r="F1247" s="12"/>
      <c r="G1247" s="12"/>
      <c r="H1247" s="5"/>
      <c r="I1247" s="5"/>
      <c r="J1247" s="5"/>
      <c r="K1247" s="5"/>
      <c r="L1247" s="18">
        <v>0</v>
      </c>
      <c r="M1247" t="str">
        <f t="shared" si="79"/>
        <v/>
      </c>
      <c r="N1247" t="str">
        <f>IF(OR($D1247="",$S1247=""),"",IFERROR(MAX(0,ROUND(($D1247-INDEX(Config!$C$15:$C$18,MATCH($S1247,Config!$B$15:$B$18,0)))*24*60,0)),""))</f>
        <v/>
      </c>
      <c r="O1247" t="str">
        <f t="shared" si="80"/>
        <v/>
      </c>
      <c r="P1247" t="str">
        <f t="shared" si="81"/>
        <v/>
      </c>
      <c r="Q1247" t="str">
        <f>IF(OR($P1247="",$S1247=""),"",IFERROR($P1247-INDEX(Config!$E$15:$E$18,MATCH($S1247,Config!$B$15:$B$18,0)),""))</f>
        <v/>
      </c>
      <c r="R1247" t="str">
        <f t="shared" si="82"/>
        <v/>
      </c>
      <c r="S1247" s="6" t="str">
        <f>IF(OR($A1247="",$C1247=""),"",IFERROR(INDEX(Turno!$C$3:$V$32,MATCH($C1247,Turno!$B$3:$B$32,0),MATCH(DAY($A1247),Turno!$C$1:$V$1,0)),""))</f>
        <v/>
      </c>
      <c r="T1247" t="str">
        <f>IF(OR($E1247="",$S1247=""),"",IFERROR(MAX(0,ROUND((INDEX(Config!$D$15:$D$18,MATCH($S1247,Config!$B$15:$B$18,0))-$E1247)*1440,0)),""))</f>
        <v/>
      </c>
      <c r="U1247" s="13" t="str">
        <f>IF(OR($N1247="",$T1247=""),"",IFERROR(MAX(0,1-($N1247+$T1247+MAX(0,N($Q1247)))/ROUND((INDEX(Config!$D$15:$D$18,MATCH($S1247,Config!$B$15:$B$18,0))-INDEX(Config!$C$15:$C$18,MATCH($S1247,Config!$B$15:$B$18,0)))*1440,0)),""))</f>
        <v/>
      </c>
      <c r="V1247" s="5"/>
    </row>
    <row r="1248" spans="1:22" x14ac:dyDescent="0.25">
      <c r="A1248" s="11"/>
      <c r="B1248" s="5"/>
      <c r="C1248" s="6" t="str">
        <f>IFERROR(INDEX(Ejecutivos!$B$2:$B$100,MATCH(B1248,Ejecutivos!$A$2:$A$100,0)),"")</f>
        <v/>
      </c>
      <c r="D1248" s="12"/>
      <c r="E1248" s="12"/>
      <c r="F1248" s="12"/>
      <c r="G1248" s="12"/>
      <c r="H1248" s="5"/>
      <c r="I1248" s="5"/>
      <c r="J1248" s="5"/>
      <c r="K1248" s="5"/>
      <c r="L1248" s="18">
        <v>0</v>
      </c>
      <c r="M1248" t="str">
        <f t="shared" si="79"/>
        <v/>
      </c>
      <c r="N1248" t="str">
        <f>IF(OR($D1248="",$S1248=""),"",IFERROR(MAX(0,ROUND(($D1248-INDEX(Config!$C$15:$C$18,MATCH($S1248,Config!$B$15:$B$18,0)))*24*60,0)),""))</f>
        <v/>
      </c>
      <c r="O1248" t="str">
        <f t="shared" si="80"/>
        <v/>
      </c>
      <c r="P1248" t="str">
        <f t="shared" si="81"/>
        <v/>
      </c>
      <c r="Q1248" t="str">
        <f>IF(OR($P1248="",$S1248=""),"",IFERROR($P1248-INDEX(Config!$E$15:$E$18,MATCH($S1248,Config!$B$15:$B$18,0)),""))</f>
        <v/>
      </c>
      <c r="R1248" t="str">
        <f t="shared" si="82"/>
        <v/>
      </c>
      <c r="S1248" s="6" t="str">
        <f>IF(OR($A1248="",$C1248=""),"",IFERROR(INDEX(Turno!$C$3:$V$32,MATCH($C1248,Turno!$B$3:$B$32,0),MATCH(DAY($A1248),Turno!$C$1:$V$1,0)),""))</f>
        <v/>
      </c>
      <c r="T1248" t="str">
        <f>IF(OR($E1248="",$S1248=""),"",IFERROR(MAX(0,ROUND((INDEX(Config!$D$15:$D$18,MATCH($S1248,Config!$B$15:$B$18,0))-$E1248)*1440,0)),""))</f>
        <v/>
      </c>
      <c r="U1248" s="13" t="str">
        <f>IF(OR($N1248="",$T1248=""),"",IFERROR(MAX(0,1-($N1248+$T1248+MAX(0,N($Q1248)))/ROUND((INDEX(Config!$D$15:$D$18,MATCH($S1248,Config!$B$15:$B$18,0))-INDEX(Config!$C$15:$C$18,MATCH($S1248,Config!$B$15:$B$18,0)))*1440,0)),""))</f>
        <v/>
      </c>
      <c r="V1248" s="5"/>
    </row>
    <row r="1249" spans="1:22" x14ac:dyDescent="0.25">
      <c r="A1249" s="11"/>
      <c r="B1249" s="5"/>
      <c r="C1249" s="6" t="str">
        <f>IFERROR(INDEX(Ejecutivos!$B$2:$B$100,MATCH(B1249,Ejecutivos!$A$2:$A$100,0)),"")</f>
        <v/>
      </c>
      <c r="D1249" s="12"/>
      <c r="E1249" s="12"/>
      <c r="F1249" s="12"/>
      <c r="G1249" s="12"/>
      <c r="H1249" s="5"/>
      <c r="I1249" s="5"/>
      <c r="J1249" s="5"/>
      <c r="K1249" s="5"/>
      <c r="L1249" s="18">
        <v>0</v>
      </c>
      <c r="M1249" t="str">
        <f t="shared" si="79"/>
        <v/>
      </c>
      <c r="N1249" t="str">
        <f>IF(OR($D1249="",$S1249=""),"",IFERROR(MAX(0,ROUND(($D1249-INDEX(Config!$C$15:$C$18,MATCH($S1249,Config!$B$15:$B$18,0)))*24*60,0)),""))</f>
        <v/>
      </c>
      <c r="O1249" t="str">
        <f t="shared" si="80"/>
        <v/>
      </c>
      <c r="P1249" t="str">
        <f t="shared" si="81"/>
        <v/>
      </c>
      <c r="Q1249" t="str">
        <f>IF(OR($P1249="",$S1249=""),"",IFERROR($P1249-INDEX(Config!$E$15:$E$18,MATCH($S1249,Config!$B$15:$B$18,0)),""))</f>
        <v/>
      </c>
      <c r="R1249" t="str">
        <f t="shared" si="82"/>
        <v/>
      </c>
      <c r="S1249" s="6" t="str">
        <f>IF(OR($A1249="",$C1249=""),"",IFERROR(INDEX(Turno!$C$3:$V$32,MATCH($C1249,Turno!$B$3:$B$32,0),MATCH(DAY($A1249),Turno!$C$1:$V$1,0)),""))</f>
        <v/>
      </c>
      <c r="T1249" t="str">
        <f>IF(OR($E1249="",$S1249=""),"",IFERROR(MAX(0,ROUND((INDEX(Config!$D$15:$D$18,MATCH($S1249,Config!$B$15:$B$18,0))-$E1249)*1440,0)),""))</f>
        <v/>
      </c>
      <c r="U1249" s="13" t="str">
        <f>IF(OR($N1249="",$T1249=""),"",IFERROR(MAX(0,1-($N1249+$T1249+MAX(0,N($Q1249)))/ROUND((INDEX(Config!$D$15:$D$18,MATCH($S1249,Config!$B$15:$B$18,0))-INDEX(Config!$C$15:$C$18,MATCH($S1249,Config!$B$15:$B$18,0)))*1440,0)),""))</f>
        <v/>
      </c>
      <c r="V1249" s="5"/>
    </row>
    <row r="1250" spans="1:22" x14ac:dyDescent="0.25">
      <c r="A1250" s="11"/>
      <c r="B1250" s="5"/>
      <c r="C1250" s="6" t="str">
        <f>IFERROR(INDEX(Ejecutivos!$B$2:$B$100,MATCH(B1250,Ejecutivos!$A$2:$A$100,0)),"")</f>
        <v/>
      </c>
      <c r="D1250" s="12"/>
      <c r="E1250" s="12"/>
      <c r="F1250" s="12"/>
      <c r="G1250" s="12"/>
      <c r="H1250" s="5"/>
      <c r="I1250" s="5"/>
      <c r="J1250" s="5"/>
      <c r="K1250" s="5"/>
      <c r="L1250" s="18">
        <v>0</v>
      </c>
      <c r="M1250" t="str">
        <f t="shared" si="79"/>
        <v/>
      </c>
      <c r="N1250" t="str">
        <f>IF(OR($D1250="",$S1250=""),"",IFERROR(MAX(0,ROUND(($D1250-INDEX(Config!$C$15:$C$18,MATCH($S1250,Config!$B$15:$B$18,0)))*24*60,0)),""))</f>
        <v/>
      </c>
      <c r="O1250" t="str">
        <f t="shared" si="80"/>
        <v/>
      </c>
      <c r="P1250" t="str">
        <f t="shared" si="81"/>
        <v/>
      </c>
      <c r="Q1250" t="str">
        <f>IF(OR($P1250="",$S1250=""),"",IFERROR($P1250-INDEX(Config!$E$15:$E$18,MATCH($S1250,Config!$B$15:$B$18,0)),""))</f>
        <v/>
      </c>
      <c r="R1250" t="str">
        <f t="shared" si="82"/>
        <v/>
      </c>
      <c r="S1250" s="6" t="str">
        <f>IF(OR($A1250="",$C1250=""),"",IFERROR(INDEX(Turno!$C$3:$V$32,MATCH($C1250,Turno!$B$3:$B$32,0),MATCH(DAY($A1250),Turno!$C$1:$V$1,0)),""))</f>
        <v/>
      </c>
      <c r="T1250" t="str">
        <f>IF(OR($E1250="",$S1250=""),"",IFERROR(MAX(0,ROUND((INDEX(Config!$D$15:$D$18,MATCH($S1250,Config!$B$15:$B$18,0))-$E1250)*1440,0)),""))</f>
        <v/>
      </c>
      <c r="U1250" s="13" t="str">
        <f>IF(OR($N1250="",$T1250=""),"",IFERROR(MAX(0,1-($N1250+$T1250+MAX(0,N($Q1250)))/ROUND((INDEX(Config!$D$15:$D$18,MATCH($S1250,Config!$B$15:$B$18,0))-INDEX(Config!$C$15:$C$18,MATCH($S1250,Config!$B$15:$B$18,0)))*1440,0)),""))</f>
        <v/>
      </c>
      <c r="V1250" s="5"/>
    </row>
    <row r="1251" spans="1:22" x14ac:dyDescent="0.25">
      <c r="A1251" s="11"/>
      <c r="B1251" s="5"/>
      <c r="C1251" s="6" t="str">
        <f>IFERROR(INDEX(Ejecutivos!$B$2:$B$100,MATCH(B1251,Ejecutivos!$A$2:$A$100,0)),"")</f>
        <v/>
      </c>
      <c r="D1251" s="12"/>
      <c r="E1251" s="12"/>
      <c r="F1251" s="12"/>
      <c r="G1251" s="12"/>
      <c r="H1251" s="5"/>
      <c r="I1251" s="5"/>
      <c r="J1251" s="5"/>
      <c r="K1251" s="5"/>
      <c r="L1251" s="18">
        <v>0</v>
      </c>
      <c r="M1251" t="str">
        <f t="shared" si="79"/>
        <v/>
      </c>
      <c r="N1251" t="str">
        <f>IF(OR($D1251="",$S1251=""),"",IFERROR(MAX(0,ROUND(($D1251-INDEX(Config!$C$15:$C$18,MATCH($S1251,Config!$B$15:$B$18,0)))*24*60,0)),""))</f>
        <v/>
      </c>
      <c r="O1251" t="str">
        <f t="shared" si="80"/>
        <v/>
      </c>
      <c r="P1251" t="str">
        <f t="shared" si="81"/>
        <v/>
      </c>
      <c r="Q1251" t="str">
        <f>IF(OR($P1251="",$S1251=""),"",IFERROR($P1251-INDEX(Config!$E$15:$E$18,MATCH($S1251,Config!$B$15:$B$18,0)),""))</f>
        <v/>
      </c>
      <c r="R1251" t="str">
        <f t="shared" si="82"/>
        <v/>
      </c>
      <c r="S1251" s="6" t="str">
        <f>IF(OR($A1251="",$C1251=""),"",IFERROR(INDEX(Turno!$C$3:$V$32,MATCH($C1251,Turno!$B$3:$B$32,0),MATCH(DAY($A1251),Turno!$C$1:$V$1,0)),""))</f>
        <v/>
      </c>
      <c r="T1251" t="str">
        <f>IF(OR($E1251="",$S1251=""),"",IFERROR(MAX(0,ROUND((INDEX(Config!$D$15:$D$18,MATCH($S1251,Config!$B$15:$B$18,0))-$E1251)*1440,0)),""))</f>
        <v/>
      </c>
      <c r="U1251" s="13" t="str">
        <f>IF(OR($N1251="",$T1251=""),"",IFERROR(MAX(0,1-($N1251+$T1251+MAX(0,N($Q1251)))/ROUND((INDEX(Config!$D$15:$D$18,MATCH($S1251,Config!$B$15:$B$18,0))-INDEX(Config!$C$15:$C$18,MATCH($S1251,Config!$B$15:$B$18,0)))*1440,0)),""))</f>
        <v/>
      </c>
      <c r="V1251" s="5"/>
    </row>
    <row r="1252" spans="1:22" x14ac:dyDescent="0.25">
      <c r="A1252" s="11"/>
      <c r="B1252" s="5"/>
      <c r="C1252" s="6" t="str">
        <f>IFERROR(INDEX(Ejecutivos!$B$2:$B$100,MATCH(B1252,Ejecutivos!$A$2:$A$100,0)),"")</f>
        <v/>
      </c>
      <c r="D1252" s="12"/>
      <c r="E1252" s="12"/>
      <c r="F1252" s="12"/>
      <c r="G1252" s="12"/>
      <c r="H1252" s="5"/>
      <c r="I1252" s="5"/>
      <c r="J1252" s="5"/>
      <c r="K1252" s="5"/>
      <c r="L1252" s="18">
        <v>0</v>
      </c>
      <c r="M1252" t="str">
        <f t="shared" si="79"/>
        <v/>
      </c>
      <c r="N1252" t="str">
        <f>IF(OR($D1252="",$S1252=""),"",IFERROR(MAX(0,ROUND(($D1252-INDEX(Config!$C$15:$C$18,MATCH($S1252,Config!$B$15:$B$18,0)))*24*60,0)),""))</f>
        <v/>
      </c>
      <c r="O1252" t="str">
        <f t="shared" si="80"/>
        <v/>
      </c>
      <c r="P1252" t="str">
        <f t="shared" si="81"/>
        <v/>
      </c>
      <c r="Q1252" t="str">
        <f>IF(OR($P1252="",$S1252=""),"",IFERROR($P1252-INDEX(Config!$E$15:$E$18,MATCH($S1252,Config!$B$15:$B$18,0)),""))</f>
        <v/>
      </c>
      <c r="R1252" t="str">
        <f t="shared" si="82"/>
        <v/>
      </c>
      <c r="S1252" s="6" t="str">
        <f>IF(OR($A1252="",$C1252=""),"",IFERROR(INDEX(Turno!$C$3:$V$32,MATCH($C1252,Turno!$B$3:$B$32,0),MATCH(DAY($A1252),Turno!$C$1:$V$1,0)),""))</f>
        <v/>
      </c>
      <c r="T1252" t="str">
        <f>IF(OR($E1252="",$S1252=""),"",IFERROR(MAX(0,ROUND((INDEX(Config!$D$15:$D$18,MATCH($S1252,Config!$B$15:$B$18,0))-$E1252)*1440,0)),""))</f>
        <v/>
      </c>
      <c r="U1252" s="13" t="str">
        <f>IF(OR($N1252="",$T1252=""),"",IFERROR(MAX(0,1-($N1252+$T1252+MAX(0,N($Q1252)))/ROUND((INDEX(Config!$D$15:$D$18,MATCH($S1252,Config!$B$15:$B$18,0))-INDEX(Config!$C$15:$C$18,MATCH($S1252,Config!$B$15:$B$18,0)))*1440,0)),""))</f>
        <v/>
      </c>
      <c r="V1252" s="5"/>
    </row>
    <row r="1253" spans="1:22" x14ac:dyDescent="0.25">
      <c r="A1253" s="11"/>
      <c r="B1253" s="5"/>
      <c r="C1253" s="6" t="str">
        <f>IFERROR(INDEX(Ejecutivos!$B$2:$B$100,MATCH(B1253,Ejecutivos!$A$2:$A$100,0)),"")</f>
        <v/>
      </c>
      <c r="D1253" s="12"/>
      <c r="E1253" s="12"/>
      <c r="F1253" s="12"/>
      <c r="G1253" s="12"/>
      <c r="H1253" s="5"/>
      <c r="I1253" s="5"/>
      <c r="J1253" s="5"/>
      <c r="K1253" s="5"/>
      <c r="L1253" s="18">
        <v>0</v>
      </c>
      <c r="M1253" t="str">
        <f t="shared" si="79"/>
        <v/>
      </c>
      <c r="N1253" t="str">
        <f>IF(OR($D1253="",$S1253=""),"",IFERROR(MAX(0,ROUND(($D1253-INDEX(Config!$C$15:$C$18,MATCH($S1253,Config!$B$15:$B$18,0)))*24*60,0)),""))</f>
        <v/>
      </c>
      <c r="O1253" t="str">
        <f t="shared" si="80"/>
        <v/>
      </c>
      <c r="P1253" t="str">
        <f t="shared" si="81"/>
        <v/>
      </c>
      <c r="Q1253" t="str">
        <f>IF(OR($P1253="",$S1253=""),"",IFERROR($P1253-INDEX(Config!$E$15:$E$18,MATCH($S1253,Config!$B$15:$B$18,0)),""))</f>
        <v/>
      </c>
      <c r="R1253" t="str">
        <f t="shared" si="82"/>
        <v/>
      </c>
      <c r="S1253" s="6" t="str">
        <f>IF(OR($A1253="",$C1253=""),"",IFERROR(INDEX(Turno!$C$3:$V$32,MATCH($C1253,Turno!$B$3:$B$32,0),MATCH(DAY($A1253),Turno!$C$1:$V$1,0)),""))</f>
        <v/>
      </c>
      <c r="T1253" t="str">
        <f>IF(OR($E1253="",$S1253=""),"",IFERROR(MAX(0,ROUND((INDEX(Config!$D$15:$D$18,MATCH($S1253,Config!$B$15:$B$18,0))-$E1253)*1440,0)),""))</f>
        <v/>
      </c>
      <c r="U1253" s="13" t="str">
        <f>IF(OR($N1253="",$T1253=""),"",IFERROR(MAX(0,1-($N1253+$T1253+MAX(0,N($Q1253)))/ROUND((INDEX(Config!$D$15:$D$18,MATCH($S1253,Config!$B$15:$B$18,0))-INDEX(Config!$C$15:$C$18,MATCH($S1253,Config!$B$15:$B$18,0)))*1440,0)),""))</f>
        <v/>
      </c>
      <c r="V1253" s="5"/>
    </row>
    <row r="1254" spans="1:22" x14ac:dyDescent="0.25">
      <c r="A1254" s="11"/>
      <c r="B1254" s="5"/>
      <c r="C1254" s="6" t="str">
        <f>IFERROR(INDEX(Ejecutivos!$B$2:$B$100,MATCH(B1254,Ejecutivos!$A$2:$A$100,0)),"")</f>
        <v/>
      </c>
      <c r="D1254" s="12"/>
      <c r="E1254" s="12"/>
      <c r="F1254" s="12"/>
      <c r="G1254" s="12"/>
      <c r="H1254" s="5"/>
      <c r="I1254" s="5"/>
      <c r="J1254" s="5"/>
      <c r="K1254" s="5"/>
      <c r="L1254" s="18">
        <v>0</v>
      </c>
      <c r="M1254" t="str">
        <f t="shared" si="79"/>
        <v/>
      </c>
      <c r="N1254" t="str">
        <f>IF(OR($D1254="",$S1254=""),"",IFERROR(MAX(0,ROUND(($D1254-INDEX(Config!$C$15:$C$18,MATCH($S1254,Config!$B$15:$B$18,0)))*24*60,0)),""))</f>
        <v/>
      </c>
      <c r="O1254" t="str">
        <f t="shared" si="80"/>
        <v/>
      </c>
      <c r="P1254" t="str">
        <f t="shared" si="81"/>
        <v/>
      </c>
      <c r="Q1254" t="str">
        <f>IF(OR($P1254="",$S1254=""),"",IFERROR($P1254-INDEX(Config!$E$15:$E$18,MATCH($S1254,Config!$B$15:$B$18,0)),""))</f>
        <v/>
      </c>
      <c r="R1254" t="str">
        <f t="shared" si="82"/>
        <v/>
      </c>
      <c r="S1254" s="6" t="str">
        <f>IF(OR($A1254="",$C1254=""),"",IFERROR(INDEX(Turno!$C$3:$V$32,MATCH($C1254,Turno!$B$3:$B$32,0),MATCH(DAY($A1254),Turno!$C$1:$V$1,0)),""))</f>
        <v/>
      </c>
      <c r="T1254" t="str">
        <f>IF(OR($E1254="",$S1254=""),"",IFERROR(MAX(0,ROUND((INDEX(Config!$D$15:$D$18,MATCH($S1254,Config!$B$15:$B$18,0))-$E1254)*1440,0)),""))</f>
        <v/>
      </c>
      <c r="U1254" s="13" t="str">
        <f>IF(OR($N1254="",$T1254=""),"",IFERROR(MAX(0,1-($N1254+$T1254+MAX(0,N($Q1254)))/ROUND((INDEX(Config!$D$15:$D$18,MATCH($S1254,Config!$B$15:$B$18,0))-INDEX(Config!$C$15:$C$18,MATCH($S1254,Config!$B$15:$B$18,0)))*1440,0)),""))</f>
        <v/>
      </c>
      <c r="V1254" s="5"/>
    </row>
    <row r="1255" spans="1:22" x14ac:dyDescent="0.25">
      <c r="A1255" s="11"/>
      <c r="B1255" s="5"/>
      <c r="C1255" s="6" t="str">
        <f>IFERROR(INDEX(Ejecutivos!$B$2:$B$100,MATCH(B1255,Ejecutivos!$A$2:$A$100,0)),"")</f>
        <v/>
      </c>
      <c r="D1255" s="12"/>
      <c r="E1255" s="12"/>
      <c r="F1255" s="12"/>
      <c r="G1255" s="12"/>
      <c r="H1255" s="5"/>
      <c r="I1255" s="5"/>
      <c r="J1255" s="5"/>
      <c r="K1255" s="5"/>
      <c r="L1255" s="18">
        <v>0</v>
      </c>
      <c r="M1255" t="str">
        <f t="shared" si="79"/>
        <v/>
      </c>
      <c r="N1255" t="str">
        <f>IF(OR($D1255="",$S1255=""),"",IFERROR(MAX(0,ROUND(($D1255-INDEX(Config!$C$15:$C$18,MATCH($S1255,Config!$B$15:$B$18,0)))*24*60,0)),""))</f>
        <v/>
      </c>
      <c r="O1255" t="str">
        <f t="shared" si="80"/>
        <v/>
      </c>
      <c r="P1255" t="str">
        <f t="shared" si="81"/>
        <v/>
      </c>
      <c r="Q1255" t="str">
        <f>IF(OR($P1255="",$S1255=""),"",IFERROR($P1255-INDEX(Config!$E$15:$E$18,MATCH($S1255,Config!$B$15:$B$18,0)),""))</f>
        <v/>
      </c>
      <c r="R1255" t="str">
        <f t="shared" si="82"/>
        <v/>
      </c>
      <c r="S1255" s="6" t="str">
        <f>IF(OR($A1255="",$C1255=""),"",IFERROR(INDEX(Turno!$C$3:$V$32,MATCH($C1255,Turno!$B$3:$B$32,0),MATCH(DAY($A1255),Turno!$C$1:$V$1,0)),""))</f>
        <v/>
      </c>
      <c r="T1255" t="str">
        <f>IF(OR($E1255="",$S1255=""),"",IFERROR(MAX(0,ROUND((INDEX(Config!$D$15:$D$18,MATCH($S1255,Config!$B$15:$B$18,0))-$E1255)*1440,0)),""))</f>
        <v/>
      </c>
      <c r="U1255" s="13" t="str">
        <f>IF(OR($N1255="",$T1255=""),"",IFERROR(MAX(0,1-($N1255+$T1255+MAX(0,N($Q1255)))/ROUND((INDEX(Config!$D$15:$D$18,MATCH($S1255,Config!$B$15:$B$18,0))-INDEX(Config!$C$15:$C$18,MATCH($S1255,Config!$B$15:$B$18,0)))*1440,0)),""))</f>
        <v/>
      </c>
      <c r="V1255" s="5"/>
    </row>
    <row r="1256" spans="1:22" x14ac:dyDescent="0.25">
      <c r="A1256" s="11"/>
      <c r="B1256" s="5"/>
      <c r="C1256" s="6" t="str">
        <f>IFERROR(INDEX(Ejecutivos!$B$2:$B$100,MATCH(B1256,Ejecutivos!$A$2:$A$100,0)),"")</f>
        <v/>
      </c>
      <c r="D1256" s="12"/>
      <c r="E1256" s="12"/>
      <c r="F1256" s="12"/>
      <c r="G1256" s="12"/>
      <c r="H1256" s="5"/>
      <c r="I1256" s="5"/>
      <c r="J1256" s="5"/>
      <c r="K1256" s="5"/>
      <c r="L1256" s="18">
        <v>0</v>
      </c>
      <c r="M1256" t="str">
        <f t="shared" si="79"/>
        <v/>
      </c>
      <c r="N1256" t="str">
        <f>IF(OR($D1256="",$S1256=""),"",IFERROR(MAX(0,ROUND(($D1256-INDEX(Config!$C$15:$C$18,MATCH($S1256,Config!$B$15:$B$18,0)))*24*60,0)),""))</f>
        <v/>
      </c>
      <c r="O1256" t="str">
        <f t="shared" si="80"/>
        <v/>
      </c>
      <c r="P1256" t="str">
        <f t="shared" si="81"/>
        <v/>
      </c>
      <c r="Q1256" t="str">
        <f>IF(OR($P1256="",$S1256=""),"",IFERROR($P1256-INDEX(Config!$E$15:$E$18,MATCH($S1256,Config!$B$15:$B$18,0)),""))</f>
        <v/>
      </c>
      <c r="R1256" t="str">
        <f t="shared" si="82"/>
        <v/>
      </c>
      <c r="S1256" s="6" t="str">
        <f>IF(OR($A1256="",$C1256=""),"",IFERROR(INDEX(Turno!$C$3:$V$32,MATCH($C1256,Turno!$B$3:$B$32,0),MATCH(DAY($A1256),Turno!$C$1:$V$1,0)),""))</f>
        <v/>
      </c>
      <c r="T1256" t="str">
        <f>IF(OR($E1256="",$S1256=""),"",IFERROR(MAX(0,ROUND((INDEX(Config!$D$15:$D$18,MATCH($S1256,Config!$B$15:$B$18,0))-$E1256)*1440,0)),""))</f>
        <v/>
      </c>
      <c r="U1256" s="13" t="str">
        <f>IF(OR($N1256="",$T1256=""),"",IFERROR(MAX(0,1-($N1256+$T1256+MAX(0,N($Q1256)))/ROUND((INDEX(Config!$D$15:$D$18,MATCH($S1256,Config!$B$15:$B$18,0))-INDEX(Config!$C$15:$C$18,MATCH($S1256,Config!$B$15:$B$18,0)))*1440,0)),""))</f>
        <v/>
      </c>
      <c r="V1256" s="5"/>
    </row>
    <row r="1257" spans="1:22" x14ac:dyDescent="0.25">
      <c r="A1257" s="11"/>
      <c r="B1257" s="5"/>
      <c r="C1257" s="6" t="str">
        <f>IFERROR(INDEX(Ejecutivos!$B$2:$B$100,MATCH(B1257,Ejecutivos!$A$2:$A$100,0)),"")</f>
        <v/>
      </c>
      <c r="D1257" s="12"/>
      <c r="E1257" s="12"/>
      <c r="F1257" s="12"/>
      <c r="G1257" s="12"/>
      <c r="H1257" s="5"/>
      <c r="I1257" s="5"/>
      <c r="J1257" s="5"/>
      <c r="K1257" s="5"/>
      <c r="L1257" s="18">
        <v>0</v>
      </c>
      <c r="M1257" t="str">
        <f t="shared" si="79"/>
        <v/>
      </c>
      <c r="N1257" t="str">
        <f>IF(OR($D1257="",$S1257=""),"",IFERROR(MAX(0,ROUND(($D1257-INDEX(Config!$C$15:$C$18,MATCH($S1257,Config!$B$15:$B$18,0)))*24*60,0)),""))</f>
        <v/>
      </c>
      <c r="O1257" t="str">
        <f t="shared" si="80"/>
        <v/>
      </c>
      <c r="P1257" t="str">
        <f t="shared" si="81"/>
        <v/>
      </c>
      <c r="Q1257" t="str">
        <f>IF(OR($P1257="",$S1257=""),"",IFERROR($P1257-INDEX(Config!$E$15:$E$18,MATCH($S1257,Config!$B$15:$B$18,0)),""))</f>
        <v/>
      </c>
      <c r="R1257" t="str">
        <f t="shared" si="82"/>
        <v/>
      </c>
      <c r="S1257" s="6" t="str">
        <f>IF(OR($A1257="",$C1257=""),"",IFERROR(INDEX(Turno!$C$3:$V$32,MATCH($C1257,Turno!$B$3:$B$32,0),MATCH(DAY($A1257),Turno!$C$1:$V$1,0)),""))</f>
        <v/>
      </c>
      <c r="T1257" t="str">
        <f>IF(OR($E1257="",$S1257=""),"",IFERROR(MAX(0,ROUND((INDEX(Config!$D$15:$D$18,MATCH($S1257,Config!$B$15:$B$18,0))-$E1257)*1440,0)),""))</f>
        <v/>
      </c>
      <c r="U1257" s="13" t="str">
        <f>IF(OR($N1257="",$T1257=""),"",IFERROR(MAX(0,1-($N1257+$T1257+MAX(0,N($Q1257)))/ROUND((INDEX(Config!$D$15:$D$18,MATCH($S1257,Config!$B$15:$B$18,0))-INDEX(Config!$C$15:$C$18,MATCH($S1257,Config!$B$15:$B$18,0)))*1440,0)),""))</f>
        <v/>
      </c>
      <c r="V1257" s="5"/>
    </row>
    <row r="1258" spans="1:22" x14ac:dyDescent="0.25">
      <c r="A1258" s="11"/>
      <c r="B1258" s="5"/>
      <c r="C1258" s="6" t="str">
        <f>IFERROR(INDEX(Ejecutivos!$B$2:$B$100,MATCH(B1258,Ejecutivos!$A$2:$A$100,0)),"")</f>
        <v/>
      </c>
      <c r="D1258" s="12"/>
      <c r="E1258" s="12"/>
      <c r="F1258" s="12"/>
      <c r="G1258" s="12"/>
      <c r="H1258" s="5"/>
      <c r="I1258" s="5"/>
      <c r="J1258" s="5"/>
      <c r="K1258" s="5"/>
      <c r="L1258" s="18">
        <v>0</v>
      </c>
      <c r="M1258" t="str">
        <f t="shared" si="79"/>
        <v/>
      </c>
      <c r="N1258" t="str">
        <f>IF(OR($D1258="",$S1258=""),"",IFERROR(MAX(0,ROUND(($D1258-INDEX(Config!$C$15:$C$18,MATCH($S1258,Config!$B$15:$B$18,0)))*24*60,0)),""))</f>
        <v/>
      </c>
      <c r="O1258" t="str">
        <f t="shared" si="80"/>
        <v/>
      </c>
      <c r="P1258" t="str">
        <f t="shared" si="81"/>
        <v/>
      </c>
      <c r="Q1258" t="str">
        <f>IF(OR($P1258="",$S1258=""),"",IFERROR($P1258-INDEX(Config!$E$15:$E$18,MATCH($S1258,Config!$B$15:$B$18,0)),""))</f>
        <v/>
      </c>
      <c r="R1258" t="str">
        <f t="shared" si="82"/>
        <v/>
      </c>
      <c r="S1258" s="6" t="str">
        <f>IF(OR($A1258="",$C1258=""),"",IFERROR(INDEX(Turno!$C$3:$V$32,MATCH($C1258,Turno!$B$3:$B$32,0),MATCH(DAY($A1258),Turno!$C$1:$V$1,0)),""))</f>
        <v/>
      </c>
      <c r="T1258" t="str">
        <f>IF(OR($E1258="",$S1258=""),"",IFERROR(MAX(0,ROUND((INDEX(Config!$D$15:$D$18,MATCH($S1258,Config!$B$15:$B$18,0))-$E1258)*1440,0)),""))</f>
        <v/>
      </c>
      <c r="U1258" s="13" t="str">
        <f>IF(OR($N1258="",$T1258=""),"",IFERROR(MAX(0,1-($N1258+$T1258+MAX(0,N($Q1258)))/ROUND((INDEX(Config!$D$15:$D$18,MATCH($S1258,Config!$B$15:$B$18,0))-INDEX(Config!$C$15:$C$18,MATCH($S1258,Config!$B$15:$B$18,0)))*1440,0)),""))</f>
        <v/>
      </c>
      <c r="V1258" s="5"/>
    </row>
    <row r="1259" spans="1:22" x14ac:dyDescent="0.25">
      <c r="A1259" s="11"/>
      <c r="B1259" s="5"/>
      <c r="C1259" s="6" t="str">
        <f>IFERROR(INDEX(Ejecutivos!$B$2:$B$100,MATCH(B1259,Ejecutivos!$A$2:$A$100,0)),"")</f>
        <v/>
      </c>
      <c r="D1259" s="12"/>
      <c r="E1259" s="12"/>
      <c r="F1259" s="12"/>
      <c r="G1259" s="12"/>
      <c r="H1259" s="5"/>
      <c r="I1259" s="5"/>
      <c r="J1259" s="5"/>
      <c r="K1259" s="5"/>
      <c r="L1259" s="18">
        <v>0</v>
      </c>
      <c r="M1259" t="str">
        <f t="shared" si="79"/>
        <v/>
      </c>
      <c r="N1259" t="str">
        <f>IF(OR($D1259="",$S1259=""),"",IFERROR(MAX(0,ROUND(($D1259-INDEX(Config!$C$15:$C$18,MATCH($S1259,Config!$B$15:$B$18,0)))*24*60,0)),""))</f>
        <v/>
      </c>
      <c r="O1259" t="str">
        <f t="shared" si="80"/>
        <v/>
      </c>
      <c r="P1259" t="str">
        <f t="shared" si="81"/>
        <v/>
      </c>
      <c r="Q1259" t="str">
        <f>IF(OR($P1259="",$S1259=""),"",IFERROR($P1259-INDEX(Config!$E$15:$E$18,MATCH($S1259,Config!$B$15:$B$18,0)),""))</f>
        <v/>
      </c>
      <c r="R1259" t="str">
        <f t="shared" si="82"/>
        <v/>
      </c>
      <c r="S1259" s="6" t="str">
        <f>IF(OR($A1259="",$C1259=""),"",IFERROR(INDEX(Turno!$C$3:$V$32,MATCH($C1259,Turno!$B$3:$B$32,0),MATCH(DAY($A1259),Turno!$C$1:$V$1,0)),""))</f>
        <v/>
      </c>
      <c r="T1259" t="str">
        <f>IF(OR($E1259="",$S1259=""),"",IFERROR(MAX(0,ROUND((INDEX(Config!$D$15:$D$18,MATCH($S1259,Config!$B$15:$B$18,0))-$E1259)*1440,0)),""))</f>
        <v/>
      </c>
      <c r="U1259" s="13" t="str">
        <f>IF(OR($N1259="",$T1259=""),"",IFERROR(MAX(0,1-($N1259+$T1259+MAX(0,N($Q1259)))/ROUND((INDEX(Config!$D$15:$D$18,MATCH($S1259,Config!$B$15:$B$18,0))-INDEX(Config!$C$15:$C$18,MATCH($S1259,Config!$B$15:$B$18,0)))*1440,0)),""))</f>
        <v/>
      </c>
      <c r="V1259" s="5"/>
    </row>
    <row r="1260" spans="1:22" x14ac:dyDescent="0.25">
      <c r="A1260" s="11"/>
      <c r="B1260" s="5"/>
      <c r="C1260" s="6" t="str">
        <f>IFERROR(INDEX(Ejecutivos!$B$2:$B$100,MATCH(B1260,Ejecutivos!$A$2:$A$100,0)),"")</f>
        <v/>
      </c>
      <c r="D1260" s="12"/>
      <c r="E1260" s="12"/>
      <c r="F1260" s="12"/>
      <c r="G1260" s="12"/>
      <c r="H1260" s="5"/>
      <c r="I1260" s="5"/>
      <c r="J1260" s="5"/>
      <c r="K1260" s="5"/>
      <c r="L1260" s="18">
        <v>0</v>
      </c>
      <c r="M1260" t="str">
        <f t="shared" si="79"/>
        <v/>
      </c>
      <c r="N1260" t="str">
        <f>IF(OR($D1260="",$S1260=""),"",IFERROR(MAX(0,ROUND(($D1260-INDEX(Config!$C$15:$C$18,MATCH($S1260,Config!$B$15:$B$18,0)))*24*60,0)),""))</f>
        <v/>
      </c>
      <c r="O1260" t="str">
        <f t="shared" si="80"/>
        <v/>
      </c>
      <c r="P1260" t="str">
        <f t="shared" si="81"/>
        <v/>
      </c>
      <c r="Q1260" t="str">
        <f>IF(OR($P1260="",$S1260=""),"",IFERROR($P1260-INDEX(Config!$E$15:$E$18,MATCH($S1260,Config!$B$15:$B$18,0)),""))</f>
        <v/>
      </c>
      <c r="R1260" t="str">
        <f t="shared" si="82"/>
        <v/>
      </c>
      <c r="S1260" s="6" t="str">
        <f>IF(OR($A1260="",$C1260=""),"",IFERROR(INDEX(Turno!$C$3:$V$32,MATCH($C1260,Turno!$B$3:$B$32,0),MATCH(DAY($A1260),Turno!$C$1:$V$1,0)),""))</f>
        <v/>
      </c>
      <c r="T1260" t="str">
        <f>IF(OR($E1260="",$S1260=""),"",IFERROR(MAX(0,ROUND((INDEX(Config!$D$15:$D$18,MATCH($S1260,Config!$B$15:$B$18,0))-$E1260)*1440,0)),""))</f>
        <v/>
      </c>
      <c r="U1260" s="13" t="str">
        <f>IF(OR($N1260="",$T1260=""),"",IFERROR(MAX(0,1-($N1260+$T1260+MAX(0,N($Q1260)))/ROUND((INDEX(Config!$D$15:$D$18,MATCH($S1260,Config!$B$15:$B$18,0))-INDEX(Config!$C$15:$C$18,MATCH($S1260,Config!$B$15:$B$18,0)))*1440,0)),""))</f>
        <v/>
      </c>
      <c r="V1260" s="5"/>
    </row>
    <row r="1261" spans="1:22" x14ac:dyDescent="0.25">
      <c r="A1261" s="11"/>
      <c r="B1261" s="5"/>
      <c r="C1261" s="6" t="str">
        <f>IFERROR(INDEX(Ejecutivos!$B$2:$B$100,MATCH(B1261,Ejecutivos!$A$2:$A$100,0)),"")</f>
        <v/>
      </c>
      <c r="D1261" s="12"/>
      <c r="E1261" s="12"/>
      <c r="F1261" s="12"/>
      <c r="G1261" s="12"/>
      <c r="H1261" s="5"/>
      <c r="I1261" s="5"/>
      <c r="J1261" s="5"/>
      <c r="K1261" s="5"/>
      <c r="L1261" s="18">
        <v>0</v>
      </c>
      <c r="M1261" t="str">
        <f t="shared" si="79"/>
        <v/>
      </c>
      <c r="N1261" t="str">
        <f>IF(OR($D1261="",$S1261=""),"",IFERROR(MAX(0,ROUND(($D1261-INDEX(Config!$C$15:$C$18,MATCH($S1261,Config!$B$15:$B$18,0)))*24*60,0)),""))</f>
        <v/>
      </c>
      <c r="O1261" t="str">
        <f t="shared" si="80"/>
        <v/>
      </c>
      <c r="P1261" t="str">
        <f t="shared" si="81"/>
        <v/>
      </c>
      <c r="Q1261" t="str">
        <f>IF(OR($P1261="",$S1261=""),"",IFERROR($P1261-INDEX(Config!$E$15:$E$18,MATCH($S1261,Config!$B$15:$B$18,0)),""))</f>
        <v/>
      </c>
      <c r="R1261" t="str">
        <f t="shared" si="82"/>
        <v/>
      </c>
      <c r="S1261" s="6" t="str">
        <f>IF(OR($A1261="",$C1261=""),"",IFERROR(INDEX(Turno!$C$3:$V$32,MATCH($C1261,Turno!$B$3:$B$32,0),MATCH(DAY($A1261),Turno!$C$1:$V$1,0)),""))</f>
        <v/>
      </c>
      <c r="T1261" t="str">
        <f>IF(OR($E1261="",$S1261=""),"",IFERROR(MAX(0,ROUND((INDEX(Config!$D$15:$D$18,MATCH($S1261,Config!$B$15:$B$18,0))-$E1261)*1440,0)),""))</f>
        <v/>
      </c>
      <c r="U1261" s="13" t="str">
        <f>IF(OR($N1261="",$T1261=""),"",IFERROR(MAX(0,1-($N1261+$T1261+MAX(0,N($Q1261)))/ROUND((INDEX(Config!$D$15:$D$18,MATCH($S1261,Config!$B$15:$B$18,0))-INDEX(Config!$C$15:$C$18,MATCH($S1261,Config!$B$15:$B$18,0)))*1440,0)),""))</f>
        <v/>
      </c>
      <c r="V1261" s="5"/>
    </row>
    <row r="1262" spans="1:22" x14ac:dyDescent="0.25">
      <c r="A1262" s="11"/>
      <c r="B1262" s="5"/>
      <c r="C1262" s="6" t="str">
        <f>IFERROR(INDEX(Ejecutivos!$B$2:$B$100,MATCH(B1262,Ejecutivos!$A$2:$A$100,0)),"")</f>
        <v/>
      </c>
      <c r="D1262" s="12"/>
      <c r="E1262" s="12"/>
      <c r="F1262" s="12"/>
      <c r="G1262" s="12"/>
      <c r="H1262" s="5"/>
      <c r="I1262" s="5"/>
      <c r="J1262" s="5"/>
      <c r="K1262" s="5"/>
      <c r="L1262" s="18">
        <v>0</v>
      </c>
      <c r="M1262" t="str">
        <f t="shared" si="79"/>
        <v/>
      </c>
      <c r="N1262" t="str">
        <f>IF(OR($D1262="",$S1262=""),"",IFERROR(MAX(0,ROUND(($D1262-INDEX(Config!$C$15:$C$18,MATCH($S1262,Config!$B$15:$B$18,0)))*24*60,0)),""))</f>
        <v/>
      </c>
      <c r="O1262" t="str">
        <f t="shared" si="80"/>
        <v/>
      </c>
      <c r="P1262" t="str">
        <f t="shared" si="81"/>
        <v/>
      </c>
      <c r="Q1262" t="str">
        <f>IF(OR($P1262="",$S1262=""),"",IFERROR($P1262-INDEX(Config!$E$15:$E$18,MATCH($S1262,Config!$B$15:$B$18,0)),""))</f>
        <v/>
      </c>
      <c r="R1262" t="str">
        <f t="shared" si="82"/>
        <v/>
      </c>
      <c r="S1262" s="6" t="str">
        <f>IF(OR($A1262="",$C1262=""),"",IFERROR(INDEX(Turno!$C$3:$V$32,MATCH($C1262,Turno!$B$3:$B$32,0),MATCH(DAY($A1262),Turno!$C$1:$V$1,0)),""))</f>
        <v/>
      </c>
      <c r="T1262" t="str">
        <f>IF(OR($E1262="",$S1262=""),"",IFERROR(MAX(0,ROUND((INDEX(Config!$D$15:$D$18,MATCH($S1262,Config!$B$15:$B$18,0))-$E1262)*1440,0)),""))</f>
        <v/>
      </c>
      <c r="U1262" s="13" t="str">
        <f>IF(OR($N1262="",$T1262=""),"",IFERROR(MAX(0,1-($N1262+$T1262+MAX(0,N($Q1262)))/ROUND((INDEX(Config!$D$15:$D$18,MATCH($S1262,Config!$B$15:$B$18,0))-INDEX(Config!$C$15:$C$18,MATCH($S1262,Config!$B$15:$B$18,0)))*1440,0)),""))</f>
        <v/>
      </c>
      <c r="V1262" s="5"/>
    </row>
    <row r="1263" spans="1:22" x14ac:dyDescent="0.25">
      <c r="A1263" s="11"/>
      <c r="B1263" s="5"/>
      <c r="C1263" s="6" t="str">
        <f>IFERROR(INDEX(Ejecutivos!$B$2:$B$100,MATCH(B1263,Ejecutivos!$A$2:$A$100,0)),"")</f>
        <v/>
      </c>
      <c r="D1263" s="12"/>
      <c r="E1263" s="12"/>
      <c r="F1263" s="12"/>
      <c r="G1263" s="12"/>
      <c r="H1263" s="5"/>
      <c r="I1263" s="5"/>
      <c r="J1263" s="5"/>
      <c r="K1263" s="5"/>
      <c r="L1263" s="18">
        <v>0</v>
      </c>
      <c r="M1263" t="str">
        <f t="shared" si="79"/>
        <v/>
      </c>
      <c r="N1263" t="str">
        <f>IF(OR($D1263="",$S1263=""),"",IFERROR(MAX(0,ROUND(($D1263-INDEX(Config!$C$15:$C$18,MATCH($S1263,Config!$B$15:$B$18,0)))*24*60,0)),""))</f>
        <v/>
      </c>
      <c r="O1263" t="str">
        <f t="shared" si="80"/>
        <v/>
      </c>
      <c r="P1263" t="str">
        <f t="shared" si="81"/>
        <v/>
      </c>
      <c r="Q1263" t="str">
        <f>IF(OR($P1263="",$S1263=""),"",IFERROR($P1263-INDEX(Config!$E$15:$E$18,MATCH($S1263,Config!$B$15:$B$18,0)),""))</f>
        <v/>
      </c>
      <c r="R1263" t="str">
        <f t="shared" si="82"/>
        <v/>
      </c>
      <c r="S1263" s="6" t="str">
        <f>IF(OR($A1263="",$C1263=""),"",IFERROR(INDEX(Turno!$C$3:$V$32,MATCH($C1263,Turno!$B$3:$B$32,0),MATCH(DAY($A1263),Turno!$C$1:$V$1,0)),""))</f>
        <v/>
      </c>
      <c r="T1263" t="str">
        <f>IF(OR($E1263="",$S1263=""),"",IFERROR(MAX(0,ROUND((INDEX(Config!$D$15:$D$18,MATCH($S1263,Config!$B$15:$B$18,0))-$E1263)*1440,0)),""))</f>
        <v/>
      </c>
      <c r="U1263" s="13" t="str">
        <f>IF(OR($N1263="",$T1263=""),"",IFERROR(MAX(0,1-($N1263+$T1263+MAX(0,N($Q1263)))/ROUND((INDEX(Config!$D$15:$D$18,MATCH($S1263,Config!$B$15:$B$18,0))-INDEX(Config!$C$15:$C$18,MATCH($S1263,Config!$B$15:$B$18,0)))*1440,0)),""))</f>
        <v/>
      </c>
      <c r="V1263" s="5"/>
    </row>
    <row r="1264" spans="1:22" x14ac:dyDescent="0.25">
      <c r="A1264" s="11"/>
      <c r="B1264" s="5"/>
      <c r="C1264" s="6" t="str">
        <f>IFERROR(INDEX(Ejecutivos!$B$2:$B$100,MATCH(B1264,Ejecutivos!$A$2:$A$100,0)),"")</f>
        <v/>
      </c>
      <c r="D1264" s="12"/>
      <c r="E1264" s="12"/>
      <c r="F1264" s="12"/>
      <c r="G1264" s="12"/>
      <c r="H1264" s="5"/>
      <c r="I1264" s="5"/>
      <c r="J1264" s="5"/>
      <c r="K1264" s="5"/>
      <c r="L1264" s="18">
        <v>0</v>
      </c>
      <c r="M1264" t="str">
        <f t="shared" si="79"/>
        <v/>
      </c>
      <c r="N1264" t="str">
        <f>IF(OR($D1264="",$S1264=""),"",IFERROR(MAX(0,ROUND(($D1264-INDEX(Config!$C$15:$C$18,MATCH($S1264,Config!$B$15:$B$18,0)))*24*60,0)),""))</f>
        <v/>
      </c>
      <c r="O1264" t="str">
        <f t="shared" si="80"/>
        <v/>
      </c>
      <c r="P1264" t="str">
        <f t="shared" si="81"/>
        <v/>
      </c>
      <c r="Q1264" t="str">
        <f>IF(OR($P1264="",$S1264=""),"",IFERROR($P1264-INDEX(Config!$E$15:$E$18,MATCH($S1264,Config!$B$15:$B$18,0)),""))</f>
        <v/>
      </c>
      <c r="R1264" t="str">
        <f t="shared" si="82"/>
        <v/>
      </c>
      <c r="S1264" s="6" t="str">
        <f>IF(OR($A1264="",$C1264=""),"",IFERROR(INDEX(Turno!$C$3:$V$32,MATCH($C1264,Turno!$B$3:$B$32,0),MATCH(DAY($A1264),Turno!$C$1:$V$1,0)),""))</f>
        <v/>
      </c>
      <c r="T1264" t="str">
        <f>IF(OR($E1264="",$S1264=""),"",IFERROR(MAX(0,ROUND((INDEX(Config!$D$15:$D$18,MATCH($S1264,Config!$B$15:$B$18,0))-$E1264)*1440,0)),""))</f>
        <v/>
      </c>
      <c r="U1264" s="13" t="str">
        <f>IF(OR($N1264="",$T1264=""),"",IFERROR(MAX(0,1-($N1264+$T1264+MAX(0,N($Q1264)))/ROUND((INDEX(Config!$D$15:$D$18,MATCH($S1264,Config!$B$15:$B$18,0))-INDEX(Config!$C$15:$C$18,MATCH($S1264,Config!$B$15:$B$18,0)))*1440,0)),""))</f>
        <v/>
      </c>
      <c r="V1264" s="5"/>
    </row>
    <row r="1265" spans="1:22" x14ac:dyDescent="0.25">
      <c r="A1265" s="11"/>
      <c r="B1265" s="5"/>
      <c r="C1265" s="6" t="str">
        <f>IFERROR(INDEX(Ejecutivos!$B$2:$B$100,MATCH(B1265,Ejecutivos!$A$2:$A$100,0)),"")</f>
        <v/>
      </c>
      <c r="D1265" s="12"/>
      <c r="E1265" s="12"/>
      <c r="F1265" s="12"/>
      <c r="G1265" s="12"/>
      <c r="H1265" s="5"/>
      <c r="I1265" s="5"/>
      <c r="J1265" s="5"/>
      <c r="K1265" s="5"/>
      <c r="L1265" s="18">
        <v>0</v>
      </c>
      <c r="M1265" t="str">
        <f t="shared" si="79"/>
        <v/>
      </c>
      <c r="N1265" t="str">
        <f>IF(OR($D1265="",$S1265=""),"",IFERROR(MAX(0,ROUND(($D1265-INDEX(Config!$C$15:$C$18,MATCH($S1265,Config!$B$15:$B$18,0)))*24*60,0)),""))</f>
        <v/>
      </c>
      <c r="O1265" t="str">
        <f t="shared" si="80"/>
        <v/>
      </c>
      <c r="P1265" t="str">
        <f t="shared" si="81"/>
        <v/>
      </c>
      <c r="Q1265" t="str">
        <f>IF(OR($P1265="",$S1265=""),"",IFERROR($P1265-INDEX(Config!$E$15:$E$18,MATCH($S1265,Config!$B$15:$B$18,0)),""))</f>
        <v/>
      </c>
      <c r="R1265" t="str">
        <f t="shared" si="82"/>
        <v/>
      </c>
      <c r="S1265" s="6" t="str">
        <f>IF(OR($A1265="",$C1265=""),"",IFERROR(INDEX(Turno!$C$3:$V$32,MATCH($C1265,Turno!$B$3:$B$32,0),MATCH(DAY($A1265),Turno!$C$1:$V$1,0)),""))</f>
        <v/>
      </c>
      <c r="T1265" t="str">
        <f>IF(OR($E1265="",$S1265=""),"",IFERROR(MAX(0,ROUND((INDEX(Config!$D$15:$D$18,MATCH($S1265,Config!$B$15:$B$18,0))-$E1265)*1440,0)),""))</f>
        <v/>
      </c>
      <c r="U1265" s="13" t="str">
        <f>IF(OR($N1265="",$T1265=""),"",IFERROR(MAX(0,1-($N1265+$T1265+MAX(0,N($Q1265)))/ROUND((INDEX(Config!$D$15:$D$18,MATCH($S1265,Config!$B$15:$B$18,0))-INDEX(Config!$C$15:$C$18,MATCH($S1265,Config!$B$15:$B$18,0)))*1440,0)),""))</f>
        <v/>
      </c>
      <c r="V1265" s="5"/>
    </row>
    <row r="1266" spans="1:22" x14ac:dyDescent="0.25">
      <c r="A1266" s="11"/>
      <c r="B1266" s="5"/>
      <c r="C1266" s="6" t="str">
        <f>IFERROR(INDEX(Ejecutivos!$B$2:$B$100,MATCH(B1266,Ejecutivos!$A$2:$A$100,0)),"")</f>
        <v/>
      </c>
      <c r="D1266" s="12"/>
      <c r="E1266" s="12"/>
      <c r="F1266" s="12"/>
      <c r="G1266" s="12"/>
      <c r="H1266" s="5"/>
      <c r="I1266" s="5"/>
      <c r="J1266" s="5"/>
      <c r="K1266" s="5"/>
      <c r="L1266" s="18">
        <v>0</v>
      </c>
      <c r="M1266" t="str">
        <f t="shared" si="79"/>
        <v/>
      </c>
      <c r="N1266" t="str">
        <f>IF(OR($D1266="",$S1266=""),"",IFERROR(MAX(0,ROUND(($D1266-INDEX(Config!$C$15:$C$18,MATCH($S1266,Config!$B$15:$B$18,0)))*24*60,0)),""))</f>
        <v/>
      </c>
      <c r="O1266" t="str">
        <f t="shared" si="80"/>
        <v/>
      </c>
      <c r="P1266" t="str">
        <f t="shared" si="81"/>
        <v/>
      </c>
      <c r="Q1266" t="str">
        <f>IF(OR($P1266="",$S1266=""),"",IFERROR($P1266-INDEX(Config!$E$15:$E$18,MATCH($S1266,Config!$B$15:$B$18,0)),""))</f>
        <v/>
      </c>
      <c r="R1266" t="str">
        <f t="shared" si="82"/>
        <v/>
      </c>
      <c r="S1266" s="6" t="str">
        <f>IF(OR($A1266="",$C1266=""),"",IFERROR(INDEX(Turno!$C$3:$V$32,MATCH($C1266,Turno!$B$3:$B$32,0),MATCH(DAY($A1266),Turno!$C$1:$V$1,0)),""))</f>
        <v/>
      </c>
      <c r="T1266" t="str">
        <f>IF(OR($E1266="",$S1266=""),"",IFERROR(MAX(0,ROUND((INDEX(Config!$D$15:$D$18,MATCH($S1266,Config!$B$15:$B$18,0))-$E1266)*1440,0)),""))</f>
        <v/>
      </c>
      <c r="U1266" s="13" t="str">
        <f>IF(OR($N1266="",$T1266=""),"",IFERROR(MAX(0,1-($N1266+$T1266+MAX(0,N($Q1266)))/ROUND((INDEX(Config!$D$15:$D$18,MATCH($S1266,Config!$B$15:$B$18,0))-INDEX(Config!$C$15:$C$18,MATCH($S1266,Config!$B$15:$B$18,0)))*1440,0)),""))</f>
        <v/>
      </c>
      <c r="V1266" s="5"/>
    </row>
    <row r="1267" spans="1:22" x14ac:dyDescent="0.25">
      <c r="A1267" s="11"/>
      <c r="B1267" s="5"/>
      <c r="C1267" s="6" t="str">
        <f>IFERROR(INDEX(Ejecutivos!$B$2:$B$100,MATCH(B1267,Ejecutivos!$A$2:$A$100,0)),"")</f>
        <v/>
      </c>
      <c r="D1267" s="12"/>
      <c r="E1267" s="12"/>
      <c r="F1267" s="12"/>
      <c r="G1267" s="12"/>
      <c r="H1267" s="5"/>
      <c r="I1267" s="5"/>
      <c r="J1267" s="5"/>
      <c r="K1267" s="5"/>
      <c r="L1267" s="18">
        <v>0</v>
      </c>
      <c r="M1267" t="str">
        <f t="shared" si="79"/>
        <v/>
      </c>
      <c r="N1267" t="str">
        <f>IF(OR($D1267="",$S1267=""),"",IFERROR(MAX(0,ROUND(($D1267-INDEX(Config!$C$15:$C$18,MATCH($S1267,Config!$B$15:$B$18,0)))*24*60,0)),""))</f>
        <v/>
      </c>
      <c r="O1267" t="str">
        <f t="shared" si="80"/>
        <v/>
      </c>
      <c r="P1267" t="str">
        <f t="shared" si="81"/>
        <v/>
      </c>
      <c r="Q1267" t="str">
        <f>IF(OR($P1267="",$S1267=""),"",IFERROR($P1267-INDEX(Config!$E$15:$E$18,MATCH($S1267,Config!$B$15:$B$18,0)),""))</f>
        <v/>
      </c>
      <c r="R1267" t="str">
        <f t="shared" si="82"/>
        <v/>
      </c>
      <c r="S1267" s="6" t="str">
        <f>IF(OR($A1267="",$C1267=""),"",IFERROR(INDEX(Turno!$C$3:$V$32,MATCH($C1267,Turno!$B$3:$B$32,0),MATCH(DAY($A1267),Turno!$C$1:$V$1,0)),""))</f>
        <v/>
      </c>
      <c r="T1267" t="str">
        <f>IF(OR($E1267="",$S1267=""),"",IFERROR(MAX(0,ROUND((INDEX(Config!$D$15:$D$18,MATCH($S1267,Config!$B$15:$B$18,0))-$E1267)*1440,0)),""))</f>
        <v/>
      </c>
      <c r="U1267" s="13" t="str">
        <f>IF(OR($N1267="",$T1267=""),"",IFERROR(MAX(0,1-($N1267+$T1267+MAX(0,N($Q1267)))/ROUND((INDEX(Config!$D$15:$D$18,MATCH($S1267,Config!$B$15:$B$18,0))-INDEX(Config!$C$15:$C$18,MATCH($S1267,Config!$B$15:$B$18,0)))*1440,0)),""))</f>
        <v/>
      </c>
      <c r="V1267" s="5"/>
    </row>
    <row r="1268" spans="1:22" x14ac:dyDescent="0.25">
      <c r="A1268" s="11"/>
      <c r="B1268" s="5"/>
      <c r="C1268" s="6" t="str">
        <f>IFERROR(INDEX(Ejecutivos!$B$2:$B$100,MATCH(B1268,Ejecutivos!$A$2:$A$100,0)),"")</f>
        <v/>
      </c>
      <c r="D1268" s="12"/>
      <c r="E1268" s="12"/>
      <c r="F1268" s="12"/>
      <c r="G1268" s="12"/>
      <c r="H1268" s="5"/>
      <c r="I1268" s="5"/>
      <c r="J1268" s="5"/>
      <c r="K1268" s="5"/>
      <c r="L1268" s="18">
        <v>0</v>
      </c>
      <c r="M1268" t="str">
        <f t="shared" si="79"/>
        <v/>
      </c>
      <c r="N1268" t="str">
        <f>IF(OR($D1268="",$S1268=""),"",IFERROR(MAX(0,ROUND(($D1268-INDEX(Config!$C$15:$C$18,MATCH($S1268,Config!$B$15:$B$18,0)))*24*60,0)),""))</f>
        <v/>
      </c>
      <c r="O1268" t="str">
        <f t="shared" si="80"/>
        <v/>
      </c>
      <c r="P1268" t="str">
        <f t="shared" si="81"/>
        <v/>
      </c>
      <c r="Q1268" t="str">
        <f>IF(OR($P1268="",$S1268=""),"",IFERROR($P1268-INDEX(Config!$E$15:$E$18,MATCH($S1268,Config!$B$15:$B$18,0)),""))</f>
        <v/>
      </c>
      <c r="R1268" t="str">
        <f t="shared" si="82"/>
        <v/>
      </c>
      <c r="S1268" s="6" t="str">
        <f>IF(OR($A1268="",$C1268=""),"",IFERROR(INDEX(Turno!$C$3:$V$32,MATCH($C1268,Turno!$B$3:$B$32,0),MATCH(DAY($A1268),Turno!$C$1:$V$1,0)),""))</f>
        <v/>
      </c>
      <c r="T1268" t="str">
        <f>IF(OR($E1268="",$S1268=""),"",IFERROR(MAX(0,ROUND((INDEX(Config!$D$15:$D$18,MATCH($S1268,Config!$B$15:$B$18,0))-$E1268)*1440,0)),""))</f>
        <v/>
      </c>
      <c r="U1268" s="13" t="str">
        <f>IF(OR($N1268="",$T1268=""),"",IFERROR(MAX(0,1-($N1268+$T1268+MAX(0,N($Q1268)))/ROUND((INDEX(Config!$D$15:$D$18,MATCH($S1268,Config!$B$15:$B$18,0))-INDEX(Config!$C$15:$C$18,MATCH($S1268,Config!$B$15:$B$18,0)))*1440,0)),""))</f>
        <v/>
      </c>
      <c r="V1268" s="5"/>
    </row>
    <row r="1269" spans="1:22" x14ac:dyDescent="0.25">
      <c r="A1269" s="11"/>
      <c r="B1269" s="5"/>
      <c r="C1269" s="6" t="str">
        <f>IFERROR(INDEX(Ejecutivos!$B$2:$B$100,MATCH(B1269,Ejecutivos!$A$2:$A$100,0)),"")</f>
        <v/>
      </c>
      <c r="D1269" s="12"/>
      <c r="E1269" s="12"/>
      <c r="F1269" s="12"/>
      <c r="G1269" s="12"/>
      <c r="H1269" s="5"/>
      <c r="I1269" s="5"/>
      <c r="J1269" s="5"/>
      <c r="K1269" s="5"/>
      <c r="L1269" s="18">
        <v>0</v>
      </c>
      <c r="M1269" t="str">
        <f t="shared" ref="M1269:M1332" si="83">IF(OR(D1269="",E1269=""),"",ROUND(((E1269-D1269)*24)-((G1269-F1269)*24)-((H1269+I1269)/60),2))</f>
        <v/>
      </c>
      <c r="N1269" t="str">
        <f>IF(OR($D1269="",$S1269=""),"",IFERROR(MAX(0,ROUND(($D1269-INDEX(Config!$C$15:$C$18,MATCH($S1269,Config!$B$15:$B$18,0)))*24*60,0)),""))</f>
        <v/>
      </c>
      <c r="O1269" t="str">
        <f t="shared" ref="O1269:O1332" si="84">IF(OR(F1269="",G1269=""),"",ROUND((G1269-F1269)*24*60,0))</f>
        <v/>
      </c>
      <c r="P1269" t="str">
        <f t="shared" ref="P1269:P1332" si="85">IF(O1269="","",O1269+H1269+I1269)</f>
        <v/>
      </c>
      <c r="Q1269" t="str">
        <f>IF(OR($P1269="",$S1269=""),"",IFERROR($P1269-INDEX(Config!$E$15:$E$18,MATCH($S1269,Config!$B$15:$B$18,0)),""))</f>
        <v/>
      </c>
      <c r="R1269" t="str">
        <f t="shared" ref="R1269:R1332" si="86">IF($A1269="","",IF($D1269="","Ausente",IF($N1269="","",IF($N1269&gt;0,"Atrasado","Puntual"))))</f>
        <v/>
      </c>
      <c r="S1269" s="6" t="str">
        <f>IF(OR($A1269="",$C1269=""),"",IFERROR(INDEX(Turno!$C$3:$V$32,MATCH($C1269,Turno!$B$3:$B$32,0),MATCH(DAY($A1269),Turno!$C$1:$V$1,0)),""))</f>
        <v/>
      </c>
      <c r="T1269" t="str">
        <f>IF(OR($E1269="",$S1269=""),"",IFERROR(MAX(0,ROUND((INDEX(Config!$D$15:$D$18,MATCH($S1269,Config!$B$15:$B$18,0))-$E1269)*1440,0)),""))</f>
        <v/>
      </c>
      <c r="U1269" s="13" t="str">
        <f>IF(OR($N1269="",$T1269=""),"",IFERROR(MAX(0,1-($N1269+$T1269+MAX(0,N($Q1269)))/ROUND((INDEX(Config!$D$15:$D$18,MATCH($S1269,Config!$B$15:$B$18,0))-INDEX(Config!$C$15:$C$18,MATCH($S1269,Config!$B$15:$B$18,0)))*1440,0)),""))</f>
        <v/>
      </c>
      <c r="V1269" s="5"/>
    </row>
    <row r="1270" spans="1:22" x14ac:dyDescent="0.25">
      <c r="A1270" s="11"/>
      <c r="B1270" s="5"/>
      <c r="C1270" s="6" t="str">
        <f>IFERROR(INDEX(Ejecutivos!$B$2:$B$100,MATCH(B1270,Ejecutivos!$A$2:$A$100,0)),"")</f>
        <v/>
      </c>
      <c r="D1270" s="12"/>
      <c r="E1270" s="12"/>
      <c r="F1270" s="12"/>
      <c r="G1270" s="12"/>
      <c r="H1270" s="5"/>
      <c r="I1270" s="5"/>
      <c r="J1270" s="5"/>
      <c r="K1270" s="5"/>
      <c r="L1270" s="18">
        <v>0</v>
      </c>
      <c r="M1270" t="str">
        <f t="shared" si="83"/>
        <v/>
      </c>
      <c r="N1270" t="str">
        <f>IF(OR($D1270="",$S1270=""),"",IFERROR(MAX(0,ROUND(($D1270-INDEX(Config!$C$15:$C$18,MATCH($S1270,Config!$B$15:$B$18,0)))*24*60,0)),""))</f>
        <v/>
      </c>
      <c r="O1270" t="str">
        <f t="shared" si="84"/>
        <v/>
      </c>
      <c r="P1270" t="str">
        <f t="shared" si="85"/>
        <v/>
      </c>
      <c r="Q1270" t="str">
        <f>IF(OR($P1270="",$S1270=""),"",IFERROR($P1270-INDEX(Config!$E$15:$E$18,MATCH($S1270,Config!$B$15:$B$18,0)),""))</f>
        <v/>
      </c>
      <c r="R1270" t="str">
        <f t="shared" si="86"/>
        <v/>
      </c>
      <c r="S1270" s="6" t="str">
        <f>IF(OR($A1270="",$C1270=""),"",IFERROR(INDEX(Turno!$C$3:$V$32,MATCH($C1270,Turno!$B$3:$B$32,0),MATCH(DAY($A1270),Turno!$C$1:$V$1,0)),""))</f>
        <v/>
      </c>
      <c r="T1270" t="str">
        <f>IF(OR($E1270="",$S1270=""),"",IFERROR(MAX(0,ROUND((INDEX(Config!$D$15:$D$18,MATCH($S1270,Config!$B$15:$B$18,0))-$E1270)*1440,0)),""))</f>
        <v/>
      </c>
      <c r="U1270" s="13" t="str">
        <f>IF(OR($N1270="",$T1270=""),"",IFERROR(MAX(0,1-($N1270+$T1270+MAX(0,N($Q1270)))/ROUND((INDEX(Config!$D$15:$D$18,MATCH($S1270,Config!$B$15:$B$18,0))-INDEX(Config!$C$15:$C$18,MATCH($S1270,Config!$B$15:$B$18,0)))*1440,0)),""))</f>
        <v/>
      </c>
      <c r="V1270" s="5"/>
    </row>
    <row r="1271" spans="1:22" x14ac:dyDescent="0.25">
      <c r="A1271" s="11"/>
      <c r="B1271" s="5"/>
      <c r="C1271" s="6" t="str">
        <f>IFERROR(INDEX(Ejecutivos!$B$2:$B$100,MATCH(B1271,Ejecutivos!$A$2:$A$100,0)),"")</f>
        <v/>
      </c>
      <c r="D1271" s="12"/>
      <c r="E1271" s="12"/>
      <c r="F1271" s="12"/>
      <c r="G1271" s="12"/>
      <c r="H1271" s="5"/>
      <c r="I1271" s="5"/>
      <c r="J1271" s="5"/>
      <c r="K1271" s="5"/>
      <c r="L1271" s="18">
        <v>0</v>
      </c>
      <c r="M1271" t="str">
        <f t="shared" si="83"/>
        <v/>
      </c>
      <c r="N1271" t="str">
        <f>IF(OR($D1271="",$S1271=""),"",IFERROR(MAX(0,ROUND(($D1271-INDEX(Config!$C$15:$C$18,MATCH($S1271,Config!$B$15:$B$18,0)))*24*60,0)),""))</f>
        <v/>
      </c>
      <c r="O1271" t="str">
        <f t="shared" si="84"/>
        <v/>
      </c>
      <c r="P1271" t="str">
        <f t="shared" si="85"/>
        <v/>
      </c>
      <c r="Q1271" t="str">
        <f>IF(OR($P1271="",$S1271=""),"",IFERROR($P1271-INDEX(Config!$E$15:$E$18,MATCH($S1271,Config!$B$15:$B$18,0)),""))</f>
        <v/>
      </c>
      <c r="R1271" t="str">
        <f t="shared" si="86"/>
        <v/>
      </c>
      <c r="S1271" s="6" t="str">
        <f>IF(OR($A1271="",$C1271=""),"",IFERROR(INDEX(Turno!$C$3:$V$32,MATCH($C1271,Turno!$B$3:$B$32,0),MATCH(DAY($A1271),Turno!$C$1:$V$1,0)),""))</f>
        <v/>
      </c>
      <c r="T1271" t="str">
        <f>IF(OR($E1271="",$S1271=""),"",IFERROR(MAX(0,ROUND((INDEX(Config!$D$15:$D$18,MATCH($S1271,Config!$B$15:$B$18,0))-$E1271)*1440,0)),""))</f>
        <v/>
      </c>
      <c r="U1271" s="13" t="str">
        <f>IF(OR($N1271="",$T1271=""),"",IFERROR(MAX(0,1-($N1271+$T1271+MAX(0,N($Q1271)))/ROUND((INDEX(Config!$D$15:$D$18,MATCH($S1271,Config!$B$15:$B$18,0))-INDEX(Config!$C$15:$C$18,MATCH($S1271,Config!$B$15:$B$18,0)))*1440,0)),""))</f>
        <v/>
      </c>
      <c r="V1271" s="5"/>
    </row>
    <row r="1272" spans="1:22" x14ac:dyDescent="0.25">
      <c r="A1272" s="11"/>
      <c r="B1272" s="5"/>
      <c r="C1272" s="6" t="str">
        <f>IFERROR(INDEX(Ejecutivos!$B$2:$B$100,MATCH(B1272,Ejecutivos!$A$2:$A$100,0)),"")</f>
        <v/>
      </c>
      <c r="D1272" s="12"/>
      <c r="E1272" s="12"/>
      <c r="F1272" s="12"/>
      <c r="G1272" s="12"/>
      <c r="H1272" s="5"/>
      <c r="I1272" s="5"/>
      <c r="J1272" s="5"/>
      <c r="K1272" s="5"/>
      <c r="L1272" s="18">
        <v>0</v>
      </c>
      <c r="M1272" t="str">
        <f t="shared" si="83"/>
        <v/>
      </c>
      <c r="N1272" t="str">
        <f>IF(OR($D1272="",$S1272=""),"",IFERROR(MAX(0,ROUND(($D1272-INDEX(Config!$C$15:$C$18,MATCH($S1272,Config!$B$15:$B$18,0)))*24*60,0)),""))</f>
        <v/>
      </c>
      <c r="O1272" t="str">
        <f t="shared" si="84"/>
        <v/>
      </c>
      <c r="P1272" t="str">
        <f t="shared" si="85"/>
        <v/>
      </c>
      <c r="Q1272" t="str">
        <f>IF(OR($P1272="",$S1272=""),"",IFERROR($P1272-INDEX(Config!$E$15:$E$18,MATCH($S1272,Config!$B$15:$B$18,0)),""))</f>
        <v/>
      </c>
      <c r="R1272" t="str">
        <f t="shared" si="86"/>
        <v/>
      </c>
      <c r="S1272" s="6" t="str">
        <f>IF(OR($A1272="",$C1272=""),"",IFERROR(INDEX(Turno!$C$3:$V$32,MATCH($C1272,Turno!$B$3:$B$32,0),MATCH(DAY($A1272),Turno!$C$1:$V$1,0)),""))</f>
        <v/>
      </c>
      <c r="T1272" t="str">
        <f>IF(OR($E1272="",$S1272=""),"",IFERROR(MAX(0,ROUND((INDEX(Config!$D$15:$D$18,MATCH($S1272,Config!$B$15:$B$18,0))-$E1272)*1440,0)),""))</f>
        <v/>
      </c>
      <c r="U1272" s="13" t="str">
        <f>IF(OR($N1272="",$T1272=""),"",IFERROR(MAX(0,1-($N1272+$T1272+MAX(0,N($Q1272)))/ROUND((INDEX(Config!$D$15:$D$18,MATCH($S1272,Config!$B$15:$B$18,0))-INDEX(Config!$C$15:$C$18,MATCH($S1272,Config!$B$15:$B$18,0)))*1440,0)),""))</f>
        <v/>
      </c>
      <c r="V1272" s="5"/>
    </row>
    <row r="1273" spans="1:22" x14ac:dyDescent="0.25">
      <c r="A1273" s="11"/>
      <c r="B1273" s="5"/>
      <c r="C1273" s="6" t="str">
        <f>IFERROR(INDEX(Ejecutivos!$B$2:$B$100,MATCH(B1273,Ejecutivos!$A$2:$A$100,0)),"")</f>
        <v/>
      </c>
      <c r="D1273" s="12"/>
      <c r="E1273" s="12"/>
      <c r="F1273" s="12"/>
      <c r="G1273" s="12"/>
      <c r="H1273" s="5"/>
      <c r="I1273" s="5"/>
      <c r="J1273" s="5"/>
      <c r="K1273" s="5"/>
      <c r="L1273" s="18">
        <v>0</v>
      </c>
      <c r="M1273" t="str">
        <f t="shared" si="83"/>
        <v/>
      </c>
      <c r="N1273" t="str">
        <f>IF(OR($D1273="",$S1273=""),"",IFERROR(MAX(0,ROUND(($D1273-INDEX(Config!$C$15:$C$18,MATCH($S1273,Config!$B$15:$B$18,0)))*24*60,0)),""))</f>
        <v/>
      </c>
      <c r="O1273" t="str">
        <f t="shared" si="84"/>
        <v/>
      </c>
      <c r="P1273" t="str">
        <f t="shared" si="85"/>
        <v/>
      </c>
      <c r="Q1273" t="str">
        <f>IF(OR($P1273="",$S1273=""),"",IFERROR($P1273-INDEX(Config!$E$15:$E$18,MATCH($S1273,Config!$B$15:$B$18,0)),""))</f>
        <v/>
      </c>
      <c r="R1273" t="str">
        <f t="shared" si="86"/>
        <v/>
      </c>
      <c r="S1273" s="6" t="str">
        <f>IF(OR($A1273="",$C1273=""),"",IFERROR(INDEX(Turno!$C$3:$V$32,MATCH($C1273,Turno!$B$3:$B$32,0),MATCH(DAY($A1273),Turno!$C$1:$V$1,0)),""))</f>
        <v/>
      </c>
      <c r="T1273" t="str">
        <f>IF(OR($E1273="",$S1273=""),"",IFERROR(MAX(0,ROUND((INDEX(Config!$D$15:$D$18,MATCH($S1273,Config!$B$15:$B$18,0))-$E1273)*1440,0)),""))</f>
        <v/>
      </c>
      <c r="U1273" s="13" t="str">
        <f>IF(OR($N1273="",$T1273=""),"",IFERROR(MAX(0,1-($N1273+$T1273+MAX(0,N($Q1273)))/ROUND((INDEX(Config!$D$15:$D$18,MATCH($S1273,Config!$B$15:$B$18,0))-INDEX(Config!$C$15:$C$18,MATCH($S1273,Config!$B$15:$B$18,0)))*1440,0)),""))</f>
        <v/>
      </c>
      <c r="V1273" s="5"/>
    </row>
    <row r="1274" spans="1:22" x14ac:dyDescent="0.25">
      <c r="A1274" s="11"/>
      <c r="B1274" s="5"/>
      <c r="C1274" s="6" t="str">
        <f>IFERROR(INDEX(Ejecutivos!$B$2:$B$100,MATCH(B1274,Ejecutivos!$A$2:$A$100,0)),"")</f>
        <v/>
      </c>
      <c r="D1274" s="12"/>
      <c r="E1274" s="12"/>
      <c r="F1274" s="12"/>
      <c r="G1274" s="12"/>
      <c r="H1274" s="5"/>
      <c r="I1274" s="5"/>
      <c r="J1274" s="5"/>
      <c r="K1274" s="5"/>
      <c r="L1274" s="18">
        <v>0</v>
      </c>
      <c r="M1274" t="str">
        <f t="shared" si="83"/>
        <v/>
      </c>
      <c r="N1274" t="str">
        <f>IF(OR($D1274="",$S1274=""),"",IFERROR(MAX(0,ROUND(($D1274-INDEX(Config!$C$15:$C$18,MATCH($S1274,Config!$B$15:$B$18,0)))*24*60,0)),""))</f>
        <v/>
      </c>
      <c r="O1274" t="str">
        <f t="shared" si="84"/>
        <v/>
      </c>
      <c r="P1274" t="str">
        <f t="shared" si="85"/>
        <v/>
      </c>
      <c r="Q1274" t="str">
        <f>IF(OR($P1274="",$S1274=""),"",IFERROR($P1274-INDEX(Config!$E$15:$E$18,MATCH($S1274,Config!$B$15:$B$18,0)),""))</f>
        <v/>
      </c>
      <c r="R1274" t="str">
        <f t="shared" si="86"/>
        <v/>
      </c>
      <c r="S1274" s="6" t="str">
        <f>IF(OR($A1274="",$C1274=""),"",IFERROR(INDEX(Turno!$C$3:$V$32,MATCH($C1274,Turno!$B$3:$B$32,0),MATCH(DAY($A1274),Turno!$C$1:$V$1,0)),""))</f>
        <v/>
      </c>
      <c r="T1274" t="str">
        <f>IF(OR($E1274="",$S1274=""),"",IFERROR(MAX(0,ROUND((INDEX(Config!$D$15:$D$18,MATCH($S1274,Config!$B$15:$B$18,0))-$E1274)*1440,0)),""))</f>
        <v/>
      </c>
      <c r="U1274" s="13" t="str">
        <f>IF(OR($N1274="",$T1274=""),"",IFERROR(MAX(0,1-($N1274+$T1274+MAX(0,N($Q1274)))/ROUND((INDEX(Config!$D$15:$D$18,MATCH($S1274,Config!$B$15:$B$18,0))-INDEX(Config!$C$15:$C$18,MATCH($S1274,Config!$B$15:$B$18,0)))*1440,0)),""))</f>
        <v/>
      </c>
      <c r="V1274" s="5"/>
    </row>
    <row r="1275" spans="1:22" x14ac:dyDescent="0.25">
      <c r="A1275" s="11"/>
      <c r="B1275" s="5"/>
      <c r="C1275" s="6" t="str">
        <f>IFERROR(INDEX(Ejecutivos!$B$2:$B$100,MATCH(B1275,Ejecutivos!$A$2:$A$100,0)),"")</f>
        <v/>
      </c>
      <c r="D1275" s="12"/>
      <c r="E1275" s="12"/>
      <c r="F1275" s="12"/>
      <c r="G1275" s="12"/>
      <c r="H1275" s="5"/>
      <c r="I1275" s="5"/>
      <c r="J1275" s="5"/>
      <c r="K1275" s="5"/>
      <c r="L1275" s="18">
        <v>0</v>
      </c>
      <c r="M1275" t="str">
        <f t="shared" si="83"/>
        <v/>
      </c>
      <c r="N1275" t="str">
        <f>IF(OR($D1275="",$S1275=""),"",IFERROR(MAX(0,ROUND(($D1275-INDEX(Config!$C$15:$C$18,MATCH($S1275,Config!$B$15:$B$18,0)))*24*60,0)),""))</f>
        <v/>
      </c>
      <c r="O1275" t="str">
        <f t="shared" si="84"/>
        <v/>
      </c>
      <c r="P1275" t="str">
        <f t="shared" si="85"/>
        <v/>
      </c>
      <c r="Q1275" t="str">
        <f>IF(OR($P1275="",$S1275=""),"",IFERROR($P1275-INDEX(Config!$E$15:$E$18,MATCH($S1275,Config!$B$15:$B$18,0)),""))</f>
        <v/>
      </c>
      <c r="R1275" t="str">
        <f t="shared" si="86"/>
        <v/>
      </c>
      <c r="S1275" s="6" t="str">
        <f>IF(OR($A1275="",$C1275=""),"",IFERROR(INDEX(Turno!$C$3:$V$32,MATCH($C1275,Turno!$B$3:$B$32,0),MATCH(DAY($A1275),Turno!$C$1:$V$1,0)),""))</f>
        <v/>
      </c>
      <c r="T1275" t="str">
        <f>IF(OR($E1275="",$S1275=""),"",IFERROR(MAX(0,ROUND((INDEX(Config!$D$15:$D$18,MATCH($S1275,Config!$B$15:$B$18,0))-$E1275)*1440,0)),""))</f>
        <v/>
      </c>
      <c r="U1275" s="13" t="str">
        <f>IF(OR($N1275="",$T1275=""),"",IFERROR(MAX(0,1-($N1275+$T1275+MAX(0,N($Q1275)))/ROUND((INDEX(Config!$D$15:$D$18,MATCH($S1275,Config!$B$15:$B$18,0))-INDEX(Config!$C$15:$C$18,MATCH($S1275,Config!$B$15:$B$18,0)))*1440,0)),""))</f>
        <v/>
      </c>
      <c r="V1275" s="5"/>
    </row>
    <row r="1276" spans="1:22" x14ac:dyDescent="0.25">
      <c r="A1276" s="11"/>
      <c r="B1276" s="5"/>
      <c r="C1276" s="6" t="str">
        <f>IFERROR(INDEX(Ejecutivos!$B$2:$B$100,MATCH(B1276,Ejecutivos!$A$2:$A$100,0)),"")</f>
        <v/>
      </c>
      <c r="D1276" s="12"/>
      <c r="E1276" s="12"/>
      <c r="F1276" s="12"/>
      <c r="G1276" s="12"/>
      <c r="H1276" s="5"/>
      <c r="I1276" s="5"/>
      <c r="J1276" s="5"/>
      <c r="K1276" s="5"/>
      <c r="L1276" s="18">
        <v>0</v>
      </c>
      <c r="M1276" t="str">
        <f t="shared" si="83"/>
        <v/>
      </c>
      <c r="N1276" t="str">
        <f>IF(OR($D1276="",$S1276=""),"",IFERROR(MAX(0,ROUND(($D1276-INDEX(Config!$C$15:$C$18,MATCH($S1276,Config!$B$15:$B$18,0)))*24*60,0)),""))</f>
        <v/>
      </c>
      <c r="O1276" t="str">
        <f t="shared" si="84"/>
        <v/>
      </c>
      <c r="P1276" t="str">
        <f t="shared" si="85"/>
        <v/>
      </c>
      <c r="Q1276" t="str">
        <f>IF(OR($P1276="",$S1276=""),"",IFERROR($P1276-INDEX(Config!$E$15:$E$18,MATCH($S1276,Config!$B$15:$B$18,0)),""))</f>
        <v/>
      </c>
      <c r="R1276" t="str">
        <f t="shared" si="86"/>
        <v/>
      </c>
      <c r="S1276" s="6" t="str">
        <f>IF(OR($A1276="",$C1276=""),"",IFERROR(INDEX(Turno!$C$3:$V$32,MATCH($C1276,Turno!$B$3:$B$32,0),MATCH(DAY($A1276),Turno!$C$1:$V$1,0)),""))</f>
        <v/>
      </c>
      <c r="T1276" t="str">
        <f>IF(OR($E1276="",$S1276=""),"",IFERROR(MAX(0,ROUND((INDEX(Config!$D$15:$D$18,MATCH($S1276,Config!$B$15:$B$18,0))-$E1276)*1440,0)),""))</f>
        <v/>
      </c>
      <c r="U1276" s="13" t="str">
        <f>IF(OR($N1276="",$T1276=""),"",IFERROR(MAX(0,1-($N1276+$T1276+MAX(0,N($Q1276)))/ROUND((INDEX(Config!$D$15:$D$18,MATCH($S1276,Config!$B$15:$B$18,0))-INDEX(Config!$C$15:$C$18,MATCH($S1276,Config!$B$15:$B$18,0)))*1440,0)),""))</f>
        <v/>
      </c>
      <c r="V1276" s="5"/>
    </row>
    <row r="1277" spans="1:22" x14ac:dyDescent="0.25">
      <c r="A1277" s="11"/>
      <c r="B1277" s="5"/>
      <c r="C1277" s="6" t="str">
        <f>IFERROR(INDEX(Ejecutivos!$B$2:$B$100,MATCH(B1277,Ejecutivos!$A$2:$A$100,0)),"")</f>
        <v/>
      </c>
      <c r="D1277" s="12"/>
      <c r="E1277" s="12"/>
      <c r="F1277" s="12"/>
      <c r="G1277" s="12"/>
      <c r="H1277" s="5"/>
      <c r="I1277" s="5"/>
      <c r="J1277" s="5"/>
      <c r="K1277" s="5"/>
      <c r="L1277" s="18">
        <v>0</v>
      </c>
      <c r="M1277" t="str">
        <f t="shared" si="83"/>
        <v/>
      </c>
      <c r="N1277" t="str">
        <f>IF(OR($D1277="",$S1277=""),"",IFERROR(MAX(0,ROUND(($D1277-INDEX(Config!$C$15:$C$18,MATCH($S1277,Config!$B$15:$B$18,0)))*24*60,0)),""))</f>
        <v/>
      </c>
      <c r="O1277" t="str">
        <f t="shared" si="84"/>
        <v/>
      </c>
      <c r="P1277" t="str">
        <f t="shared" si="85"/>
        <v/>
      </c>
      <c r="Q1277" t="str">
        <f>IF(OR($P1277="",$S1277=""),"",IFERROR($P1277-INDEX(Config!$E$15:$E$18,MATCH($S1277,Config!$B$15:$B$18,0)),""))</f>
        <v/>
      </c>
      <c r="R1277" t="str">
        <f t="shared" si="86"/>
        <v/>
      </c>
      <c r="S1277" s="6" t="str">
        <f>IF(OR($A1277="",$C1277=""),"",IFERROR(INDEX(Turno!$C$3:$V$32,MATCH($C1277,Turno!$B$3:$B$32,0),MATCH(DAY($A1277),Turno!$C$1:$V$1,0)),""))</f>
        <v/>
      </c>
      <c r="T1277" t="str">
        <f>IF(OR($E1277="",$S1277=""),"",IFERROR(MAX(0,ROUND((INDEX(Config!$D$15:$D$18,MATCH($S1277,Config!$B$15:$B$18,0))-$E1277)*1440,0)),""))</f>
        <v/>
      </c>
      <c r="U1277" s="13" t="str">
        <f>IF(OR($N1277="",$T1277=""),"",IFERROR(MAX(0,1-($N1277+$T1277+MAX(0,N($Q1277)))/ROUND((INDEX(Config!$D$15:$D$18,MATCH($S1277,Config!$B$15:$B$18,0))-INDEX(Config!$C$15:$C$18,MATCH($S1277,Config!$B$15:$B$18,0)))*1440,0)),""))</f>
        <v/>
      </c>
      <c r="V1277" s="5"/>
    </row>
    <row r="1278" spans="1:22" x14ac:dyDescent="0.25">
      <c r="A1278" s="11"/>
      <c r="B1278" s="5"/>
      <c r="C1278" s="6" t="str">
        <f>IFERROR(INDEX(Ejecutivos!$B$2:$B$100,MATCH(B1278,Ejecutivos!$A$2:$A$100,0)),"")</f>
        <v/>
      </c>
      <c r="D1278" s="12"/>
      <c r="E1278" s="12"/>
      <c r="F1278" s="12"/>
      <c r="G1278" s="12"/>
      <c r="H1278" s="5"/>
      <c r="I1278" s="5"/>
      <c r="J1278" s="5"/>
      <c r="K1278" s="5"/>
      <c r="L1278" s="18">
        <v>0</v>
      </c>
      <c r="M1278" t="str">
        <f t="shared" si="83"/>
        <v/>
      </c>
      <c r="N1278" t="str">
        <f>IF(OR($D1278="",$S1278=""),"",IFERROR(MAX(0,ROUND(($D1278-INDEX(Config!$C$15:$C$18,MATCH($S1278,Config!$B$15:$B$18,0)))*24*60,0)),""))</f>
        <v/>
      </c>
      <c r="O1278" t="str">
        <f t="shared" si="84"/>
        <v/>
      </c>
      <c r="P1278" t="str">
        <f t="shared" si="85"/>
        <v/>
      </c>
      <c r="Q1278" t="str">
        <f>IF(OR($P1278="",$S1278=""),"",IFERROR($P1278-INDEX(Config!$E$15:$E$18,MATCH($S1278,Config!$B$15:$B$18,0)),""))</f>
        <v/>
      </c>
      <c r="R1278" t="str">
        <f t="shared" si="86"/>
        <v/>
      </c>
      <c r="S1278" s="6" t="str">
        <f>IF(OR($A1278="",$C1278=""),"",IFERROR(INDEX(Turno!$C$3:$V$32,MATCH($C1278,Turno!$B$3:$B$32,0),MATCH(DAY($A1278),Turno!$C$1:$V$1,0)),""))</f>
        <v/>
      </c>
      <c r="T1278" t="str">
        <f>IF(OR($E1278="",$S1278=""),"",IFERROR(MAX(0,ROUND((INDEX(Config!$D$15:$D$18,MATCH($S1278,Config!$B$15:$B$18,0))-$E1278)*1440,0)),""))</f>
        <v/>
      </c>
      <c r="U1278" s="13" t="str">
        <f>IF(OR($N1278="",$T1278=""),"",IFERROR(MAX(0,1-($N1278+$T1278+MAX(0,N($Q1278)))/ROUND((INDEX(Config!$D$15:$D$18,MATCH($S1278,Config!$B$15:$B$18,0))-INDEX(Config!$C$15:$C$18,MATCH($S1278,Config!$B$15:$B$18,0)))*1440,0)),""))</f>
        <v/>
      </c>
      <c r="V1278" s="5"/>
    </row>
    <row r="1279" spans="1:22" x14ac:dyDescent="0.25">
      <c r="A1279" s="11"/>
      <c r="B1279" s="5"/>
      <c r="C1279" s="6" t="str">
        <f>IFERROR(INDEX(Ejecutivos!$B$2:$B$100,MATCH(B1279,Ejecutivos!$A$2:$A$100,0)),"")</f>
        <v/>
      </c>
      <c r="D1279" s="12"/>
      <c r="E1279" s="12"/>
      <c r="F1279" s="12"/>
      <c r="G1279" s="12"/>
      <c r="H1279" s="5"/>
      <c r="I1279" s="5"/>
      <c r="J1279" s="5"/>
      <c r="K1279" s="5"/>
      <c r="L1279" s="18">
        <v>0</v>
      </c>
      <c r="M1279" t="str">
        <f t="shared" si="83"/>
        <v/>
      </c>
      <c r="N1279" t="str">
        <f>IF(OR($D1279="",$S1279=""),"",IFERROR(MAX(0,ROUND(($D1279-INDEX(Config!$C$15:$C$18,MATCH($S1279,Config!$B$15:$B$18,0)))*24*60,0)),""))</f>
        <v/>
      </c>
      <c r="O1279" t="str">
        <f t="shared" si="84"/>
        <v/>
      </c>
      <c r="P1279" t="str">
        <f t="shared" si="85"/>
        <v/>
      </c>
      <c r="Q1279" t="str">
        <f>IF(OR($P1279="",$S1279=""),"",IFERROR($P1279-INDEX(Config!$E$15:$E$18,MATCH($S1279,Config!$B$15:$B$18,0)),""))</f>
        <v/>
      </c>
      <c r="R1279" t="str">
        <f t="shared" si="86"/>
        <v/>
      </c>
      <c r="S1279" s="6" t="str">
        <f>IF(OR($A1279="",$C1279=""),"",IFERROR(INDEX(Turno!$C$3:$V$32,MATCH($C1279,Turno!$B$3:$B$32,0),MATCH(DAY($A1279),Turno!$C$1:$V$1,0)),""))</f>
        <v/>
      </c>
      <c r="T1279" t="str">
        <f>IF(OR($E1279="",$S1279=""),"",IFERROR(MAX(0,ROUND((INDEX(Config!$D$15:$D$18,MATCH($S1279,Config!$B$15:$B$18,0))-$E1279)*1440,0)),""))</f>
        <v/>
      </c>
      <c r="U1279" s="13" t="str">
        <f>IF(OR($N1279="",$T1279=""),"",IFERROR(MAX(0,1-($N1279+$T1279+MAX(0,N($Q1279)))/ROUND((INDEX(Config!$D$15:$D$18,MATCH($S1279,Config!$B$15:$B$18,0))-INDEX(Config!$C$15:$C$18,MATCH($S1279,Config!$B$15:$B$18,0)))*1440,0)),""))</f>
        <v/>
      </c>
      <c r="V1279" s="5"/>
    </row>
    <row r="1280" spans="1:22" x14ac:dyDescent="0.25">
      <c r="A1280" s="11"/>
      <c r="B1280" s="5"/>
      <c r="C1280" s="6" t="str">
        <f>IFERROR(INDEX(Ejecutivos!$B$2:$B$100,MATCH(B1280,Ejecutivos!$A$2:$A$100,0)),"")</f>
        <v/>
      </c>
      <c r="D1280" s="12"/>
      <c r="E1280" s="12"/>
      <c r="F1280" s="12"/>
      <c r="G1280" s="12"/>
      <c r="H1280" s="5"/>
      <c r="I1280" s="5"/>
      <c r="J1280" s="5"/>
      <c r="K1280" s="5"/>
      <c r="L1280" s="18">
        <v>0</v>
      </c>
      <c r="M1280" t="str">
        <f t="shared" si="83"/>
        <v/>
      </c>
      <c r="N1280" t="str">
        <f>IF(OR($D1280="",$S1280=""),"",IFERROR(MAX(0,ROUND(($D1280-INDEX(Config!$C$15:$C$18,MATCH($S1280,Config!$B$15:$B$18,0)))*24*60,0)),""))</f>
        <v/>
      </c>
      <c r="O1280" t="str">
        <f t="shared" si="84"/>
        <v/>
      </c>
      <c r="P1280" t="str">
        <f t="shared" si="85"/>
        <v/>
      </c>
      <c r="Q1280" t="str">
        <f>IF(OR($P1280="",$S1280=""),"",IFERROR($P1280-INDEX(Config!$E$15:$E$18,MATCH($S1280,Config!$B$15:$B$18,0)),""))</f>
        <v/>
      </c>
      <c r="R1280" t="str">
        <f t="shared" si="86"/>
        <v/>
      </c>
      <c r="S1280" s="6" t="str">
        <f>IF(OR($A1280="",$C1280=""),"",IFERROR(INDEX(Turno!$C$3:$V$32,MATCH($C1280,Turno!$B$3:$B$32,0),MATCH(DAY($A1280),Turno!$C$1:$V$1,0)),""))</f>
        <v/>
      </c>
      <c r="T1280" t="str">
        <f>IF(OR($E1280="",$S1280=""),"",IFERROR(MAX(0,ROUND((INDEX(Config!$D$15:$D$18,MATCH($S1280,Config!$B$15:$B$18,0))-$E1280)*1440,0)),""))</f>
        <v/>
      </c>
      <c r="U1280" s="13" t="str">
        <f>IF(OR($N1280="",$T1280=""),"",IFERROR(MAX(0,1-($N1280+$T1280+MAX(0,N($Q1280)))/ROUND((INDEX(Config!$D$15:$D$18,MATCH($S1280,Config!$B$15:$B$18,0))-INDEX(Config!$C$15:$C$18,MATCH($S1280,Config!$B$15:$B$18,0)))*1440,0)),""))</f>
        <v/>
      </c>
      <c r="V1280" s="5"/>
    </row>
    <row r="1281" spans="1:22" x14ac:dyDescent="0.25">
      <c r="A1281" s="11"/>
      <c r="B1281" s="5"/>
      <c r="C1281" s="6" t="str">
        <f>IFERROR(INDEX(Ejecutivos!$B$2:$B$100,MATCH(B1281,Ejecutivos!$A$2:$A$100,0)),"")</f>
        <v/>
      </c>
      <c r="D1281" s="12"/>
      <c r="E1281" s="12"/>
      <c r="F1281" s="12"/>
      <c r="G1281" s="12"/>
      <c r="H1281" s="5"/>
      <c r="I1281" s="5"/>
      <c r="J1281" s="5"/>
      <c r="K1281" s="5"/>
      <c r="L1281" s="18">
        <v>0</v>
      </c>
      <c r="M1281" t="str">
        <f t="shared" si="83"/>
        <v/>
      </c>
      <c r="N1281" t="str">
        <f>IF(OR($D1281="",$S1281=""),"",IFERROR(MAX(0,ROUND(($D1281-INDEX(Config!$C$15:$C$18,MATCH($S1281,Config!$B$15:$B$18,0)))*24*60,0)),""))</f>
        <v/>
      </c>
      <c r="O1281" t="str">
        <f t="shared" si="84"/>
        <v/>
      </c>
      <c r="P1281" t="str">
        <f t="shared" si="85"/>
        <v/>
      </c>
      <c r="Q1281" t="str">
        <f>IF(OR($P1281="",$S1281=""),"",IFERROR($P1281-INDEX(Config!$E$15:$E$18,MATCH($S1281,Config!$B$15:$B$18,0)),""))</f>
        <v/>
      </c>
      <c r="R1281" t="str">
        <f t="shared" si="86"/>
        <v/>
      </c>
      <c r="S1281" s="6" t="str">
        <f>IF(OR($A1281="",$C1281=""),"",IFERROR(INDEX(Turno!$C$3:$V$32,MATCH($C1281,Turno!$B$3:$B$32,0),MATCH(DAY($A1281),Turno!$C$1:$V$1,0)),""))</f>
        <v/>
      </c>
      <c r="T1281" t="str">
        <f>IF(OR($E1281="",$S1281=""),"",IFERROR(MAX(0,ROUND((INDEX(Config!$D$15:$D$18,MATCH($S1281,Config!$B$15:$B$18,0))-$E1281)*1440,0)),""))</f>
        <v/>
      </c>
      <c r="U1281" s="13" t="str">
        <f>IF(OR($N1281="",$T1281=""),"",IFERROR(MAX(0,1-($N1281+$T1281+MAX(0,N($Q1281)))/ROUND((INDEX(Config!$D$15:$D$18,MATCH($S1281,Config!$B$15:$B$18,0))-INDEX(Config!$C$15:$C$18,MATCH($S1281,Config!$B$15:$B$18,0)))*1440,0)),""))</f>
        <v/>
      </c>
      <c r="V1281" s="5"/>
    </row>
    <row r="1282" spans="1:22" x14ac:dyDescent="0.25">
      <c r="A1282" s="11"/>
      <c r="B1282" s="5"/>
      <c r="C1282" s="6" t="str">
        <f>IFERROR(INDEX(Ejecutivos!$B$2:$B$100,MATCH(B1282,Ejecutivos!$A$2:$A$100,0)),"")</f>
        <v/>
      </c>
      <c r="D1282" s="12"/>
      <c r="E1282" s="12"/>
      <c r="F1282" s="12"/>
      <c r="G1282" s="12"/>
      <c r="H1282" s="5"/>
      <c r="I1282" s="5"/>
      <c r="J1282" s="5"/>
      <c r="K1282" s="5"/>
      <c r="L1282" s="18">
        <v>0</v>
      </c>
      <c r="M1282" t="str">
        <f t="shared" si="83"/>
        <v/>
      </c>
      <c r="N1282" t="str">
        <f>IF(OR($D1282="",$S1282=""),"",IFERROR(MAX(0,ROUND(($D1282-INDEX(Config!$C$15:$C$18,MATCH($S1282,Config!$B$15:$B$18,0)))*24*60,0)),""))</f>
        <v/>
      </c>
      <c r="O1282" t="str">
        <f t="shared" si="84"/>
        <v/>
      </c>
      <c r="P1282" t="str">
        <f t="shared" si="85"/>
        <v/>
      </c>
      <c r="Q1282" t="str">
        <f>IF(OR($P1282="",$S1282=""),"",IFERROR($P1282-INDEX(Config!$E$15:$E$18,MATCH($S1282,Config!$B$15:$B$18,0)),""))</f>
        <v/>
      </c>
      <c r="R1282" t="str">
        <f t="shared" si="86"/>
        <v/>
      </c>
      <c r="S1282" s="6" t="str">
        <f>IF(OR($A1282="",$C1282=""),"",IFERROR(INDEX(Turno!$C$3:$V$32,MATCH($C1282,Turno!$B$3:$B$32,0),MATCH(DAY($A1282),Turno!$C$1:$V$1,0)),""))</f>
        <v/>
      </c>
      <c r="T1282" t="str">
        <f>IF(OR($E1282="",$S1282=""),"",IFERROR(MAX(0,ROUND((INDEX(Config!$D$15:$D$18,MATCH($S1282,Config!$B$15:$B$18,0))-$E1282)*1440,0)),""))</f>
        <v/>
      </c>
      <c r="U1282" s="13" t="str">
        <f>IF(OR($N1282="",$T1282=""),"",IFERROR(MAX(0,1-($N1282+$T1282+MAX(0,N($Q1282)))/ROUND((INDEX(Config!$D$15:$D$18,MATCH($S1282,Config!$B$15:$B$18,0))-INDEX(Config!$C$15:$C$18,MATCH($S1282,Config!$B$15:$B$18,0)))*1440,0)),""))</f>
        <v/>
      </c>
      <c r="V1282" s="5"/>
    </row>
    <row r="1283" spans="1:22" x14ac:dyDescent="0.25">
      <c r="A1283" s="11"/>
      <c r="B1283" s="5"/>
      <c r="C1283" s="6" t="str">
        <f>IFERROR(INDEX(Ejecutivos!$B$2:$B$100,MATCH(B1283,Ejecutivos!$A$2:$A$100,0)),"")</f>
        <v/>
      </c>
      <c r="D1283" s="12"/>
      <c r="E1283" s="12"/>
      <c r="F1283" s="12"/>
      <c r="G1283" s="12"/>
      <c r="H1283" s="5"/>
      <c r="I1283" s="5"/>
      <c r="J1283" s="5"/>
      <c r="K1283" s="5"/>
      <c r="L1283" s="18">
        <v>0</v>
      </c>
      <c r="M1283" t="str">
        <f t="shared" si="83"/>
        <v/>
      </c>
      <c r="N1283" t="str">
        <f>IF(OR($D1283="",$S1283=""),"",IFERROR(MAX(0,ROUND(($D1283-INDEX(Config!$C$15:$C$18,MATCH($S1283,Config!$B$15:$B$18,0)))*24*60,0)),""))</f>
        <v/>
      </c>
      <c r="O1283" t="str">
        <f t="shared" si="84"/>
        <v/>
      </c>
      <c r="P1283" t="str">
        <f t="shared" si="85"/>
        <v/>
      </c>
      <c r="Q1283" t="str">
        <f>IF(OR($P1283="",$S1283=""),"",IFERROR($P1283-INDEX(Config!$E$15:$E$18,MATCH($S1283,Config!$B$15:$B$18,0)),""))</f>
        <v/>
      </c>
      <c r="R1283" t="str">
        <f t="shared" si="86"/>
        <v/>
      </c>
      <c r="S1283" s="6" t="str">
        <f>IF(OR($A1283="",$C1283=""),"",IFERROR(INDEX(Turno!$C$3:$V$32,MATCH($C1283,Turno!$B$3:$B$32,0),MATCH(DAY($A1283),Turno!$C$1:$V$1,0)),""))</f>
        <v/>
      </c>
      <c r="T1283" t="str">
        <f>IF(OR($E1283="",$S1283=""),"",IFERROR(MAX(0,ROUND((INDEX(Config!$D$15:$D$18,MATCH($S1283,Config!$B$15:$B$18,0))-$E1283)*1440,0)),""))</f>
        <v/>
      </c>
      <c r="U1283" s="13" t="str">
        <f>IF(OR($N1283="",$T1283=""),"",IFERROR(MAX(0,1-($N1283+$T1283+MAX(0,N($Q1283)))/ROUND((INDEX(Config!$D$15:$D$18,MATCH($S1283,Config!$B$15:$B$18,0))-INDEX(Config!$C$15:$C$18,MATCH($S1283,Config!$B$15:$B$18,0)))*1440,0)),""))</f>
        <v/>
      </c>
      <c r="V1283" s="5"/>
    </row>
    <row r="1284" spans="1:22" x14ac:dyDescent="0.25">
      <c r="A1284" s="11"/>
      <c r="B1284" s="5"/>
      <c r="C1284" s="6" t="str">
        <f>IFERROR(INDEX(Ejecutivos!$B$2:$B$100,MATCH(B1284,Ejecutivos!$A$2:$A$100,0)),"")</f>
        <v/>
      </c>
      <c r="D1284" s="12"/>
      <c r="E1284" s="12"/>
      <c r="F1284" s="12"/>
      <c r="G1284" s="12"/>
      <c r="H1284" s="5"/>
      <c r="I1284" s="5"/>
      <c r="J1284" s="5"/>
      <c r="K1284" s="5"/>
      <c r="L1284" s="18">
        <v>0</v>
      </c>
      <c r="M1284" t="str">
        <f t="shared" si="83"/>
        <v/>
      </c>
      <c r="N1284" t="str">
        <f>IF(OR($D1284="",$S1284=""),"",IFERROR(MAX(0,ROUND(($D1284-INDEX(Config!$C$15:$C$18,MATCH($S1284,Config!$B$15:$B$18,0)))*24*60,0)),""))</f>
        <v/>
      </c>
      <c r="O1284" t="str">
        <f t="shared" si="84"/>
        <v/>
      </c>
      <c r="P1284" t="str">
        <f t="shared" si="85"/>
        <v/>
      </c>
      <c r="Q1284" t="str">
        <f>IF(OR($P1284="",$S1284=""),"",IFERROR($P1284-INDEX(Config!$E$15:$E$18,MATCH($S1284,Config!$B$15:$B$18,0)),""))</f>
        <v/>
      </c>
      <c r="R1284" t="str">
        <f t="shared" si="86"/>
        <v/>
      </c>
      <c r="S1284" s="6" t="str">
        <f>IF(OR($A1284="",$C1284=""),"",IFERROR(INDEX(Turno!$C$3:$V$32,MATCH($C1284,Turno!$B$3:$B$32,0),MATCH(DAY($A1284),Turno!$C$1:$V$1,0)),""))</f>
        <v/>
      </c>
      <c r="T1284" t="str">
        <f>IF(OR($E1284="",$S1284=""),"",IFERROR(MAX(0,ROUND((INDEX(Config!$D$15:$D$18,MATCH($S1284,Config!$B$15:$B$18,0))-$E1284)*1440,0)),""))</f>
        <v/>
      </c>
      <c r="U1284" s="13" t="str">
        <f>IF(OR($N1284="",$T1284=""),"",IFERROR(MAX(0,1-($N1284+$T1284+MAX(0,N($Q1284)))/ROUND((INDEX(Config!$D$15:$D$18,MATCH($S1284,Config!$B$15:$B$18,0))-INDEX(Config!$C$15:$C$18,MATCH($S1284,Config!$B$15:$B$18,0)))*1440,0)),""))</f>
        <v/>
      </c>
      <c r="V1284" s="5"/>
    </row>
    <row r="1285" spans="1:22" x14ac:dyDescent="0.25">
      <c r="A1285" s="11"/>
      <c r="B1285" s="5"/>
      <c r="C1285" s="6" t="str">
        <f>IFERROR(INDEX(Ejecutivos!$B$2:$B$100,MATCH(B1285,Ejecutivos!$A$2:$A$100,0)),"")</f>
        <v/>
      </c>
      <c r="D1285" s="12"/>
      <c r="E1285" s="12"/>
      <c r="F1285" s="12"/>
      <c r="G1285" s="12"/>
      <c r="H1285" s="5"/>
      <c r="I1285" s="5"/>
      <c r="J1285" s="5"/>
      <c r="K1285" s="5"/>
      <c r="L1285" s="18">
        <v>0</v>
      </c>
      <c r="M1285" t="str">
        <f t="shared" si="83"/>
        <v/>
      </c>
      <c r="N1285" t="str">
        <f>IF(OR($D1285="",$S1285=""),"",IFERROR(MAX(0,ROUND(($D1285-INDEX(Config!$C$15:$C$18,MATCH($S1285,Config!$B$15:$B$18,0)))*24*60,0)),""))</f>
        <v/>
      </c>
      <c r="O1285" t="str">
        <f t="shared" si="84"/>
        <v/>
      </c>
      <c r="P1285" t="str">
        <f t="shared" si="85"/>
        <v/>
      </c>
      <c r="Q1285" t="str">
        <f>IF(OR($P1285="",$S1285=""),"",IFERROR($P1285-INDEX(Config!$E$15:$E$18,MATCH($S1285,Config!$B$15:$B$18,0)),""))</f>
        <v/>
      </c>
      <c r="R1285" t="str">
        <f t="shared" si="86"/>
        <v/>
      </c>
      <c r="S1285" s="6" t="str">
        <f>IF(OR($A1285="",$C1285=""),"",IFERROR(INDEX(Turno!$C$3:$V$32,MATCH($C1285,Turno!$B$3:$B$32,0),MATCH(DAY($A1285),Turno!$C$1:$V$1,0)),""))</f>
        <v/>
      </c>
      <c r="T1285" t="str">
        <f>IF(OR($E1285="",$S1285=""),"",IFERROR(MAX(0,ROUND((INDEX(Config!$D$15:$D$18,MATCH($S1285,Config!$B$15:$B$18,0))-$E1285)*1440,0)),""))</f>
        <v/>
      </c>
      <c r="U1285" s="13" t="str">
        <f>IF(OR($N1285="",$T1285=""),"",IFERROR(MAX(0,1-($N1285+$T1285+MAX(0,N($Q1285)))/ROUND((INDEX(Config!$D$15:$D$18,MATCH($S1285,Config!$B$15:$B$18,0))-INDEX(Config!$C$15:$C$18,MATCH($S1285,Config!$B$15:$B$18,0)))*1440,0)),""))</f>
        <v/>
      </c>
      <c r="V1285" s="5"/>
    </row>
    <row r="1286" spans="1:22" x14ac:dyDescent="0.25">
      <c r="A1286" s="11"/>
      <c r="B1286" s="5"/>
      <c r="C1286" s="6" t="str">
        <f>IFERROR(INDEX(Ejecutivos!$B$2:$B$100,MATCH(B1286,Ejecutivos!$A$2:$A$100,0)),"")</f>
        <v/>
      </c>
      <c r="D1286" s="12"/>
      <c r="E1286" s="12"/>
      <c r="F1286" s="12"/>
      <c r="G1286" s="12"/>
      <c r="H1286" s="5"/>
      <c r="I1286" s="5"/>
      <c r="J1286" s="5"/>
      <c r="K1286" s="5"/>
      <c r="L1286" s="18">
        <v>0</v>
      </c>
      <c r="M1286" t="str">
        <f t="shared" si="83"/>
        <v/>
      </c>
      <c r="N1286" t="str">
        <f>IF(OR($D1286="",$S1286=""),"",IFERROR(MAX(0,ROUND(($D1286-INDEX(Config!$C$15:$C$18,MATCH($S1286,Config!$B$15:$B$18,0)))*24*60,0)),""))</f>
        <v/>
      </c>
      <c r="O1286" t="str">
        <f t="shared" si="84"/>
        <v/>
      </c>
      <c r="P1286" t="str">
        <f t="shared" si="85"/>
        <v/>
      </c>
      <c r="Q1286" t="str">
        <f>IF(OR($P1286="",$S1286=""),"",IFERROR($P1286-INDEX(Config!$E$15:$E$18,MATCH($S1286,Config!$B$15:$B$18,0)),""))</f>
        <v/>
      </c>
      <c r="R1286" t="str">
        <f t="shared" si="86"/>
        <v/>
      </c>
      <c r="S1286" s="6" t="str">
        <f>IF(OR($A1286="",$C1286=""),"",IFERROR(INDEX(Turno!$C$3:$V$32,MATCH($C1286,Turno!$B$3:$B$32,0),MATCH(DAY($A1286),Turno!$C$1:$V$1,0)),""))</f>
        <v/>
      </c>
      <c r="T1286" t="str">
        <f>IF(OR($E1286="",$S1286=""),"",IFERROR(MAX(0,ROUND((INDEX(Config!$D$15:$D$18,MATCH($S1286,Config!$B$15:$B$18,0))-$E1286)*1440,0)),""))</f>
        <v/>
      </c>
      <c r="U1286" s="13" t="str">
        <f>IF(OR($N1286="",$T1286=""),"",IFERROR(MAX(0,1-($N1286+$T1286+MAX(0,N($Q1286)))/ROUND((INDEX(Config!$D$15:$D$18,MATCH($S1286,Config!$B$15:$B$18,0))-INDEX(Config!$C$15:$C$18,MATCH($S1286,Config!$B$15:$B$18,0)))*1440,0)),""))</f>
        <v/>
      </c>
      <c r="V1286" s="5"/>
    </row>
    <row r="1287" spans="1:22" x14ac:dyDescent="0.25">
      <c r="A1287" s="11"/>
      <c r="B1287" s="5"/>
      <c r="C1287" s="6" t="str">
        <f>IFERROR(INDEX(Ejecutivos!$B$2:$B$100,MATCH(B1287,Ejecutivos!$A$2:$A$100,0)),"")</f>
        <v/>
      </c>
      <c r="D1287" s="12"/>
      <c r="E1287" s="12"/>
      <c r="F1287" s="12"/>
      <c r="G1287" s="12"/>
      <c r="H1287" s="5"/>
      <c r="I1287" s="5"/>
      <c r="J1287" s="5"/>
      <c r="K1287" s="5"/>
      <c r="L1287" s="18">
        <v>0</v>
      </c>
      <c r="M1287" t="str">
        <f t="shared" si="83"/>
        <v/>
      </c>
      <c r="N1287" t="str">
        <f>IF(OR($D1287="",$S1287=""),"",IFERROR(MAX(0,ROUND(($D1287-INDEX(Config!$C$15:$C$18,MATCH($S1287,Config!$B$15:$B$18,0)))*24*60,0)),""))</f>
        <v/>
      </c>
      <c r="O1287" t="str">
        <f t="shared" si="84"/>
        <v/>
      </c>
      <c r="P1287" t="str">
        <f t="shared" si="85"/>
        <v/>
      </c>
      <c r="Q1287" t="str">
        <f>IF(OR($P1287="",$S1287=""),"",IFERROR($P1287-INDEX(Config!$E$15:$E$18,MATCH($S1287,Config!$B$15:$B$18,0)),""))</f>
        <v/>
      </c>
      <c r="R1287" t="str">
        <f t="shared" si="86"/>
        <v/>
      </c>
      <c r="S1287" s="6" t="str">
        <f>IF(OR($A1287="",$C1287=""),"",IFERROR(INDEX(Turno!$C$3:$V$32,MATCH($C1287,Turno!$B$3:$B$32,0),MATCH(DAY($A1287),Turno!$C$1:$V$1,0)),""))</f>
        <v/>
      </c>
      <c r="T1287" t="str">
        <f>IF(OR($E1287="",$S1287=""),"",IFERROR(MAX(0,ROUND((INDEX(Config!$D$15:$D$18,MATCH($S1287,Config!$B$15:$B$18,0))-$E1287)*1440,0)),""))</f>
        <v/>
      </c>
      <c r="U1287" s="13" t="str">
        <f>IF(OR($N1287="",$T1287=""),"",IFERROR(MAX(0,1-($N1287+$T1287+MAX(0,N($Q1287)))/ROUND((INDEX(Config!$D$15:$D$18,MATCH($S1287,Config!$B$15:$B$18,0))-INDEX(Config!$C$15:$C$18,MATCH($S1287,Config!$B$15:$B$18,0)))*1440,0)),""))</f>
        <v/>
      </c>
      <c r="V1287" s="5"/>
    </row>
    <row r="1288" spans="1:22" x14ac:dyDescent="0.25">
      <c r="A1288" s="11"/>
      <c r="B1288" s="5"/>
      <c r="C1288" s="6" t="str">
        <f>IFERROR(INDEX(Ejecutivos!$B$2:$B$100,MATCH(B1288,Ejecutivos!$A$2:$A$100,0)),"")</f>
        <v/>
      </c>
      <c r="D1288" s="12"/>
      <c r="E1288" s="12"/>
      <c r="F1288" s="12"/>
      <c r="G1288" s="12"/>
      <c r="H1288" s="5"/>
      <c r="I1288" s="5"/>
      <c r="J1288" s="5"/>
      <c r="K1288" s="5"/>
      <c r="L1288" s="18">
        <v>0</v>
      </c>
      <c r="M1288" t="str">
        <f t="shared" si="83"/>
        <v/>
      </c>
      <c r="N1288" t="str">
        <f>IF(OR($D1288="",$S1288=""),"",IFERROR(MAX(0,ROUND(($D1288-INDEX(Config!$C$15:$C$18,MATCH($S1288,Config!$B$15:$B$18,0)))*24*60,0)),""))</f>
        <v/>
      </c>
      <c r="O1288" t="str">
        <f t="shared" si="84"/>
        <v/>
      </c>
      <c r="P1288" t="str">
        <f t="shared" si="85"/>
        <v/>
      </c>
      <c r="Q1288" t="str">
        <f>IF(OR($P1288="",$S1288=""),"",IFERROR($P1288-INDEX(Config!$E$15:$E$18,MATCH($S1288,Config!$B$15:$B$18,0)),""))</f>
        <v/>
      </c>
      <c r="R1288" t="str">
        <f t="shared" si="86"/>
        <v/>
      </c>
      <c r="S1288" s="6" t="str">
        <f>IF(OR($A1288="",$C1288=""),"",IFERROR(INDEX(Turno!$C$3:$V$32,MATCH($C1288,Turno!$B$3:$B$32,0),MATCH(DAY($A1288),Turno!$C$1:$V$1,0)),""))</f>
        <v/>
      </c>
      <c r="T1288" t="str">
        <f>IF(OR($E1288="",$S1288=""),"",IFERROR(MAX(0,ROUND((INDEX(Config!$D$15:$D$18,MATCH($S1288,Config!$B$15:$B$18,0))-$E1288)*1440,0)),""))</f>
        <v/>
      </c>
      <c r="U1288" s="13" t="str">
        <f>IF(OR($N1288="",$T1288=""),"",IFERROR(MAX(0,1-($N1288+$T1288+MAX(0,N($Q1288)))/ROUND((INDEX(Config!$D$15:$D$18,MATCH($S1288,Config!$B$15:$B$18,0))-INDEX(Config!$C$15:$C$18,MATCH($S1288,Config!$B$15:$B$18,0)))*1440,0)),""))</f>
        <v/>
      </c>
      <c r="V1288" s="5"/>
    </row>
    <row r="1289" spans="1:22" x14ac:dyDescent="0.25">
      <c r="A1289" s="11"/>
      <c r="B1289" s="5"/>
      <c r="C1289" s="6" t="str">
        <f>IFERROR(INDEX(Ejecutivos!$B$2:$B$100,MATCH(B1289,Ejecutivos!$A$2:$A$100,0)),"")</f>
        <v/>
      </c>
      <c r="D1289" s="12"/>
      <c r="E1289" s="12"/>
      <c r="F1289" s="12"/>
      <c r="G1289" s="12"/>
      <c r="H1289" s="5"/>
      <c r="I1289" s="5"/>
      <c r="J1289" s="5"/>
      <c r="K1289" s="5"/>
      <c r="L1289" s="18">
        <v>0</v>
      </c>
      <c r="M1289" t="str">
        <f t="shared" si="83"/>
        <v/>
      </c>
      <c r="N1289" t="str">
        <f>IF(OR($D1289="",$S1289=""),"",IFERROR(MAX(0,ROUND(($D1289-INDEX(Config!$C$15:$C$18,MATCH($S1289,Config!$B$15:$B$18,0)))*24*60,0)),""))</f>
        <v/>
      </c>
      <c r="O1289" t="str">
        <f t="shared" si="84"/>
        <v/>
      </c>
      <c r="P1289" t="str">
        <f t="shared" si="85"/>
        <v/>
      </c>
      <c r="Q1289" t="str">
        <f>IF(OR($P1289="",$S1289=""),"",IFERROR($P1289-INDEX(Config!$E$15:$E$18,MATCH($S1289,Config!$B$15:$B$18,0)),""))</f>
        <v/>
      </c>
      <c r="R1289" t="str">
        <f t="shared" si="86"/>
        <v/>
      </c>
      <c r="S1289" s="6" t="str">
        <f>IF(OR($A1289="",$C1289=""),"",IFERROR(INDEX(Turno!$C$3:$V$32,MATCH($C1289,Turno!$B$3:$B$32,0),MATCH(DAY($A1289),Turno!$C$1:$V$1,0)),""))</f>
        <v/>
      </c>
      <c r="T1289" t="str">
        <f>IF(OR($E1289="",$S1289=""),"",IFERROR(MAX(0,ROUND((INDEX(Config!$D$15:$D$18,MATCH($S1289,Config!$B$15:$B$18,0))-$E1289)*1440,0)),""))</f>
        <v/>
      </c>
      <c r="U1289" s="13" t="str">
        <f>IF(OR($N1289="",$T1289=""),"",IFERROR(MAX(0,1-($N1289+$T1289+MAX(0,N($Q1289)))/ROUND((INDEX(Config!$D$15:$D$18,MATCH($S1289,Config!$B$15:$B$18,0))-INDEX(Config!$C$15:$C$18,MATCH($S1289,Config!$B$15:$B$18,0)))*1440,0)),""))</f>
        <v/>
      </c>
      <c r="V1289" s="5"/>
    </row>
    <row r="1290" spans="1:22" x14ac:dyDescent="0.25">
      <c r="A1290" s="11"/>
      <c r="B1290" s="5"/>
      <c r="C1290" s="6" t="str">
        <f>IFERROR(INDEX(Ejecutivos!$B$2:$B$100,MATCH(B1290,Ejecutivos!$A$2:$A$100,0)),"")</f>
        <v/>
      </c>
      <c r="D1290" s="12"/>
      <c r="E1290" s="12"/>
      <c r="F1290" s="12"/>
      <c r="G1290" s="12"/>
      <c r="H1290" s="5"/>
      <c r="I1290" s="5"/>
      <c r="J1290" s="5"/>
      <c r="K1290" s="5"/>
      <c r="L1290" s="18">
        <v>0</v>
      </c>
      <c r="M1290" t="str">
        <f t="shared" si="83"/>
        <v/>
      </c>
      <c r="N1290" t="str">
        <f>IF(OR($D1290="",$S1290=""),"",IFERROR(MAX(0,ROUND(($D1290-INDEX(Config!$C$15:$C$18,MATCH($S1290,Config!$B$15:$B$18,0)))*24*60,0)),""))</f>
        <v/>
      </c>
      <c r="O1290" t="str">
        <f t="shared" si="84"/>
        <v/>
      </c>
      <c r="P1290" t="str">
        <f t="shared" si="85"/>
        <v/>
      </c>
      <c r="Q1290" t="str">
        <f>IF(OR($P1290="",$S1290=""),"",IFERROR($P1290-INDEX(Config!$E$15:$E$18,MATCH($S1290,Config!$B$15:$B$18,0)),""))</f>
        <v/>
      </c>
      <c r="R1290" t="str">
        <f t="shared" si="86"/>
        <v/>
      </c>
      <c r="S1290" s="6" t="str">
        <f>IF(OR($A1290="",$C1290=""),"",IFERROR(INDEX(Turno!$C$3:$V$32,MATCH($C1290,Turno!$B$3:$B$32,0),MATCH(DAY($A1290),Turno!$C$1:$V$1,0)),""))</f>
        <v/>
      </c>
      <c r="T1290" t="str">
        <f>IF(OR($E1290="",$S1290=""),"",IFERROR(MAX(0,ROUND((INDEX(Config!$D$15:$D$18,MATCH($S1290,Config!$B$15:$B$18,0))-$E1290)*1440,0)),""))</f>
        <v/>
      </c>
      <c r="U1290" s="13" t="str">
        <f>IF(OR($N1290="",$T1290=""),"",IFERROR(MAX(0,1-($N1290+$T1290+MAX(0,N($Q1290)))/ROUND((INDEX(Config!$D$15:$D$18,MATCH($S1290,Config!$B$15:$B$18,0))-INDEX(Config!$C$15:$C$18,MATCH($S1290,Config!$B$15:$B$18,0)))*1440,0)),""))</f>
        <v/>
      </c>
      <c r="V1290" s="5"/>
    </row>
    <row r="1291" spans="1:22" x14ac:dyDescent="0.25">
      <c r="A1291" s="11"/>
      <c r="B1291" s="5"/>
      <c r="C1291" s="6" t="str">
        <f>IFERROR(INDEX(Ejecutivos!$B$2:$B$100,MATCH(B1291,Ejecutivos!$A$2:$A$100,0)),"")</f>
        <v/>
      </c>
      <c r="D1291" s="12"/>
      <c r="E1291" s="12"/>
      <c r="F1291" s="12"/>
      <c r="G1291" s="12"/>
      <c r="H1291" s="5"/>
      <c r="I1291" s="5"/>
      <c r="J1291" s="5"/>
      <c r="K1291" s="5"/>
      <c r="L1291" s="18">
        <v>0</v>
      </c>
      <c r="M1291" t="str">
        <f t="shared" si="83"/>
        <v/>
      </c>
      <c r="N1291" t="str">
        <f>IF(OR($D1291="",$S1291=""),"",IFERROR(MAX(0,ROUND(($D1291-INDEX(Config!$C$15:$C$18,MATCH($S1291,Config!$B$15:$B$18,0)))*24*60,0)),""))</f>
        <v/>
      </c>
      <c r="O1291" t="str">
        <f t="shared" si="84"/>
        <v/>
      </c>
      <c r="P1291" t="str">
        <f t="shared" si="85"/>
        <v/>
      </c>
      <c r="Q1291" t="str">
        <f>IF(OR($P1291="",$S1291=""),"",IFERROR($P1291-INDEX(Config!$E$15:$E$18,MATCH($S1291,Config!$B$15:$B$18,0)),""))</f>
        <v/>
      </c>
      <c r="R1291" t="str">
        <f t="shared" si="86"/>
        <v/>
      </c>
      <c r="S1291" s="6" t="str">
        <f>IF(OR($A1291="",$C1291=""),"",IFERROR(INDEX(Turno!$C$3:$V$32,MATCH($C1291,Turno!$B$3:$B$32,0),MATCH(DAY($A1291),Turno!$C$1:$V$1,0)),""))</f>
        <v/>
      </c>
      <c r="T1291" t="str">
        <f>IF(OR($E1291="",$S1291=""),"",IFERROR(MAX(0,ROUND((INDEX(Config!$D$15:$D$18,MATCH($S1291,Config!$B$15:$B$18,0))-$E1291)*1440,0)),""))</f>
        <v/>
      </c>
      <c r="U1291" s="13" t="str">
        <f>IF(OR($N1291="",$T1291=""),"",IFERROR(MAX(0,1-($N1291+$T1291+MAX(0,N($Q1291)))/ROUND((INDEX(Config!$D$15:$D$18,MATCH($S1291,Config!$B$15:$B$18,0))-INDEX(Config!$C$15:$C$18,MATCH($S1291,Config!$B$15:$B$18,0)))*1440,0)),""))</f>
        <v/>
      </c>
      <c r="V1291" s="5"/>
    </row>
    <row r="1292" spans="1:22" x14ac:dyDescent="0.25">
      <c r="A1292" s="11"/>
      <c r="B1292" s="5"/>
      <c r="C1292" s="6" t="str">
        <f>IFERROR(INDEX(Ejecutivos!$B$2:$B$100,MATCH(B1292,Ejecutivos!$A$2:$A$100,0)),"")</f>
        <v/>
      </c>
      <c r="D1292" s="12"/>
      <c r="E1292" s="12"/>
      <c r="F1292" s="12"/>
      <c r="G1292" s="12"/>
      <c r="H1292" s="5"/>
      <c r="I1292" s="5"/>
      <c r="J1292" s="5"/>
      <c r="K1292" s="5"/>
      <c r="L1292" s="18">
        <v>0</v>
      </c>
      <c r="M1292" t="str">
        <f t="shared" si="83"/>
        <v/>
      </c>
      <c r="N1292" t="str">
        <f>IF(OR($D1292="",$S1292=""),"",IFERROR(MAX(0,ROUND(($D1292-INDEX(Config!$C$15:$C$18,MATCH($S1292,Config!$B$15:$B$18,0)))*24*60,0)),""))</f>
        <v/>
      </c>
      <c r="O1292" t="str">
        <f t="shared" si="84"/>
        <v/>
      </c>
      <c r="P1292" t="str">
        <f t="shared" si="85"/>
        <v/>
      </c>
      <c r="Q1292" t="str">
        <f>IF(OR($P1292="",$S1292=""),"",IFERROR($P1292-INDEX(Config!$E$15:$E$18,MATCH($S1292,Config!$B$15:$B$18,0)),""))</f>
        <v/>
      </c>
      <c r="R1292" t="str">
        <f t="shared" si="86"/>
        <v/>
      </c>
      <c r="S1292" s="6" t="str">
        <f>IF(OR($A1292="",$C1292=""),"",IFERROR(INDEX(Turno!$C$3:$V$32,MATCH($C1292,Turno!$B$3:$B$32,0),MATCH(DAY($A1292),Turno!$C$1:$V$1,0)),""))</f>
        <v/>
      </c>
      <c r="T1292" t="str">
        <f>IF(OR($E1292="",$S1292=""),"",IFERROR(MAX(0,ROUND((INDEX(Config!$D$15:$D$18,MATCH($S1292,Config!$B$15:$B$18,0))-$E1292)*1440,0)),""))</f>
        <v/>
      </c>
      <c r="U1292" s="13" t="str">
        <f>IF(OR($N1292="",$T1292=""),"",IFERROR(MAX(0,1-($N1292+$T1292+MAX(0,N($Q1292)))/ROUND((INDEX(Config!$D$15:$D$18,MATCH($S1292,Config!$B$15:$B$18,0))-INDEX(Config!$C$15:$C$18,MATCH($S1292,Config!$B$15:$B$18,0)))*1440,0)),""))</f>
        <v/>
      </c>
      <c r="V1292" s="5"/>
    </row>
    <row r="1293" spans="1:22" x14ac:dyDescent="0.25">
      <c r="A1293" s="11"/>
      <c r="B1293" s="5"/>
      <c r="C1293" s="6" t="str">
        <f>IFERROR(INDEX(Ejecutivos!$B$2:$B$100,MATCH(B1293,Ejecutivos!$A$2:$A$100,0)),"")</f>
        <v/>
      </c>
      <c r="D1293" s="12"/>
      <c r="E1293" s="12"/>
      <c r="F1293" s="12"/>
      <c r="G1293" s="12"/>
      <c r="H1293" s="5"/>
      <c r="I1293" s="5"/>
      <c r="J1293" s="5"/>
      <c r="K1293" s="5"/>
      <c r="L1293" s="18">
        <v>0</v>
      </c>
      <c r="M1293" t="str">
        <f t="shared" si="83"/>
        <v/>
      </c>
      <c r="N1293" t="str">
        <f>IF(OR($D1293="",$S1293=""),"",IFERROR(MAX(0,ROUND(($D1293-INDEX(Config!$C$15:$C$18,MATCH($S1293,Config!$B$15:$B$18,0)))*24*60,0)),""))</f>
        <v/>
      </c>
      <c r="O1293" t="str">
        <f t="shared" si="84"/>
        <v/>
      </c>
      <c r="P1293" t="str">
        <f t="shared" si="85"/>
        <v/>
      </c>
      <c r="Q1293" t="str">
        <f>IF(OR($P1293="",$S1293=""),"",IFERROR($P1293-INDEX(Config!$E$15:$E$18,MATCH($S1293,Config!$B$15:$B$18,0)),""))</f>
        <v/>
      </c>
      <c r="R1293" t="str">
        <f t="shared" si="86"/>
        <v/>
      </c>
      <c r="S1293" s="6" t="str">
        <f>IF(OR($A1293="",$C1293=""),"",IFERROR(INDEX(Turno!$C$3:$V$32,MATCH($C1293,Turno!$B$3:$B$32,0),MATCH(DAY($A1293),Turno!$C$1:$V$1,0)),""))</f>
        <v/>
      </c>
      <c r="T1293" t="str">
        <f>IF(OR($E1293="",$S1293=""),"",IFERROR(MAX(0,ROUND((INDEX(Config!$D$15:$D$18,MATCH($S1293,Config!$B$15:$B$18,0))-$E1293)*1440,0)),""))</f>
        <v/>
      </c>
      <c r="U1293" s="13" t="str">
        <f>IF(OR($N1293="",$T1293=""),"",IFERROR(MAX(0,1-($N1293+$T1293+MAX(0,N($Q1293)))/ROUND((INDEX(Config!$D$15:$D$18,MATCH($S1293,Config!$B$15:$B$18,0))-INDEX(Config!$C$15:$C$18,MATCH($S1293,Config!$B$15:$B$18,0)))*1440,0)),""))</f>
        <v/>
      </c>
      <c r="V1293" s="5"/>
    </row>
    <row r="1294" spans="1:22" x14ac:dyDescent="0.25">
      <c r="A1294" s="11"/>
      <c r="B1294" s="5"/>
      <c r="C1294" s="6" t="str">
        <f>IFERROR(INDEX(Ejecutivos!$B$2:$B$100,MATCH(B1294,Ejecutivos!$A$2:$A$100,0)),"")</f>
        <v/>
      </c>
      <c r="D1294" s="12"/>
      <c r="E1294" s="12"/>
      <c r="F1294" s="12"/>
      <c r="G1294" s="12"/>
      <c r="H1294" s="5"/>
      <c r="I1294" s="5"/>
      <c r="J1294" s="5"/>
      <c r="K1294" s="5"/>
      <c r="L1294" s="18">
        <v>0</v>
      </c>
      <c r="M1294" t="str">
        <f t="shared" si="83"/>
        <v/>
      </c>
      <c r="N1294" t="str">
        <f>IF(OR($D1294="",$S1294=""),"",IFERROR(MAX(0,ROUND(($D1294-INDEX(Config!$C$15:$C$18,MATCH($S1294,Config!$B$15:$B$18,0)))*24*60,0)),""))</f>
        <v/>
      </c>
      <c r="O1294" t="str">
        <f t="shared" si="84"/>
        <v/>
      </c>
      <c r="P1294" t="str">
        <f t="shared" si="85"/>
        <v/>
      </c>
      <c r="Q1294" t="str">
        <f>IF(OR($P1294="",$S1294=""),"",IFERROR($P1294-INDEX(Config!$E$15:$E$18,MATCH($S1294,Config!$B$15:$B$18,0)),""))</f>
        <v/>
      </c>
      <c r="R1294" t="str">
        <f t="shared" si="86"/>
        <v/>
      </c>
      <c r="S1294" s="6" t="str">
        <f>IF(OR($A1294="",$C1294=""),"",IFERROR(INDEX(Turno!$C$3:$V$32,MATCH($C1294,Turno!$B$3:$B$32,0),MATCH(DAY($A1294),Turno!$C$1:$V$1,0)),""))</f>
        <v/>
      </c>
      <c r="T1294" t="str">
        <f>IF(OR($E1294="",$S1294=""),"",IFERROR(MAX(0,ROUND((INDEX(Config!$D$15:$D$18,MATCH($S1294,Config!$B$15:$B$18,0))-$E1294)*1440,0)),""))</f>
        <v/>
      </c>
      <c r="U1294" s="13" t="str">
        <f>IF(OR($N1294="",$T1294=""),"",IFERROR(MAX(0,1-($N1294+$T1294+MAX(0,N($Q1294)))/ROUND((INDEX(Config!$D$15:$D$18,MATCH($S1294,Config!$B$15:$B$18,0))-INDEX(Config!$C$15:$C$18,MATCH($S1294,Config!$B$15:$B$18,0)))*1440,0)),""))</f>
        <v/>
      </c>
      <c r="V1294" s="5"/>
    </row>
    <row r="1295" spans="1:22" x14ac:dyDescent="0.25">
      <c r="A1295" s="11"/>
      <c r="B1295" s="5"/>
      <c r="C1295" s="6" t="str">
        <f>IFERROR(INDEX(Ejecutivos!$B$2:$B$100,MATCH(B1295,Ejecutivos!$A$2:$A$100,0)),"")</f>
        <v/>
      </c>
      <c r="D1295" s="12"/>
      <c r="E1295" s="12"/>
      <c r="F1295" s="12"/>
      <c r="G1295" s="12"/>
      <c r="H1295" s="5"/>
      <c r="I1295" s="5"/>
      <c r="J1295" s="5"/>
      <c r="K1295" s="5"/>
      <c r="L1295" s="18">
        <v>0</v>
      </c>
      <c r="M1295" t="str">
        <f t="shared" si="83"/>
        <v/>
      </c>
      <c r="N1295" t="str">
        <f>IF(OR($D1295="",$S1295=""),"",IFERROR(MAX(0,ROUND(($D1295-INDEX(Config!$C$15:$C$18,MATCH($S1295,Config!$B$15:$B$18,0)))*24*60,0)),""))</f>
        <v/>
      </c>
      <c r="O1295" t="str">
        <f t="shared" si="84"/>
        <v/>
      </c>
      <c r="P1295" t="str">
        <f t="shared" si="85"/>
        <v/>
      </c>
      <c r="Q1295" t="str">
        <f>IF(OR($P1295="",$S1295=""),"",IFERROR($P1295-INDEX(Config!$E$15:$E$18,MATCH($S1295,Config!$B$15:$B$18,0)),""))</f>
        <v/>
      </c>
      <c r="R1295" t="str">
        <f t="shared" si="86"/>
        <v/>
      </c>
      <c r="S1295" s="6" t="str">
        <f>IF(OR($A1295="",$C1295=""),"",IFERROR(INDEX(Turno!$C$3:$V$32,MATCH($C1295,Turno!$B$3:$B$32,0),MATCH(DAY($A1295),Turno!$C$1:$V$1,0)),""))</f>
        <v/>
      </c>
      <c r="T1295" t="str">
        <f>IF(OR($E1295="",$S1295=""),"",IFERROR(MAX(0,ROUND((INDEX(Config!$D$15:$D$18,MATCH($S1295,Config!$B$15:$B$18,0))-$E1295)*1440,0)),""))</f>
        <v/>
      </c>
      <c r="U1295" s="13" t="str">
        <f>IF(OR($N1295="",$T1295=""),"",IFERROR(MAX(0,1-($N1295+$T1295+MAX(0,N($Q1295)))/ROUND((INDEX(Config!$D$15:$D$18,MATCH($S1295,Config!$B$15:$B$18,0))-INDEX(Config!$C$15:$C$18,MATCH($S1295,Config!$B$15:$B$18,0)))*1440,0)),""))</f>
        <v/>
      </c>
      <c r="V1295" s="5"/>
    </row>
    <row r="1296" spans="1:22" x14ac:dyDescent="0.25">
      <c r="A1296" s="11"/>
      <c r="B1296" s="5"/>
      <c r="C1296" s="6" t="str">
        <f>IFERROR(INDEX(Ejecutivos!$B$2:$B$100,MATCH(B1296,Ejecutivos!$A$2:$A$100,0)),"")</f>
        <v/>
      </c>
      <c r="D1296" s="12"/>
      <c r="E1296" s="12"/>
      <c r="F1296" s="12"/>
      <c r="G1296" s="12"/>
      <c r="H1296" s="5"/>
      <c r="I1296" s="5"/>
      <c r="J1296" s="5"/>
      <c r="K1296" s="5"/>
      <c r="L1296" s="18">
        <v>0</v>
      </c>
      <c r="M1296" t="str">
        <f t="shared" si="83"/>
        <v/>
      </c>
      <c r="N1296" t="str">
        <f>IF(OR($D1296="",$S1296=""),"",IFERROR(MAX(0,ROUND(($D1296-INDEX(Config!$C$15:$C$18,MATCH($S1296,Config!$B$15:$B$18,0)))*24*60,0)),""))</f>
        <v/>
      </c>
      <c r="O1296" t="str">
        <f t="shared" si="84"/>
        <v/>
      </c>
      <c r="P1296" t="str">
        <f t="shared" si="85"/>
        <v/>
      </c>
      <c r="Q1296" t="str">
        <f>IF(OR($P1296="",$S1296=""),"",IFERROR($P1296-INDEX(Config!$E$15:$E$18,MATCH($S1296,Config!$B$15:$B$18,0)),""))</f>
        <v/>
      </c>
      <c r="R1296" t="str">
        <f t="shared" si="86"/>
        <v/>
      </c>
      <c r="S1296" s="6" t="str">
        <f>IF(OR($A1296="",$C1296=""),"",IFERROR(INDEX(Turno!$C$3:$V$32,MATCH($C1296,Turno!$B$3:$B$32,0),MATCH(DAY($A1296),Turno!$C$1:$V$1,0)),""))</f>
        <v/>
      </c>
      <c r="T1296" t="str">
        <f>IF(OR($E1296="",$S1296=""),"",IFERROR(MAX(0,ROUND((INDEX(Config!$D$15:$D$18,MATCH($S1296,Config!$B$15:$B$18,0))-$E1296)*1440,0)),""))</f>
        <v/>
      </c>
      <c r="U1296" s="13" t="str">
        <f>IF(OR($N1296="",$T1296=""),"",IFERROR(MAX(0,1-($N1296+$T1296+MAX(0,N($Q1296)))/ROUND((INDEX(Config!$D$15:$D$18,MATCH($S1296,Config!$B$15:$B$18,0))-INDEX(Config!$C$15:$C$18,MATCH($S1296,Config!$B$15:$B$18,0)))*1440,0)),""))</f>
        <v/>
      </c>
      <c r="V1296" s="5"/>
    </row>
    <row r="1297" spans="1:22" x14ac:dyDescent="0.25">
      <c r="A1297" s="11"/>
      <c r="B1297" s="5"/>
      <c r="C1297" s="6" t="str">
        <f>IFERROR(INDEX(Ejecutivos!$B$2:$B$100,MATCH(B1297,Ejecutivos!$A$2:$A$100,0)),"")</f>
        <v/>
      </c>
      <c r="D1297" s="12"/>
      <c r="E1297" s="12"/>
      <c r="F1297" s="12"/>
      <c r="G1297" s="12"/>
      <c r="H1297" s="5"/>
      <c r="I1297" s="5"/>
      <c r="J1297" s="5"/>
      <c r="K1297" s="5"/>
      <c r="L1297" s="18">
        <v>0</v>
      </c>
      <c r="M1297" t="str">
        <f t="shared" si="83"/>
        <v/>
      </c>
      <c r="N1297" t="str">
        <f>IF(OR($D1297="",$S1297=""),"",IFERROR(MAX(0,ROUND(($D1297-INDEX(Config!$C$15:$C$18,MATCH($S1297,Config!$B$15:$B$18,0)))*24*60,0)),""))</f>
        <v/>
      </c>
      <c r="O1297" t="str">
        <f t="shared" si="84"/>
        <v/>
      </c>
      <c r="P1297" t="str">
        <f t="shared" si="85"/>
        <v/>
      </c>
      <c r="Q1297" t="str">
        <f>IF(OR($P1297="",$S1297=""),"",IFERROR($P1297-INDEX(Config!$E$15:$E$18,MATCH($S1297,Config!$B$15:$B$18,0)),""))</f>
        <v/>
      </c>
      <c r="R1297" t="str">
        <f t="shared" si="86"/>
        <v/>
      </c>
      <c r="S1297" s="6" t="str">
        <f>IF(OR($A1297="",$C1297=""),"",IFERROR(INDEX(Turno!$C$3:$V$32,MATCH($C1297,Turno!$B$3:$B$32,0),MATCH(DAY($A1297),Turno!$C$1:$V$1,0)),""))</f>
        <v/>
      </c>
      <c r="T1297" t="str">
        <f>IF(OR($E1297="",$S1297=""),"",IFERROR(MAX(0,ROUND((INDEX(Config!$D$15:$D$18,MATCH($S1297,Config!$B$15:$B$18,0))-$E1297)*1440,0)),""))</f>
        <v/>
      </c>
      <c r="U1297" s="13" t="str">
        <f>IF(OR($N1297="",$T1297=""),"",IFERROR(MAX(0,1-($N1297+$T1297+MAX(0,N($Q1297)))/ROUND((INDEX(Config!$D$15:$D$18,MATCH($S1297,Config!$B$15:$B$18,0))-INDEX(Config!$C$15:$C$18,MATCH($S1297,Config!$B$15:$B$18,0)))*1440,0)),""))</f>
        <v/>
      </c>
      <c r="V1297" s="5"/>
    </row>
    <row r="1298" spans="1:22" x14ac:dyDescent="0.25">
      <c r="A1298" s="11"/>
      <c r="B1298" s="5"/>
      <c r="C1298" s="6" t="str">
        <f>IFERROR(INDEX(Ejecutivos!$B$2:$B$100,MATCH(B1298,Ejecutivos!$A$2:$A$100,0)),"")</f>
        <v/>
      </c>
      <c r="D1298" s="12"/>
      <c r="E1298" s="12"/>
      <c r="F1298" s="12"/>
      <c r="G1298" s="12"/>
      <c r="H1298" s="5"/>
      <c r="I1298" s="5"/>
      <c r="J1298" s="5"/>
      <c r="K1298" s="5"/>
      <c r="L1298" s="18">
        <v>0</v>
      </c>
      <c r="M1298" t="str">
        <f t="shared" si="83"/>
        <v/>
      </c>
      <c r="N1298" t="str">
        <f>IF(OR($D1298="",$S1298=""),"",IFERROR(MAX(0,ROUND(($D1298-INDEX(Config!$C$15:$C$18,MATCH($S1298,Config!$B$15:$B$18,0)))*24*60,0)),""))</f>
        <v/>
      </c>
      <c r="O1298" t="str">
        <f t="shared" si="84"/>
        <v/>
      </c>
      <c r="P1298" t="str">
        <f t="shared" si="85"/>
        <v/>
      </c>
      <c r="Q1298" t="str">
        <f>IF(OR($P1298="",$S1298=""),"",IFERROR($P1298-INDEX(Config!$E$15:$E$18,MATCH($S1298,Config!$B$15:$B$18,0)),""))</f>
        <v/>
      </c>
      <c r="R1298" t="str">
        <f t="shared" si="86"/>
        <v/>
      </c>
      <c r="S1298" s="6" t="str">
        <f>IF(OR($A1298="",$C1298=""),"",IFERROR(INDEX(Turno!$C$3:$V$32,MATCH($C1298,Turno!$B$3:$B$32,0),MATCH(DAY($A1298),Turno!$C$1:$V$1,0)),""))</f>
        <v/>
      </c>
      <c r="T1298" t="str">
        <f>IF(OR($E1298="",$S1298=""),"",IFERROR(MAX(0,ROUND((INDEX(Config!$D$15:$D$18,MATCH($S1298,Config!$B$15:$B$18,0))-$E1298)*1440,0)),""))</f>
        <v/>
      </c>
      <c r="U1298" s="13" t="str">
        <f>IF(OR($N1298="",$T1298=""),"",IFERROR(MAX(0,1-($N1298+$T1298+MAX(0,N($Q1298)))/ROUND((INDEX(Config!$D$15:$D$18,MATCH($S1298,Config!$B$15:$B$18,0))-INDEX(Config!$C$15:$C$18,MATCH($S1298,Config!$B$15:$B$18,0)))*1440,0)),""))</f>
        <v/>
      </c>
      <c r="V1298" s="5"/>
    </row>
    <row r="1299" spans="1:22" x14ac:dyDescent="0.25">
      <c r="A1299" s="11"/>
      <c r="B1299" s="5"/>
      <c r="C1299" s="6" t="str">
        <f>IFERROR(INDEX(Ejecutivos!$B$2:$B$100,MATCH(B1299,Ejecutivos!$A$2:$A$100,0)),"")</f>
        <v/>
      </c>
      <c r="D1299" s="12"/>
      <c r="E1299" s="12"/>
      <c r="F1299" s="12"/>
      <c r="G1299" s="12"/>
      <c r="H1299" s="5"/>
      <c r="I1299" s="5"/>
      <c r="J1299" s="5"/>
      <c r="K1299" s="5"/>
      <c r="L1299" s="18">
        <v>0</v>
      </c>
      <c r="M1299" t="str">
        <f t="shared" si="83"/>
        <v/>
      </c>
      <c r="N1299" t="str">
        <f>IF(OR($D1299="",$S1299=""),"",IFERROR(MAX(0,ROUND(($D1299-INDEX(Config!$C$15:$C$18,MATCH($S1299,Config!$B$15:$B$18,0)))*24*60,0)),""))</f>
        <v/>
      </c>
      <c r="O1299" t="str">
        <f t="shared" si="84"/>
        <v/>
      </c>
      <c r="P1299" t="str">
        <f t="shared" si="85"/>
        <v/>
      </c>
      <c r="Q1299" t="str">
        <f>IF(OR($P1299="",$S1299=""),"",IFERROR($P1299-INDEX(Config!$E$15:$E$18,MATCH($S1299,Config!$B$15:$B$18,0)),""))</f>
        <v/>
      </c>
      <c r="R1299" t="str">
        <f t="shared" si="86"/>
        <v/>
      </c>
      <c r="S1299" s="6" t="str">
        <f>IF(OR($A1299="",$C1299=""),"",IFERROR(INDEX(Turno!$C$3:$V$32,MATCH($C1299,Turno!$B$3:$B$32,0),MATCH(DAY($A1299),Turno!$C$1:$V$1,0)),""))</f>
        <v/>
      </c>
      <c r="T1299" t="str">
        <f>IF(OR($E1299="",$S1299=""),"",IFERROR(MAX(0,ROUND((INDEX(Config!$D$15:$D$18,MATCH($S1299,Config!$B$15:$B$18,0))-$E1299)*1440,0)),""))</f>
        <v/>
      </c>
      <c r="U1299" s="13" t="str">
        <f>IF(OR($N1299="",$T1299=""),"",IFERROR(MAX(0,1-($N1299+$T1299+MAX(0,N($Q1299)))/ROUND((INDEX(Config!$D$15:$D$18,MATCH($S1299,Config!$B$15:$B$18,0))-INDEX(Config!$C$15:$C$18,MATCH($S1299,Config!$B$15:$B$18,0)))*1440,0)),""))</f>
        <v/>
      </c>
      <c r="V1299" s="5"/>
    </row>
    <row r="1300" spans="1:22" x14ac:dyDescent="0.25">
      <c r="A1300" s="11"/>
      <c r="B1300" s="5"/>
      <c r="C1300" s="6" t="str">
        <f>IFERROR(INDEX(Ejecutivos!$B$2:$B$100,MATCH(B1300,Ejecutivos!$A$2:$A$100,0)),"")</f>
        <v/>
      </c>
      <c r="D1300" s="12"/>
      <c r="E1300" s="12"/>
      <c r="F1300" s="12"/>
      <c r="G1300" s="12"/>
      <c r="H1300" s="5"/>
      <c r="I1300" s="5"/>
      <c r="J1300" s="5"/>
      <c r="K1300" s="5"/>
      <c r="L1300" s="18">
        <v>0</v>
      </c>
      <c r="M1300" t="str">
        <f t="shared" si="83"/>
        <v/>
      </c>
      <c r="N1300" t="str">
        <f>IF(OR($D1300="",$S1300=""),"",IFERROR(MAX(0,ROUND(($D1300-INDEX(Config!$C$15:$C$18,MATCH($S1300,Config!$B$15:$B$18,0)))*24*60,0)),""))</f>
        <v/>
      </c>
      <c r="O1300" t="str">
        <f t="shared" si="84"/>
        <v/>
      </c>
      <c r="P1300" t="str">
        <f t="shared" si="85"/>
        <v/>
      </c>
      <c r="Q1300" t="str">
        <f>IF(OR($P1300="",$S1300=""),"",IFERROR($P1300-INDEX(Config!$E$15:$E$18,MATCH($S1300,Config!$B$15:$B$18,0)),""))</f>
        <v/>
      </c>
      <c r="R1300" t="str">
        <f t="shared" si="86"/>
        <v/>
      </c>
      <c r="S1300" s="6" t="str">
        <f>IF(OR($A1300="",$C1300=""),"",IFERROR(INDEX(Turno!$C$3:$V$32,MATCH($C1300,Turno!$B$3:$B$32,0),MATCH(DAY($A1300),Turno!$C$1:$V$1,0)),""))</f>
        <v/>
      </c>
      <c r="T1300" t="str">
        <f>IF(OR($E1300="",$S1300=""),"",IFERROR(MAX(0,ROUND((INDEX(Config!$D$15:$D$18,MATCH($S1300,Config!$B$15:$B$18,0))-$E1300)*1440,0)),""))</f>
        <v/>
      </c>
      <c r="U1300" s="13" t="str">
        <f>IF(OR($N1300="",$T1300=""),"",IFERROR(MAX(0,1-($N1300+$T1300+MAX(0,N($Q1300)))/ROUND((INDEX(Config!$D$15:$D$18,MATCH($S1300,Config!$B$15:$B$18,0))-INDEX(Config!$C$15:$C$18,MATCH($S1300,Config!$B$15:$B$18,0)))*1440,0)),""))</f>
        <v/>
      </c>
      <c r="V1300" s="5"/>
    </row>
    <row r="1301" spans="1:22" x14ac:dyDescent="0.25">
      <c r="A1301" s="11"/>
      <c r="B1301" s="5"/>
      <c r="C1301" s="6" t="str">
        <f>IFERROR(INDEX(Ejecutivos!$B$2:$B$100,MATCH(B1301,Ejecutivos!$A$2:$A$100,0)),"")</f>
        <v/>
      </c>
      <c r="D1301" s="12"/>
      <c r="E1301" s="12"/>
      <c r="F1301" s="12"/>
      <c r="G1301" s="12"/>
      <c r="H1301" s="5"/>
      <c r="I1301" s="5"/>
      <c r="J1301" s="5"/>
      <c r="K1301" s="5"/>
      <c r="L1301" s="18">
        <v>0</v>
      </c>
      <c r="M1301" t="str">
        <f t="shared" si="83"/>
        <v/>
      </c>
      <c r="N1301" t="str">
        <f>IF(OR($D1301="",$S1301=""),"",IFERROR(MAX(0,ROUND(($D1301-INDEX(Config!$C$15:$C$18,MATCH($S1301,Config!$B$15:$B$18,0)))*24*60,0)),""))</f>
        <v/>
      </c>
      <c r="O1301" t="str">
        <f t="shared" si="84"/>
        <v/>
      </c>
      <c r="P1301" t="str">
        <f t="shared" si="85"/>
        <v/>
      </c>
      <c r="Q1301" t="str">
        <f>IF(OR($P1301="",$S1301=""),"",IFERROR($P1301-INDEX(Config!$E$15:$E$18,MATCH($S1301,Config!$B$15:$B$18,0)),""))</f>
        <v/>
      </c>
      <c r="R1301" t="str">
        <f t="shared" si="86"/>
        <v/>
      </c>
      <c r="S1301" s="6" t="str">
        <f>IF(OR($A1301="",$C1301=""),"",IFERROR(INDEX(Turno!$C$3:$V$32,MATCH($C1301,Turno!$B$3:$B$32,0),MATCH(DAY($A1301),Turno!$C$1:$V$1,0)),""))</f>
        <v/>
      </c>
      <c r="T1301" t="str">
        <f>IF(OR($E1301="",$S1301=""),"",IFERROR(MAX(0,ROUND((INDEX(Config!$D$15:$D$18,MATCH($S1301,Config!$B$15:$B$18,0))-$E1301)*1440,0)),""))</f>
        <v/>
      </c>
      <c r="U1301" s="13" t="str">
        <f>IF(OR($N1301="",$T1301=""),"",IFERROR(MAX(0,1-($N1301+$T1301+MAX(0,N($Q1301)))/ROUND((INDEX(Config!$D$15:$D$18,MATCH($S1301,Config!$B$15:$B$18,0))-INDEX(Config!$C$15:$C$18,MATCH($S1301,Config!$B$15:$B$18,0)))*1440,0)),""))</f>
        <v/>
      </c>
      <c r="V1301" s="5"/>
    </row>
    <row r="1302" spans="1:22" x14ac:dyDescent="0.25">
      <c r="A1302" s="11"/>
      <c r="B1302" s="5"/>
      <c r="C1302" s="6" t="str">
        <f>IFERROR(INDEX(Ejecutivos!$B$2:$B$100,MATCH(B1302,Ejecutivos!$A$2:$A$100,0)),"")</f>
        <v/>
      </c>
      <c r="D1302" s="12"/>
      <c r="E1302" s="12"/>
      <c r="F1302" s="12"/>
      <c r="G1302" s="12"/>
      <c r="H1302" s="5"/>
      <c r="I1302" s="5"/>
      <c r="J1302" s="5"/>
      <c r="K1302" s="5"/>
      <c r="L1302" s="18">
        <v>0</v>
      </c>
      <c r="M1302" t="str">
        <f t="shared" si="83"/>
        <v/>
      </c>
      <c r="N1302" t="str">
        <f>IF(OR($D1302="",$S1302=""),"",IFERROR(MAX(0,ROUND(($D1302-INDEX(Config!$C$15:$C$18,MATCH($S1302,Config!$B$15:$B$18,0)))*24*60,0)),""))</f>
        <v/>
      </c>
      <c r="O1302" t="str">
        <f t="shared" si="84"/>
        <v/>
      </c>
      <c r="P1302" t="str">
        <f t="shared" si="85"/>
        <v/>
      </c>
      <c r="Q1302" t="str">
        <f>IF(OR($P1302="",$S1302=""),"",IFERROR($P1302-INDEX(Config!$E$15:$E$18,MATCH($S1302,Config!$B$15:$B$18,0)),""))</f>
        <v/>
      </c>
      <c r="R1302" t="str">
        <f t="shared" si="86"/>
        <v/>
      </c>
      <c r="S1302" s="6" t="str">
        <f>IF(OR($A1302="",$C1302=""),"",IFERROR(INDEX(Turno!$C$3:$V$32,MATCH($C1302,Turno!$B$3:$B$32,0),MATCH(DAY($A1302),Turno!$C$1:$V$1,0)),""))</f>
        <v/>
      </c>
      <c r="T1302" t="str">
        <f>IF(OR($E1302="",$S1302=""),"",IFERROR(MAX(0,ROUND((INDEX(Config!$D$15:$D$18,MATCH($S1302,Config!$B$15:$B$18,0))-$E1302)*1440,0)),""))</f>
        <v/>
      </c>
      <c r="U1302" s="13" t="str">
        <f>IF(OR($N1302="",$T1302=""),"",IFERROR(MAX(0,1-($N1302+$T1302+MAX(0,N($Q1302)))/ROUND((INDEX(Config!$D$15:$D$18,MATCH($S1302,Config!$B$15:$B$18,0))-INDEX(Config!$C$15:$C$18,MATCH($S1302,Config!$B$15:$B$18,0)))*1440,0)),""))</f>
        <v/>
      </c>
      <c r="V1302" s="5"/>
    </row>
    <row r="1303" spans="1:22" x14ac:dyDescent="0.25">
      <c r="A1303" s="11"/>
      <c r="B1303" s="5"/>
      <c r="C1303" s="6" t="str">
        <f>IFERROR(INDEX(Ejecutivos!$B$2:$B$100,MATCH(B1303,Ejecutivos!$A$2:$A$100,0)),"")</f>
        <v/>
      </c>
      <c r="D1303" s="12"/>
      <c r="E1303" s="12"/>
      <c r="F1303" s="12"/>
      <c r="G1303" s="12"/>
      <c r="H1303" s="5"/>
      <c r="I1303" s="5"/>
      <c r="J1303" s="5"/>
      <c r="K1303" s="5"/>
      <c r="L1303" s="18">
        <v>0</v>
      </c>
      <c r="M1303" t="str">
        <f t="shared" si="83"/>
        <v/>
      </c>
      <c r="N1303" t="str">
        <f>IF(OR($D1303="",$S1303=""),"",IFERROR(MAX(0,ROUND(($D1303-INDEX(Config!$C$15:$C$18,MATCH($S1303,Config!$B$15:$B$18,0)))*24*60,0)),""))</f>
        <v/>
      </c>
      <c r="O1303" t="str">
        <f t="shared" si="84"/>
        <v/>
      </c>
      <c r="P1303" t="str">
        <f t="shared" si="85"/>
        <v/>
      </c>
      <c r="Q1303" t="str">
        <f>IF(OR($P1303="",$S1303=""),"",IFERROR($P1303-INDEX(Config!$E$15:$E$18,MATCH($S1303,Config!$B$15:$B$18,0)),""))</f>
        <v/>
      </c>
      <c r="R1303" t="str">
        <f t="shared" si="86"/>
        <v/>
      </c>
      <c r="S1303" s="6" t="str">
        <f>IF(OR($A1303="",$C1303=""),"",IFERROR(INDEX(Turno!$C$3:$V$32,MATCH($C1303,Turno!$B$3:$B$32,0),MATCH(DAY($A1303),Turno!$C$1:$V$1,0)),""))</f>
        <v/>
      </c>
      <c r="T1303" t="str">
        <f>IF(OR($E1303="",$S1303=""),"",IFERROR(MAX(0,ROUND((INDEX(Config!$D$15:$D$18,MATCH($S1303,Config!$B$15:$B$18,0))-$E1303)*1440,0)),""))</f>
        <v/>
      </c>
      <c r="U1303" s="13" t="str">
        <f>IF(OR($N1303="",$T1303=""),"",IFERROR(MAX(0,1-($N1303+$T1303+MAX(0,N($Q1303)))/ROUND((INDEX(Config!$D$15:$D$18,MATCH($S1303,Config!$B$15:$B$18,0))-INDEX(Config!$C$15:$C$18,MATCH($S1303,Config!$B$15:$B$18,0)))*1440,0)),""))</f>
        <v/>
      </c>
      <c r="V1303" s="5"/>
    </row>
    <row r="1304" spans="1:22" x14ac:dyDescent="0.25">
      <c r="A1304" s="11"/>
      <c r="B1304" s="5"/>
      <c r="C1304" s="6" t="str">
        <f>IFERROR(INDEX(Ejecutivos!$B$2:$B$100,MATCH(B1304,Ejecutivos!$A$2:$A$100,0)),"")</f>
        <v/>
      </c>
      <c r="D1304" s="12"/>
      <c r="E1304" s="12"/>
      <c r="F1304" s="12"/>
      <c r="G1304" s="12"/>
      <c r="H1304" s="5"/>
      <c r="I1304" s="5"/>
      <c r="J1304" s="5"/>
      <c r="K1304" s="5"/>
      <c r="L1304" s="18">
        <v>0</v>
      </c>
      <c r="M1304" t="str">
        <f t="shared" si="83"/>
        <v/>
      </c>
      <c r="N1304" t="str">
        <f>IF(OR($D1304="",$S1304=""),"",IFERROR(MAX(0,ROUND(($D1304-INDEX(Config!$C$15:$C$18,MATCH($S1304,Config!$B$15:$B$18,0)))*24*60,0)),""))</f>
        <v/>
      </c>
      <c r="O1304" t="str">
        <f t="shared" si="84"/>
        <v/>
      </c>
      <c r="P1304" t="str">
        <f t="shared" si="85"/>
        <v/>
      </c>
      <c r="Q1304" t="str">
        <f>IF(OR($P1304="",$S1304=""),"",IFERROR($P1304-INDEX(Config!$E$15:$E$18,MATCH($S1304,Config!$B$15:$B$18,0)),""))</f>
        <v/>
      </c>
      <c r="R1304" t="str">
        <f t="shared" si="86"/>
        <v/>
      </c>
      <c r="S1304" s="6" t="str">
        <f>IF(OR($A1304="",$C1304=""),"",IFERROR(INDEX(Turno!$C$3:$V$32,MATCH($C1304,Turno!$B$3:$B$32,0),MATCH(DAY($A1304),Turno!$C$1:$V$1,0)),""))</f>
        <v/>
      </c>
      <c r="T1304" t="str">
        <f>IF(OR($E1304="",$S1304=""),"",IFERROR(MAX(0,ROUND((INDEX(Config!$D$15:$D$18,MATCH($S1304,Config!$B$15:$B$18,0))-$E1304)*1440,0)),""))</f>
        <v/>
      </c>
      <c r="U1304" s="13" t="str">
        <f>IF(OR($N1304="",$T1304=""),"",IFERROR(MAX(0,1-($N1304+$T1304+MAX(0,N($Q1304)))/ROUND((INDEX(Config!$D$15:$D$18,MATCH($S1304,Config!$B$15:$B$18,0))-INDEX(Config!$C$15:$C$18,MATCH($S1304,Config!$B$15:$B$18,0)))*1440,0)),""))</f>
        <v/>
      </c>
      <c r="V1304" s="5"/>
    </row>
    <row r="1305" spans="1:22" x14ac:dyDescent="0.25">
      <c r="A1305" s="11"/>
      <c r="B1305" s="5"/>
      <c r="C1305" s="6" t="str">
        <f>IFERROR(INDEX(Ejecutivos!$B$2:$B$100,MATCH(B1305,Ejecutivos!$A$2:$A$100,0)),"")</f>
        <v/>
      </c>
      <c r="D1305" s="12"/>
      <c r="E1305" s="12"/>
      <c r="F1305" s="12"/>
      <c r="G1305" s="12"/>
      <c r="H1305" s="5"/>
      <c r="I1305" s="5"/>
      <c r="J1305" s="5"/>
      <c r="K1305" s="5"/>
      <c r="L1305" s="18">
        <v>0</v>
      </c>
      <c r="M1305" t="str">
        <f t="shared" si="83"/>
        <v/>
      </c>
      <c r="N1305" t="str">
        <f>IF(OR($D1305="",$S1305=""),"",IFERROR(MAX(0,ROUND(($D1305-INDEX(Config!$C$15:$C$18,MATCH($S1305,Config!$B$15:$B$18,0)))*24*60,0)),""))</f>
        <v/>
      </c>
      <c r="O1305" t="str">
        <f t="shared" si="84"/>
        <v/>
      </c>
      <c r="P1305" t="str">
        <f t="shared" si="85"/>
        <v/>
      </c>
      <c r="Q1305" t="str">
        <f>IF(OR($P1305="",$S1305=""),"",IFERROR($P1305-INDEX(Config!$E$15:$E$18,MATCH($S1305,Config!$B$15:$B$18,0)),""))</f>
        <v/>
      </c>
      <c r="R1305" t="str">
        <f t="shared" si="86"/>
        <v/>
      </c>
      <c r="S1305" s="6" t="str">
        <f>IF(OR($A1305="",$C1305=""),"",IFERROR(INDEX(Turno!$C$3:$V$32,MATCH($C1305,Turno!$B$3:$B$32,0),MATCH(DAY($A1305),Turno!$C$1:$V$1,0)),""))</f>
        <v/>
      </c>
      <c r="T1305" t="str">
        <f>IF(OR($E1305="",$S1305=""),"",IFERROR(MAX(0,ROUND((INDEX(Config!$D$15:$D$18,MATCH($S1305,Config!$B$15:$B$18,0))-$E1305)*1440,0)),""))</f>
        <v/>
      </c>
      <c r="U1305" s="13" t="str">
        <f>IF(OR($N1305="",$T1305=""),"",IFERROR(MAX(0,1-($N1305+$T1305+MAX(0,N($Q1305)))/ROUND((INDEX(Config!$D$15:$D$18,MATCH($S1305,Config!$B$15:$B$18,0))-INDEX(Config!$C$15:$C$18,MATCH($S1305,Config!$B$15:$B$18,0)))*1440,0)),""))</f>
        <v/>
      </c>
      <c r="V1305" s="5"/>
    </row>
    <row r="1306" spans="1:22" x14ac:dyDescent="0.25">
      <c r="A1306" s="11"/>
      <c r="B1306" s="5"/>
      <c r="C1306" s="6" t="str">
        <f>IFERROR(INDEX(Ejecutivos!$B$2:$B$100,MATCH(B1306,Ejecutivos!$A$2:$A$100,0)),"")</f>
        <v/>
      </c>
      <c r="D1306" s="12"/>
      <c r="E1306" s="12"/>
      <c r="F1306" s="12"/>
      <c r="G1306" s="12"/>
      <c r="H1306" s="5"/>
      <c r="I1306" s="5"/>
      <c r="J1306" s="5"/>
      <c r="K1306" s="5"/>
      <c r="L1306" s="18">
        <v>0</v>
      </c>
      <c r="M1306" t="str">
        <f t="shared" si="83"/>
        <v/>
      </c>
      <c r="N1306" t="str">
        <f>IF(OR($D1306="",$S1306=""),"",IFERROR(MAX(0,ROUND(($D1306-INDEX(Config!$C$15:$C$18,MATCH($S1306,Config!$B$15:$B$18,0)))*24*60,0)),""))</f>
        <v/>
      </c>
      <c r="O1306" t="str">
        <f t="shared" si="84"/>
        <v/>
      </c>
      <c r="P1306" t="str">
        <f t="shared" si="85"/>
        <v/>
      </c>
      <c r="Q1306" t="str">
        <f>IF(OR($P1306="",$S1306=""),"",IFERROR($P1306-INDEX(Config!$E$15:$E$18,MATCH($S1306,Config!$B$15:$B$18,0)),""))</f>
        <v/>
      </c>
      <c r="R1306" t="str">
        <f t="shared" si="86"/>
        <v/>
      </c>
      <c r="S1306" s="6" t="str">
        <f>IF(OR($A1306="",$C1306=""),"",IFERROR(INDEX(Turno!$C$3:$V$32,MATCH($C1306,Turno!$B$3:$B$32,0),MATCH(DAY($A1306),Turno!$C$1:$V$1,0)),""))</f>
        <v/>
      </c>
      <c r="T1306" t="str">
        <f>IF(OR($E1306="",$S1306=""),"",IFERROR(MAX(0,ROUND((INDEX(Config!$D$15:$D$18,MATCH($S1306,Config!$B$15:$B$18,0))-$E1306)*1440,0)),""))</f>
        <v/>
      </c>
      <c r="U1306" s="13" t="str">
        <f>IF(OR($N1306="",$T1306=""),"",IFERROR(MAX(0,1-($N1306+$T1306+MAX(0,N($Q1306)))/ROUND((INDEX(Config!$D$15:$D$18,MATCH($S1306,Config!$B$15:$B$18,0))-INDEX(Config!$C$15:$C$18,MATCH($S1306,Config!$B$15:$B$18,0)))*1440,0)),""))</f>
        <v/>
      </c>
      <c r="V1306" s="5"/>
    </row>
    <row r="1307" spans="1:22" x14ac:dyDescent="0.25">
      <c r="A1307" s="11"/>
      <c r="B1307" s="5"/>
      <c r="C1307" s="6" t="str">
        <f>IFERROR(INDEX(Ejecutivos!$B$2:$B$100,MATCH(B1307,Ejecutivos!$A$2:$A$100,0)),"")</f>
        <v/>
      </c>
      <c r="D1307" s="12"/>
      <c r="E1307" s="12"/>
      <c r="F1307" s="12"/>
      <c r="G1307" s="12"/>
      <c r="H1307" s="5"/>
      <c r="I1307" s="5"/>
      <c r="J1307" s="5"/>
      <c r="K1307" s="5"/>
      <c r="L1307" s="18">
        <v>0</v>
      </c>
      <c r="M1307" t="str">
        <f t="shared" si="83"/>
        <v/>
      </c>
      <c r="N1307" t="str">
        <f>IF(OR($D1307="",$S1307=""),"",IFERROR(MAX(0,ROUND(($D1307-INDEX(Config!$C$15:$C$18,MATCH($S1307,Config!$B$15:$B$18,0)))*24*60,0)),""))</f>
        <v/>
      </c>
      <c r="O1307" t="str">
        <f t="shared" si="84"/>
        <v/>
      </c>
      <c r="P1307" t="str">
        <f t="shared" si="85"/>
        <v/>
      </c>
      <c r="Q1307" t="str">
        <f>IF(OR($P1307="",$S1307=""),"",IFERROR($P1307-INDEX(Config!$E$15:$E$18,MATCH($S1307,Config!$B$15:$B$18,0)),""))</f>
        <v/>
      </c>
      <c r="R1307" t="str">
        <f t="shared" si="86"/>
        <v/>
      </c>
      <c r="S1307" s="6" t="str">
        <f>IF(OR($A1307="",$C1307=""),"",IFERROR(INDEX(Turno!$C$3:$V$32,MATCH($C1307,Turno!$B$3:$B$32,0),MATCH(DAY($A1307),Turno!$C$1:$V$1,0)),""))</f>
        <v/>
      </c>
      <c r="T1307" t="str">
        <f>IF(OR($E1307="",$S1307=""),"",IFERROR(MAX(0,ROUND((INDEX(Config!$D$15:$D$18,MATCH($S1307,Config!$B$15:$B$18,0))-$E1307)*1440,0)),""))</f>
        <v/>
      </c>
      <c r="U1307" s="13" t="str">
        <f>IF(OR($N1307="",$T1307=""),"",IFERROR(MAX(0,1-($N1307+$T1307+MAX(0,N($Q1307)))/ROUND((INDEX(Config!$D$15:$D$18,MATCH($S1307,Config!$B$15:$B$18,0))-INDEX(Config!$C$15:$C$18,MATCH($S1307,Config!$B$15:$B$18,0)))*1440,0)),""))</f>
        <v/>
      </c>
      <c r="V1307" s="5"/>
    </row>
    <row r="1308" spans="1:22" x14ac:dyDescent="0.25">
      <c r="A1308" s="11"/>
      <c r="B1308" s="5"/>
      <c r="C1308" s="6" t="str">
        <f>IFERROR(INDEX(Ejecutivos!$B$2:$B$100,MATCH(B1308,Ejecutivos!$A$2:$A$100,0)),"")</f>
        <v/>
      </c>
      <c r="D1308" s="12"/>
      <c r="E1308" s="12"/>
      <c r="F1308" s="12"/>
      <c r="G1308" s="12"/>
      <c r="H1308" s="5"/>
      <c r="I1308" s="5"/>
      <c r="J1308" s="5"/>
      <c r="K1308" s="5"/>
      <c r="L1308" s="18">
        <v>0</v>
      </c>
      <c r="M1308" t="str">
        <f t="shared" si="83"/>
        <v/>
      </c>
      <c r="N1308" t="str">
        <f>IF(OR($D1308="",$S1308=""),"",IFERROR(MAX(0,ROUND(($D1308-INDEX(Config!$C$15:$C$18,MATCH($S1308,Config!$B$15:$B$18,0)))*24*60,0)),""))</f>
        <v/>
      </c>
      <c r="O1308" t="str">
        <f t="shared" si="84"/>
        <v/>
      </c>
      <c r="P1308" t="str">
        <f t="shared" si="85"/>
        <v/>
      </c>
      <c r="Q1308" t="str">
        <f>IF(OR($P1308="",$S1308=""),"",IFERROR($P1308-INDEX(Config!$E$15:$E$18,MATCH($S1308,Config!$B$15:$B$18,0)),""))</f>
        <v/>
      </c>
      <c r="R1308" t="str">
        <f t="shared" si="86"/>
        <v/>
      </c>
      <c r="S1308" s="6" t="str">
        <f>IF(OR($A1308="",$C1308=""),"",IFERROR(INDEX(Turno!$C$3:$V$32,MATCH($C1308,Turno!$B$3:$B$32,0),MATCH(DAY($A1308),Turno!$C$1:$V$1,0)),""))</f>
        <v/>
      </c>
      <c r="T1308" t="str">
        <f>IF(OR($E1308="",$S1308=""),"",IFERROR(MAX(0,ROUND((INDEX(Config!$D$15:$D$18,MATCH($S1308,Config!$B$15:$B$18,0))-$E1308)*1440,0)),""))</f>
        <v/>
      </c>
      <c r="U1308" s="13" t="str">
        <f>IF(OR($N1308="",$T1308=""),"",IFERROR(MAX(0,1-($N1308+$T1308+MAX(0,N($Q1308)))/ROUND((INDEX(Config!$D$15:$D$18,MATCH($S1308,Config!$B$15:$B$18,0))-INDEX(Config!$C$15:$C$18,MATCH($S1308,Config!$B$15:$B$18,0)))*1440,0)),""))</f>
        <v/>
      </c>
      <c r="V1308" s="5"/>
    </row>
    <row r="1309" spans="1:22" x14ac:dyDescent="0.25">
      <c r="A1309" s="11"/>
      <c r="B1309" s="5"/>
      <c r="C1309" s="6" t="str">
        <f>IFERROR(INDEX(Ejecutivos!$B$2:$B$100,MATCH(B1309,Ejecutivos!$A$2:$A$100,0)),"")</f>
        <v/>
      </c>
      <c r="D1309" s="12"/>
      <c r="E1309" s="12"/>
      <c r="F1309" s="12"/>
      <c r="G1309" s="12"/>
      <c r="H1309" s="5"/>
      <c r="I1309" s="5"/>
      <c r="J1309" s="5"/>
      <c r="K1309" s="5"/>
      <c r="L1309" s="18">
        <v>0</v>
      </c>
      <c r="M1309" t="str">
        <f t="shared" si="83"/>
        <v/>
      </c>
      <c r="N1309" t="str">
        <f>IF(OR($D1309="",$S1309=""),"",IFERROR(MAX(0,ROUND(($D1309-INDEX(Config!$C$15:$C$18,MATCH($S1309,Config!$B$15:$B$18,0)))*24*60,0)),""))</f>
        <v/>
      </c>
      <c r="O1309" t="str">
        <f t="shared" si="84"/>
        <v/>
      </c>
      <c r="P1309" t="str">
        <f t="shared" si="85"/>
        <v/>
      </c>
      <c r="Q1309" t="str">
        <f>IF(OR($P1309="",$S1309=""),"",IFERROR($P1309-INDEX(Config!$E$15:$E$18,MATCH($S1309,Config!$B$15:$B$18,0)),""))</f>
        <v/>
      </c>
      <c r="R1309" t="str">
        <f t="shared" si="86"/>
        <v/>
      </c>
      <c r="S1309" s="6" t="str">
        <f>IF(OR($A1309="",$C1309=""),"",IFERROR(INDEX(Turno!$C$3:$V$32,MATCH($C1309,Turno!$B$3:$B$32,0),MATCH(DAY($A1309),Turno!$C$1:$V$1,0)),""))</f>
        <v/>
      </c>
      <c r="T1309" t="str">
        <f>IF(OR($E1309="",$S1309=""),"",IFERROR(MAX(0,ROUND((INDEX(Config!$D$15:$D$18,MATCH($S1309,Config!$B$15:$B$18,0))-$E1309)*1440,0)),""))</f>
        <v/>
      </c>
      <c r="U1309" s="13" t="str">
        <f>IF(OR($N1309="",$T1309=""),"",IFERROR(MAX(0,1-($N1309+$T1309+MAX(0,N($Q1309)))/ROUND((INDEX(Config!$D$15:$D$18,MATCH($S1309,Config!$B$15:$B$18,0))-INDEX(Config!$C$15:$C$18,MATCH($S1309,Config!$B$15:$B$18,0)))*1440,0)),""))</f>
        <v/>
      </c>
      <c r="V1309" s="5"/>
    </row>
    <row r="1310" spans="1:22" x14ac:dyDescent="0.25">
      <c r="A1310" s="11"/>
      <c r="B1310" s="5"/>
      <c r="C1310" s="6" t="str">
        <f>IFERROR(INDEX(Ejecutivos!$B$2:$B$100,MATCH(B1310,Ejecutivos!$A$2:$A$100,0)),"")</f>
        <v/>
      </c>
      <c r="D1310" s="12"/>
      <c r="E1310" s="12"/>
      <c r="F1310" s="12"/>
      <c r="G1310" s="12"/>
      <c r="H1310" s="5"/>
      <c r="I1310" s="5"/>
      <c r="J1310" s="5"/>
      <c r="K1310" s="5"/>
      <c r="L1310" s="18">
        <v>0</v>
      </c>
      <c r="M1310" t="str">
        <f t="shared" si="83"/>
        <v/>
      </c>
      <c r="N1310" t="str">
        <f>IF(OR($D1310="",$S1310=""),"",IFERROR(MAX(0,ROUND(($D1310-INDEX(Config!$C$15:$C$18,MATCH($S1310,Config!$B$15:$B$18,0)))*24*60,0)),""))</f>
        <v/>
      </c>
      <c r="O1310" t="str">
        <f t="shared" si="84"/>
        <v/>
      </c>
      <c r="P1310" t="str">
        <f t="shared" si="85"/>
        <v/>
      </c>
      <c r="Q1310" t="str">
        <f>IF(OR($P1310="",$S1310=""),"",IFERROR($P1310-INDEX(Config!$E$15:$E$18,MATCH($S1310,Config!$B$15:$B$18,0)),""))</f>
        <v/>
      </c>
      <c r="R1310" t="str">
        <f t="shared" si="86"/>
        <v/>
      </c>
      <c r="S1310" s="6" t="str">
        <f>IF(OR($A1310="",$C1310=""),"",IFERROR(INDEX(Turno!$C$3:$V$32,MATCH($C1310,Turno!$B$3:$B$32,0),MATCH(DAY($A1310),Turno!$C$1:$V$1,0)),""))</f>
        <v/>
      </c>
      <c r="T1310" t="str">
        <f>IF(OR($E1310="",$S1310=""),"",IFERROR(MAX(0,ROUND((INDEX(Config!$D$15:$D$18,MATCH($S1310,Config!$B$15:$B$18,0))-$E1310)*1440,0)),""))</f>
        <v/>
      </c>
      <c r="U1310" s="13" t="str">
        <f>IF(OR($N1310="",$T1310=""),"",IFERROR(MAX(0,1-($N1310+$T1310+MAX(0,N($Q1310)))/ROUND((INDEX(Config!$D$15:$D$18,MATCH($S1310,Config!$B$15:$B$18,0))-INDEX(Config!$C$15:$C$18,MATCH($S1310,Config!$B$15:$B$18,0)))*1440,0)),""))</f>
        <v/>
      </c>
      <c r="V1310" s="5"/>
    </row>
    <row r="1311" spans="1:22" x14ac:dyDescent="0.25">
      <c r="A1311" s="11"/>
      <c r="B1311" s="5"/>
      <c r="C1311" s="6" t="str">
        <f>IFERROR(INDEX(Ejecutivos!$B$2:$B$100,MATCH(B1311,Ejecutivos!$A$2:$A$100,0)),"")</f>
        <v/>
      </c>
      <c r="D1311" s="12"/>
      <c r="E1311" s="12"/>
      <c r="F1311" s="12"/>
      <c r="G1311" s="12"/>
      <c r="H1311" s="5"/>
      <c r="I1311" s="5"/>
      <c r="J1311" s="5"/>
      <c r="K1311" s="5"/>
      <c r="L1311" s="18">
        <v>0</v>
      </c>
      <c r="M1311" t="str">
        <f t="shared" si="83"/>
        <v/>
      </c>
      <c r="N1311" t="str">
        <f>IF(OR($D1311="",$S1311=""),"",IFERROR(MAX(0,ROUND(($D1311-INDEX(Config!$C$15:$C$18,MATCH($S1311,Config!$B$15:$B$18,0)))*24*60,0)),""))</f>
        <v/>
      </c>
      <c r="O1311" t="str">
        <f t="shared" si="84"/>
        <v/>
      </c>
      <c r="P1311" t="str">
        <f t="shared" si="85"/>
        <v/>
      </c>
      <c r="Q1311" t="str">
        <f>IF(OR($P1311="",$S1311=""),"",IFERROR($P1311-INDEX(Config!$E$15:$E$18,MATCH($S1311,Config!$B$15:$B$18,0)),""))</f>
        <v/>
      </c>
      <c r="R1311" t="str">
        <f t="shared" si="86"/>
        <v/>
      </c>
      <c r="S1311" s="6" t="str">
        <f>IF(OR($A1311="",$C1311=""),"",IFERROR(INDEX(Turno!$C$3:$V$32,MATCH($C1311,Turno!$B$3:$B$32,0),MATCH(DAY($A1311),Turno!$C$1:$V$1,0)),""))</f>
        <v/>
      </c>
      <c r="T1311" t="str">
        <f>IF(OR($E1311="",$S1311=""),"",IFERROR(MAX(0,ROUND((INDEX(Config!$D$15:$D$18,MATCH($S1311,Config!$B$15:$B$18,0))-$E1311)*1440,0)),""))</f>
        <v/>
      </c>
      <c r="U1311" s="13" t="str">
        <f>IF(OR($N1311="",$T1311=""),"",IFERROR(MAX(0,1-($N1311+$T1311+MAX(0,N($Q1311)))/ROUND((INDEX(Config!$D$15:$D$18,MATCH($S1311,Config!$B$15:$B$18,0))-INDEX(Config!$C$15:$C$18,MATCH($S1311,Config!$B$15:$B$18,0)))*1440,0)),""))</f>
        <v/>
      </c>
      <c r="V1311" s="5"/>
    </row>
    <row r="1312" spans="1:22" x14ac:dyDescent="0.25">
      <c r="A1312" s="11"/>
      <c r="B1312" s="5"/>
      <c r="C1312" s="6" t="str">
        <f>IFERROR(INDEX(Ejecutivos!$B$2:$B$100,MATCH(B1312,Ejecutivos!$A$2:$A$100,0)),"")</f>
        <v/>
      </c>
      <c r="D1312" s="12"/>
      <c r="E1312" s="12"/>
      <c r="F1312" s="12"/>
      <c r="G1312" s="12"/>
      <c r="H1312" s="5"/>
      <c r="I1312" s="5"/>
      <c r="J1312" s="5"/>
      <c r="K1312" s="5"/>
      <c r="L1312" s="18">
        <v>0</v>
      </c>
      <c r="M1312" t="str">
        <f t="shared" si="83"/>
        <v/>
      </c>
      <c r="N1312" t="str">
        <f>IF(OR($D1312="",$S1312=""),"",IFERROR(MAX(0,ROUND(($D1312-INDEX(Config!$C$15:$C$18,MATCH($S1312,Config!$B$15:$B$18,0)))*24*60,0)),""))</f>
        <v/>
      </c>
      <c r="O1312" t="str">
        <f t="shared" si="84"/>
        <v/>
      </c>
      <c r="P1312" t="str">
        <f t="shared" si="85"/>
        <v/>
      </c>
      <c r="Q1312" t="str">
        <f>IF(OR($P1312="",$S1312=""),"",IFERROR($P1312-INDEX(Config!$E$15:$E$18,MATCH($S1312,Config!$B$15:$B$18,0)),""))</f>
        <v/>
      </c>
      <c r="R1312" t="str">
        <f t="shared" si="86"/>
        <v/>
      </c>
      <c r="S1312" s="6" t="str">
        <f>IF(OR($A1312="",$C1312=""),"",IFERROR(INDEX(Turno!$C$3:$V$32,MATCH($C1312,Turno!$B$3:$B$32,0),MATCH(DAY($A1312),Turno!$C$1:$V$1,0)),""))</f>
        <v/>
      </c>
      <c r="T1312" t="str">
        <f>IF(OR($E1312="",$S1312=""),"",IFERROR(MAX(0,ROUND((INDEX(Config!$D$15:$D$18,MATCH($S1312,Config!$B$15:$B$18,0))-$E1312)*1440,0)),""))</f>
        <v/>
      </c>
      <c r="U1312" s="13" t="str">
        <f>IF(OR($N1312="",$T1312=""),"",IFERROR(MAX(0,1-($N1312+$T1312+MAX(0,N($Q1312)))/ROUND((INDEX(Config!$D$15:$D$18,MATCH($S1312,Config!$B$15:$B$18,0))-INDEX(Config!$C$15:$C$18,MATCH($S1312,Config!$B$15:$B$18,0)))*1440,0)),""))</f>
        <v/>
      </c>
      <c r="V1312" s="5"/>
    </row>
    <row r="1313" spans="1:22" x14ac:dyDescent="0.25">
      <c r="A1313" s="11"/>
      <c r="B1313" s="5"/>
      <c r="C1313" s="6" t="str">
        <f>IFERROR(INDEX(Ejecutivos!$B$2:$B$100,MATCH(B1313,Ejecutivos!$A$2:$A$100,0)),"")</f>
        <v/>
      </c>
      <c r="D1313" s="12"/>
      <c r="E1313" s="12"/>
      <c r="F1313" s="12"/>
      <c r="G1313" s="12"/>
      <c r="H1313" s="5"/>
      <c r="I1313" s="5"/>
      <c r="J1313" s="5"/>
      <c r="K1313" s="5"/>
      <c r="L1313" s="18">
        <v>0</v>
      </c>
      <c r="M1313" t="str">
        <f t="shared" si="83"/>
        <v/>
      </c>
      <c r="N1313" t="str">
        <f>IF(OR($D1313="",$S1313=""),"",IFERROR(MAX(0,ROUND(($D1313-INDEX(Config!$C$15:$C$18,MATCH($S1313,Config!$B$15:$B$18,0)))*24*60,0)),""))</f>
        <v/>
      </c>
      <c r="O1313" t="str">
        <f t="shared" si="84"/>
        <v/>
      </c>
      <c r="P1313" t="str">
        <f t="shared" si="85"/>
        <v/>
      </c>
      <c r="Q1313" t="str">
        <f>IF(OR($P1313="",$S1313=""),"",IFERROR($P1313-INDEX(Config!$E$15:$E$18,MATCH($S1313,Config!$B$15:$B$18,0)),""))</f>
        <v/>
      </c>
      <c r="R1313" t="str">
        <f t="shared" si="86"/>
        <v/>
      </c>
      <c r="S1313" s="6" t="str">
        <f>IF(OR($A1313="",$C1313=""),"",IFERROR(INDEX(Turno!$C$3:$V$32,MATCH($C1313,Turno!$B$3:$B$32,0),MATCH(DAY($A1313),Turno!$C$1:$V$1,0)),""))</f>
        <v/>
      </c>
      <c r="T1313" t="str">
        <f>IF(OR($E1313="",$S1313=""),"",IFERROR(MAX(0,ROUND((INDEX(Config!$D$15:$D$18,MATCH($S1313,Config!$B$15:$B$18,0))-$E1313)*1440,0)),""))</f>
        <v/>
      </c>
      <c r="U1313" s="13" t="str">
        <f>IF(OR($N1313="",$T1313=""),"",IFERROR(MAX(0,1-($N1313+$T1313+MAX(0,N($Q1313)))/ROUND((INDEX(Config!$D$15:$D$18,MATCH($S1313,Config!$B$15:$B$18,0))-INDEX(Config!$C$15:$C$18,MATCH($S1313,Config!$B$15:$B$18,0)))*1440,0)),""))</f>
        <v/>
      </c>
      <c r="V1313" s="5"/>
    </row>
    <row r="1314" spans="1:22" x14ac:dyDescent="0.25">
      <c r="A1314" s="11"/>
      <c r="B1314" s="5"/>
      <c r="C1314" s="6" t="str">
        <f>IFERROR(INDEX(Ejecutivos!$B$2:$B$100,MATCH(B1314,Ejecutivos!$A$2:$A$100,0)),"")</f>
        <v/>
      </c>
      <c r="D1314" s="12"/>
      <c r="E1314" s="12"/>
      <c r="F1314" s="12"/>
      <c r="G1314" s="12"/>
      <c r="H1314" s="5"/>
      <c r="I1314" s="5"/>
      <c r="J1314" s="5"/>
      <c r="K1314" s="5"/>
      <c r="L1314" s="18">
        <v>0</v>
      </c>
      <c r="M1314" t="str">
        <f t="shared" si="83"/>
        <v/>
      </c>
      <c r="N1314" t="str">
        <f>IF(OR($D1314="",$S1314=""),"",IFERROR(MAX(0,ROUND(($D1314-INDEX(Config!$C$15:$C$18,MATCH($S1314,Config!$B$15:$B$18,0)))*24*60,0)),""))</f>
        <v/>
      </c>
      <c r="O1314" t="str">
        <f t="shared" si="84"/>
        <v/>
      </c>
      <c r="P1314" t="str">
        <f t="shared" si="85"/>
        <v/>
      </c>
      <c r="Q1314" t="str">
        <f>IF(OR($P1314="",$S1314=""),"",IFERROR($P1314-INDEX(Config!$E$15:$E$18,MATCH($S1314,Config!$B$15:$B$18,0)),""))</f>
        <v/>
      </c>
      <c r="R1314" t="str">
        <f t="shared" si="86"/>
        <v/>
      </c>
      <c r="S1314" s="6" t="str">
        <f>IF(OR($A1314="",$C1314=""),"",IFERROR(INDEX(Turno!$C$3:$V$32,MATCH($C1314,Turno!$B$3:$B$32,0),MATCH(DAY($A1314),Turno!$C$1:$V$1,0)),""))</f>
        <v/>
      </c>
      <c r="T1314" t="str">
        <f>IF(OR($E1314="",$S1314=""),"",IFERROR(MAX(0,ROUND((INDEX(Config!$D$15:$D$18,MATCH($S1314,Config!$B$15:$B$18,0))-$E1314)*1440,0)),""))</f>
        <v/>
      </c>
      <c r="U1314" s="13" t="str">
        <f>IF(OR($N1314="",$T1314=""),"",IFERROR(MAX(0,1-($N1314+$T1314+MAX(0,N($Q1314)))/ROUND((INDEX(Config!$D$15:$D$18,MATCH($S1314,Config!$B$15:$B$18,0))-INDEX(Config!$C$15:$C$18,MATCH($S1314,Config!$B$15:$B$18,0)))*1440,0)),""))</f>
        <v/>
      </c>
      <c r="V1314" s="5"/>
    </row>
    <row r="1315" spans="1:22" x14ac:dyDescent="0.25">
      <c r="A1315" s="11"/>
      <c r="B1315" s="5"/>
      <c r="C1315" s="6" t="str">
        <f>IFERROR(INDEX(Ejecutivos!$B$2:$B$100,MATCH(B1315,Ejecutivos!$A$2:$A$100,0)),"")</f>
        <v/>
      </c>
      <c r="D1315" s="12"/>
      <c r="E1315" s="12"/>
      <c r="F1315" s="12"/>
      <c r="G1315" s="12"/>
      <c r="H1315" s="5"/>
      <c r="I1315" s="5"/>
      <c r="J1315" s="5"/>
      <c r="K1315" s="5"/>
      <c r="L1315" s="18">
        <v>0</v>
      </c>
      <c r="M1315" t="str">
        <f t="shared" si="83"/>
        <v/>
      </c>
      <c r="N1315" t="str">
        <f>IF(OR($D1315="",$S1315=""),"",IFERROR(MAX(0,ROUND(($D1315-INDEX(Config!$C$15:$C$18,MATCH($S1315,Config!$B$15:$B$18,0)))*24*60,0)),""))</f>
        <v/>
      </c>
      <c r="O1315" t="str">
        <f t="shared" si="84"/>
        <v/>
      </c>
      <c r="P1315" t="str">
        <f t="shared" si="85"/>
        <v/>
      </c>
      <c r="Q1315" t="str">
        <f>IF(OR($P1315="",$S1315=""),"",IFERROR($P1315-INDEX(Config!$E$15:$E$18,MATCH($S1315,Config!$B$15:$B$18,0)),""))</f>
        <v/>
      </c>
      <c r="R1315" t="str">
        <f t="shared" si="86"/>
        <v/>
      </c>
      <c r="S1315" s="6" t="str">
        <f>IF(OR($A1315="",$C1315=""),"",IFERROR(INDEX(Turno!$C$3:$V$32,MATCH($C1315,Turno!$B$3:$B$32,0),MATCH(DAY($A1315),Turno!$C$1:$V$1,0)),""))</f>
        <v/>
      </c>
      <c r="T1315" t="str">
        <f>IF(OR($E1315="",$S1315=""),"",IFERROR(MAX(0,ROUND((INDEX(Config!$D$15:$D$18,MATCH($S1315,Config!$B$15:$B$18,0))-$E1315)*1440,0)),""))</f>
        <v/>
      </c>
      <c r="U1315" s="13" t="str">
        <f>IF(OR($N1315="",$T1315=""),"",IFERROR(MAX(0,1-($N1315+$T1315+MAX(0,N($Q1315)))/ROUND((INDEX(Config!$D$15:$D$18,MATCH($S1315,Config!$B$15:$B$18,0))-INDEX(Config!$C$15:$C$18,MATCH($S1315,Config!$B$15:$B$18,0)))*1440,0)),""))</f>
        <v/>
      </c>
      <c r="V1315" s="5"/>
    </row>
    <row r="1316" spans="1:22" x14ac:dyDescent="0.25">
      <c r="A1316" s="11"/>
      <c r="B1316" s="5"/>
      <c r="C1316" s="6" t="str">
        <f>IFERROR(INDEX(Ejecutivos!$B$2:$B$100,MATCH(B1316,Ejecutivos!$A$2:$A$100,0)),"")</f>
        <v/>
      </c>
      <c r="D1316" s="12"/>
      <c r="E1316" s="12"/>
      <c r="F1316" s="12"/>
      <c r="G1316" s="12"/>
      <c r="H1316" s="5"/>
      <c r="I1316" s="5"/>
      <c r="J1316" s="5"/>
      <c r="K1316" s="5"/>
      <c r="L1316" s="18">
        <v>0</v>
      </c>
      <c r="M1316" t="str">
        <f t="shared" si="83"/>
        <v/>
      </c>
      <c r="N1316" t="str">
        <f>IF(OR($D1316="",$S1316=""),"",IFERROR(MAX(0,ROUND(($D1316-INDEX(Config!$C$15:$C$18,MATCH($S1316,Config!$B$15:$B$18,0)))*24*60,0)),""))</f>
        <v/>
      </c>
      <c r="O1316" t="str">
        <f t="shared" si="84"/>
        <v/>
      </c>
      <c r="P1316" t="str">
        <f t="shared" si="85"/>
        <v/>
      </c>
      <c r="Q1316" t="str">
        <f>IF(OR($P1316="",$S1316=""),"",IFERROR($P1316-INDEX(Config!$E$15:$E$18,MATCH($S1316,Config!$B$15:$B$18,0)),""))</f>
        <v/>
      </c>
      <c r="R1316" t="str">
        <f t="shared" si="86"/>
        <v/>
      </c>
      <c r="S1316" s="6" t="str">
        <f>IF(OR($A1316="",$C1316=""),"",IFERROR(INDEX(Turno!$C$3:$V$32,MATCH($C1316,Turno!$B$3:$B$32,0),MATCH(DAY($A1316),Turno!$C$1:$V$1,0)),""))</f>
        <v/>
      </c>
      <c r="T1316" t="str">
        <f>IF(OR($E1316="",$S1316=""),"",IFERROR(MAX(0,ROUND((INDEX(Config!$D$15:$D$18,MATCH($S1316,Config!$B$15:$B$18,0))-$E1316)*1440,0)),""))</f>
        <v/>
      </c>
      <c r="U1316" s="13" t="str">
        <f>IF(OR($N1316="",$T1316=""),"",IFERROR(MAX(0,1-($N1316+$T1316+MAX(0,N($Q1316)))/ROUND((INDEX(Config!$D$15:$D$18,MATCH($S1316,Config!$B$15:$B$18,0))-INDEX(Config!$C$15:$C$18,MATCH($S1316,Config!$B$15:$B$18,0)))*1440,0)),""))</f>
        <v/>
      </c>
      <c r="V1316" s="5"/>
    </row>
    <row r="1317" spans="1:22" x14ac:dyDescent="0.25">
      <c r="A1317" s="11"/>
      <c r="B1317" s="5"/>
      <c r="C1317" s="6" t="str">
        <f>IFERROR(INDEX(Ejecutivos!$B$2:$B$100,MATCH(B1317,Ejecutivos!$A$2:$A$100,0)),"")</f>
        <v/>
      </c>
      <c r="D1317" s="12"/>
      <c r="E1317" s="12"/>
      <c r="F1317" s="12"/>
      <c r="G1317" s="12"/>
      <c r="H1317" s="5"/>
      <c r="I1317" s="5"/>
      <c r="J1317" s="5"/>
      <c r="K1317" s="5"/>
      <c r="L1317" s="18">
        <v>0</v>
      </c>
      <c r="M1317" t="str">
        <f t="shared" si="83"/>
        <v/>
      </c>
      <c r="N1317" t="str">
        <f>IF(OR($D1317="",$S1317=""),"",IFERROR(MAX(0,ROUND(($D1317-INDEX(Config!$C$15:$C$18,MATCH($S1317,Config!$B$15:$B$18,0)))*24*60,0)),""))</f>
        <v/>
      </c>
      <c r="O1317" t="str">
        <f t="shared" si="84"/>
        <v/>
      </c>
      <c r="P1317" t="str">
        <f t="shared" si="85"/>
        <v/>
      </c>
      <c r="Q1317" t="str">
        <f>IF(OR($P1317="",$S1317=""),"",IFERROR($P1317-INDEX(Config!$E$15:$E$18,MATCH($S1317,Config!$B$15:$B$18,0)),""))</f>
        <v/>
      </c>
      <c r="R1317" t="str">
        <f t="shared" si="86"/>
        <v/>
      </c>
      <c r="S1317" s="6" t="str">
        <f>IF(OR($A1317="",$C1317=""),"",IFERROR(INDEX(Turno!$C$3:$V$32,MATCH($C1317,Turno!$B$3:$B$32,0),MATCH(DAY($A1317),Turno!$C$1:$V$1,0)),""))</f>
        <v/>
      </c>
      <c r="T1317" t="str">
        <f>IF(OR($E1317="",$S1317=""),"",IFERROR(MAX(0,ROUND((INDEX(Config!$D$15:$D$18,MATCH($S1317,Config!$B$15:$B$18,0))-$E1317)*1440,0)),""))</f>
        <v/>
      </c>
      <c r="U1317" s="13" t="str">
        <f>IF(OR($N1317="",$T1317=""),"",IFERROR(MAX(0,1-($N1317+$T1317+MAX(0,N($Q1317)))/ROUND((INDEX(Config!$D$15:$D$18,MATCH($S1317,Config!$B$15:$B$18,0))-INDEX(Config!$C$15:$C$18,MATCH($S1317,Config!$B$15:$B$18,0)))*1440,0)),""))</f>
        <v/>
      </c>
      <c r="V1317" s="5"/>
    </row>
    <row r="1318" spans="1:22" x14ac:dyDescent="0.25">
      <c r="A1318" s="11"/>
      <c r="B1318" s="5"/>
      <c r="C1318" s="6" t="str">
        <f>IFERROR(INDEX(Ejecutivos!$B$2:$B$100,MATCH(B1318,Ejecutivos!$A$2:$A$100,0)),"")</f>
        <v/>
      </c>
      <c r="D1318" s="12"/>
      <c r="E1318" s="12"/>
      <c r="F1318" s="12"/>
      <c r="G1318" s="12"/>
      <c r="H1318" s="5"/>
      <c r="I1318" s="5"/>
      <c r="J1318" s="5"/>
      <c r="K1318" s="5"/>
      <c r="L1318" s="18">
        <v>0</v>
      </c>
      <c r="M1318" t="str">
        <f t="shared" si="83"/>
        <v/>
      </c>
      <c r="N1318" t="str">
        <f>IF(OR($D1318="",$S1318=""),"",IFERROR(MAX(0,ROUND(($D1318-INDEX(Config!$C$15:$C$18,MATCH($S1318,Config!$B$15:$B$18,0)))*24*60,0)),""))</f>
        <v/>
      </c>
      <c r="O1318" t="str">
        <f t="shared" si="84"/>
        <v/>
      </c>
      <c r="P1318" t="str">
        <f t="shared" si="85"/>
        <v/>
      </c>
      <c r="Q1318" t="str">
        <f>IF(OR($P1318="",$S1318=""),"",IFERROR($P1318-INDEX(Config!$E$15:$E$18,MATCH($S1318,Config!$B$15:$B$18,0)),""))</f>
        <v/>
      </c>
      <c r="R1318" t="str">
        <f t="shared" si="86"/>
        <v/>
      </c>
      <c r="S1318" s="6" t="str">
        <f>IF(OR($A1318="",$C1318=""),"",IFERROR(INDEX(Turno!$C$3:$V$32,MATCH($C1318,Turno!$B$3:$B$32,0),MATCH(DAY($A1318),Turno!$C$1:$V$1,0)),""))</f>
        <v/>
      </c>
      <c r="T1318" t="str">
        <f>IF(OR($E1318="",$S1318=""),"",IFERROR(MAX(0,ROUND((INDEX(Config!$D$15:$D$18,MATCH($S1318,Config!$B$15:$B$18,0))-$E1318)*1440,0)),""))</f>
        <v/>
      </c>
      <c r="U1318" s="13" t="str">
        <f>IF(OR($N1318="",$T1318=""),"",IFERROR(MAX(0,1-($N1318+$T1318+MAX(0,N($Q1318)))/ROUND((INDEX(Config!$D$15:$D$18,MATCH($S1318,Config!$B$15:$B$18,0))-INDEX(Config!$C$15:$C$18,MATCH($S1318,Config!$B$15:$B$18,0)))*1440,0)),""))</f>
        <v/>
      </c>
      <c r="V1318" s="5"/>
    </row>
    <row r="1319" spans="1:22" x14ac:dyDescent="0.25">
      <c r="A1319" s="11"/>
      <c r="B1319" s="5"/>
      <c r="C1319" s="6" t="str">
        <f>IFERROR(INDEX(Ejecutivos!$B$2:$B$100,MATCH(B1319,Ejecutivos!$A$2:$A$100,0)),"")</f>
        <v/>
      </c>
      <c r="D1319" s="12"/>
      <c r="E1319" s="12"/>
      <c r="F1319" s="12"/>
      <c r="G1319" s="12"/>
      <c r="H1319" s="5"/>
      <c r="I1319" s="5"/>
      <c r="J1319" s="5"/>
      <c r="K1319" s="5"/>
      <c r="L1319" s="18">
        <v>0</v>
      </c>
      <c r="M1319" t="str">
        <f t="shared" si="83"/>
        <v/>
      </c>
      <c r="N1319" t="str">
        <f>IF(OR($D1319="",$S1319=""),"",IFERROR(MAX(0,ROUND(($D1319-INDEX(Config!$C$15:$C$18,MATCH($S1319,Config!$B$15:$B$18,0)))*24*60,0)),""))</f>
        <v/>
      </c>
      <c r="O1319" t="str">
        <f t="shared" si="84"/>
        <v/>
      </c>
      <c r="P1319" t="str">
        <f t="shared" si="85"/>
        <v/>
      </c>
      <c r="Q1319" t="str">
        <f>IF(OR($P1319="",$S1319=""),"",IFERROR($P1319-INDEX(Config!$E$15:$E$18,MATCH($S1319,Config!$B$15:$B$18,0)),""))</f>
        <v/>
      </c>
      <c r="R1319" t="str">
        <f t="shared" si="86"/>
        <v/>
      </c>
      <c r="S1319" s="6" t="str">
        <f>IF(OR($A1319="",$C1319=""),"",IFERROR(INDEX(Turno!$C$3:$V$32,MATCH($C1319,Turno!$B$3:$B$32,0),MATCH(DAY($A1319),Turno!$C$1:$V$1,0)),""))</f>
        <v/>
      </c>
      <c r="T1319" t="str">
        <f>IF(OR($E1319="",$S1319=""),"",IFERROR(MAX(0,ROUND((INDEX(Config!$D$15:$D$18,MATCH($S1319,Config!$B$15:$B$18,0))-$E1319)*1440,0)),""))</f>
        <v/>
      </c>
      <c r="U1319" s="13" t="str">
        <f>IF(OR($N1319="",$T1319=""),"",IFERROR(MAX(0,1-($N1319+$T1319+MAX(0,N($Q1319)))/ROUND((INDEX(Config!$D$15:$D$18,MATCH($S1319,Config!$B$15:$B$18,0))-INDEX(Config!$C$15:$C$18,MATCH($S1319,Config!$B$15:$B$18,0)))*1440,0)),""))</f>
        <v/>
      </c>
      <c r="V1319" s="5"/>
    </row>
    <row r="1320" spans="1:22" x14ac:dyDescent="0.25">
      <c r="A1320" s="11"/>
      <c r="B1320" s="5"/>
      <c r="C1320" s="6" t="str">
        <f>IFERROR(INDEX(Ejecutivos!$B$2:$B$100,MATCH(B1320,Ejecutivos!$A$2:$A$100,0)),"")</f>
        <v/>
      </c>
      <c r="D1320" s="12"/>
      <c r="E1320" s="12"/>
      <c r="F1320" s="12"/>
      <c r="G1320" s="12"/>
      <c r="H1320" s="5"/>
      <c r="I1320" s="5"/>
      <c r="J1320" s="5"/>
      <c r="K1320" s="5"/>
      <c r="L1320" s="18">
        <v>0</v>
      </c>
      <c r="M1320" t="str">
        <f t="shared" si="83"/>
        <v/>
      </c>
      <c r="N1320" t="str">
        <f>IF(OR($D1320="",$S1320=""),"",IFERROR(MAX(0,ROUND(($D1320-INDEX(Config!$C$15:$C$18,MATCH($S1320,Config!$B$15:$B$18,0)))*24*60,0)),""))</f>
        <v/>
      </c>
      <c r="O1320" t="str">
        <f t="shared" si="84"/>
        <v/>
      </c>
      <c r="P1320" t="str">
        <f t="shared" si="85"/>
        <v/>
      </c>
      <c r="Q1320" t="str">
        <f>IF(OR($P1320="",$S1320=""),"",IFERROR($P1320-INDEX(Config!$E$15:$E$18,MATCH($S1320,Config!$B$15:$B$18,0)),""))</f>
        <v/>
      </c>
      <c r="R1320" t="str">
        <f t="shared" si="86"/>
        <v/>
      </c>
      <c r="S1320" s="6" t="str">
        <f>IF(OR($A1320="",$C1320=""),"",IFERROR(INDEX(Turno!$C$3:$V$32,MATCH($C1320,Turno!$B$3:$B$32,0),MATCH(DAY($A1320),Turno!$C$1:$V$1,0)),""))</f>
        <v/>
      </c>
      <c r="T1320" t="str">
        <f>IF(OR($E1320="",$S1320=""),"",IFERROR(MAX(0,ROUND((INDEX(Config!$D$15:$D$18,MATCH($S1320,Config!$B$15:$B$18,0))-$E1320)*1440,0)),""))</f>
        <v/>
      </c>
      <c r="U1320" s="13" t="str">
        <f>IF(OR($N1320="",$T1320=""),"",IFERROR(MAX(0,1-($N1320+$T1320+MAX(0,N($Q1320)))/ROUND((INDEX(Config!$D$15:$D$18,MATCH($S1320,Config!$B$15:$B$18,0))-INDEX(Config!$C$15:$C$18,MATCH($S1320,Config!$B$15:$B$18,0)))*1440,0)),""))</f>
        <v/>
      </c>
      <c r="V1320" s="5"/>
    </row>
    <row r="1321" spans="1:22" x14ac:dyDescent="0.25">
      <c r="A1321" s="11"/>
      <c r="B1321" s="5"/>
      <c r="C1321" s="6" t="str">
        <f>IFERROR(INDEX(Ejecutivos!$B$2:$B$100,MATCH(B1321,Ejecutivos!$A$2:$A$100,0)),"")</f>
        <v/>
      </c>
      <c r="D1321" s="12"/>
      <c r="E1321" s="12"/>
      <c r="F1321" s="12"/>
      <c r="G1321" s="12"/>
      <c r="H1321" s="5"/>
      <c r="I1321" s="5"/>
      <c r="J1321" s="5"/>
      <c r="K1321" s="5"/>
      <c r="L1321" s="18">
        <v>0</v>
      </c>
      <c r="M1321" t="str">
        <f t="shared" si="83"/>
        <v/>
      </c>
      <c r="N1321" t="str">
        <f>IF(OR($D1321="",$S1321=""),"",IFERROR(MAX(0,ROUND(($D1321-INDEX(Config!$C$15:$C$18,MATCH($S1321,Config!$B$15:$B$18,0)))*24*60,0)),""))</f>
        <v/>
      </c>
      <c r="O1321" t="str">
        <f t="shared" si="84"/>
        <v/>
      </c>
      <c r="P1321" t="str">
        <f t="shared" si="85"/>
        <v/>
      </c>
      <c r="Q1321" t="str">
        <f>IF(OR($P1321="",$S1321=""),"",IFERROR($P1321-INDEX(Config!$E$15:$E$18,MATCH($S1321,Config!$B$15:$B$18,0)),""))</f>
        <v/>
      </c>
      <c r="R1321" t="str">
        <f t="shared" si="86"/>
        <v/>
      </c>
      <c r="S1321" s="6" t="str">
        <f>IF(OR($A1321="",$C1321=""),"",IFERROR(INDEX(Turno!$C$3:$V$32,MATCH($C1321,Turno!$B$3:$B$32,0),MATCH(DAY($A1321),Turno!$C$1:$V$1,0)),""))</f>
        <v/>
      </c>
      <c r="T1321" t="str">
        <f>IF(OR($E1321="",$S1321=""),"",IFERROR(MAX(0,ROUND((INDEX(Config!$D$15:$D$18,MATCH($S1321,Config!$B$15:$B$18,0))-$E1321)*1440,0)),""))</f>
        <v/>
      </c>
      <c r="U1321" s="13" t="str">
        <f>IF(OR($N1321="",$T1321=""),"",IFERROR(MAX(0,1-($N1321+$T1321+MAX(0,N($Q1321)))/ROUND((INDEX(Config!$D$15:$D$18,MATCH($S1321,Config!$B$15:$B$18,0))-INDEX(Config!$C$15:$C$18,MATCH($S1321,Config!$B$15:$B$18,0)))*1440,0)),""))</f>
        <v/>
      </c>
      <c r="V1321" s="5"/>
    </row>
    <row r="1322" spans="1:22" x14ac:dyDescent="0.25">
      <c r="A1322" s="11"/>
      <c r="B1322" s="5"/>
      <c r="C1322" s="6" t="str">
        <f>IFERROR(INDEX(Ejecutivos!$B$2:$B$100,MATCH(B1322,Ejecutivos!$A$2:$A$100,0)),"")</f>
        <v/>
      </c>
      <c r="D1322" s="12"/>
      <c r="E1322" s="12"/>
      <c r="F1322" s="12"/>
      <c r="G1322" s="12"/>
      <c r="H1322" s="5"/>
      <c r="I1322" s="5"/>
      <c r="J1322" s="5"/>
      <c r="K1322" s="5"/>
      <c r="L1322" s="18">
        <v>0</v>
      </c>
      <c r="M1322" t="str">
        <f t="shared" si="83"/>
        <v/>
      </c>
      <c r="N1322" t="str">
        <f>IF(OR($D1322="",$S1322=""),"",IFERROR(MAX(0,ROUND(($D1322-INDEX(Config!$C$15:$C$18,MATCH($S1322,Config!$B$15:$B$18,0)))*24*60,0)),""))</f>
        <v/>
      </c>
      <c r="O1322" t="str">
        <f t="shared" si="84"/>
        <v/>
      </c>
      <c r="P1322" t="str">
        <f t="shared" si="85"/>
        <v/>
      </c>
      <c r="Q1322" t="str">
        <f>IF(OR($P1322="",$S1322=""),"",IFERROR($P1322-INDEX(Config!$E$15:$E$18,MATCH($S1322,Config!$B$15:$B$18,0)),""))</f>
        <v/>
      </c>
      <c r="R1322" t="str">
        <f t="shared" si="86"/>
        <v/>
      </c>
      <c r="S1322" s="6" t="str">
        <f>IF(OR($A1322="",$C1322=""),"",IFERROR(INDEX(Turno!$C$3:$V$32,MATCH($C1322,Turno!$B$3:$B$32,0),MATCH(DAY($A1322),Turno!$C$1:$V$1,0)),""))</f>
        <v/>
      </c>
      <c r="T1322" t="str">
        <f>IF(OR($E1322="",$S1322=""),"",IFERROR(MAX(0,ROUND((INDEX(Config!$D$15:$D$18,MATCH($S1322,Config!$B$15:$B$18,0))-$E1322)*1440,0)),""))</f>
        <v/>
      </c>
      <c r="U1322" s="13" t="str">
        <f>IF(OR($N1322="",$T1322=""),"",IFERROR(MAX(0,1-($N1322+$T1322+MAX(0,N($Q1322)))/ROUND((INDEX(Config!$D$15:$D$18,MATCH($S1322,Config!$B$15:$B$18,0))-INDEX(Config!$C$15:$C$18,MATCH($S1322,Config!$B$15:$B$18,0)))*1440,0)),""))</f>
        <v/>
      </c>
      <c r="V1322" s="5"/>
    </row>
    <row r="1323" spans="1:22" x14ac:dyDescent="0.25">
      <c r="A1323" s="11"/>
      <c r="B1323" s="5"/>
      <c r="C1323" s="6" t="str">
        <f>IFERROR(INDEX(Ejecutivos!$B$2:$B$100,MATCH(B1323,Ejecutivos!$A$2:$A$100,0)),"")</f>
        <v/>
      </c>
      <c r="D1323" s="12"/>
      <c r="E1323" s="12"/>
      <c r="F1323" s="12"/>
      <c r="G1323" s="12"/>
      <c r="H1323" s="5"/>
      <c r="I1323" s="5"/>
      <c r="J1323" s="5"/>
      <c r="K1323" s="5"/>
      <c r="L1323" s="18">
        <v>0</v>
      </c>
      <c r="M1323" t="str">
        <f t="shared" si="83"/>
        <v/>
      </c>
      <c r="N1323" t="str">
        <f>IF(OR($D1323="",$S1323=""),"",IFERROR(MAX(0,ROUND(($D1323-INDEX(Config!$C$15:$C$18,MATCH($S1323,Config!$B$15:$B$18,0)))*24*60,0)),""))</f>
        <v/>
      </c>
      <c r="O1323" t="str">
        <f t="shared" si="84"/>
        <v/>
      </c>
      <c r="P1323" t="str">
        <f t="shared" si="85"/>
        <v/>
      </c>
      <c r="Q1323" t="str">
        <f>IF(OR($P1323="",$S1323=""),"",IFERROR($P1323-INDEX(Config!$E$15:$E$18,MATCH($S1323,Config!$B$15:$B$18,0)),""))</f>
        <v/>
      </c>
      <c r="R1323" t="str">
        <f t="shared" si="86"/>
        <v/>
      </c>
      <c r="S1323" s="6" t="str">
        <f>IF(OR($A1323="",$C1323=""),"",IFERROR(INDEX(Turno!$C$3:$V$32,MATCH($C1323,Turno!$B$3:$B$32,0),MATCH(DAY($A1323),Turno!$C$1:$V$1,0)),""))</f>
        <v/>
      </c>
      <c r="T1323" t="str">
        <f>IF(OR($E1323="",$S1323=""),"",IFERROR(MAX(0,ROUND((INDEX(Config!$D$15:$D$18,MATCH($S1323,Config!$B$15:$B$18,0))-$E1323)*1440,0)),""))</f>
        <v/>
      </c>
      <c r="U1323" s="13" t="str">
        <f>IF(OR($N1323="",$T1323=""),"",IFERROR(MAX(0,1-($N1323+$T1323+MAX(0,N($Q1323)))/ROUND((INDEX(Config!$D$15:$D$18,MATCH($S1323,Config!$B$15:$B$18,0))-INDEX(Config!$C$15:$C$18,MATCH($S1323,Config!$B$15:$B$18,0)))*1440,0)),""))</f>
        <v/>
      </c>
      <c r="V1323" s="5"/>
    </row>
    <row r="1324" spans="1:22" x14ac:dyDescent="0.25">
      <c r="A1324" s="11"/>
      <c r="B1324" s="5"/>
      <c r="C1324" s="6" t="str">
        <f>IFERROR(INDEX(Ejecutivos!$B$2:$B$100,MATCH(B1324,Ejecutivos!$A$2:$A$100,0)),"")</f>
        <v/>
      </c>
      <c r="D1324" s="12"/>
      <c r="E1324" s="12"/>
      <c r="F1324" s="12"/>
      <c r="G1324" s="12"/>
      <c r="H1324" s="5"/>
      <c r="I1324" s="5"/>
      <c r="J1324" s="5"/>
      <c r="K1324" s="5"/>
      <c r="L1324" s="18">
        <v>0</v>
      </c>
      <c r="M1324" t="str">
        <f t="shared" si="83"/>
        <v/>
      </c>
      <c r="N1324" t="str">
        <f>IF(OR($D1324="",$S1324=""),"",IFERROR(MAX(0,ROUND(($D1324-INDEX(Config!$C$15:$C$18,MATCH($S1324,Config!$B$15:$B$18,0)))*24*60,0)),""))</f>
        <v/>
      </c>
      <c r="O1324" t="str">
        <f t="shared" si="84"/>
        <v/>
      </c>
      <c r="P1324" t="str">
        <f t="shared" si="85"/>
        <v/>
      </c>
      <c r="Q1324" t="str">
        <f>IF(OR($P1324="",$S1324=""),"",IFERROR($P1324-INDEX(Config!$E$15:$E$18,MATCH($S1324,Config!$B$15:$B$18,0)),""))</f>
        <v/>
      </c>
      <c r="R1324" t="str">
        <f t="shared" si="86"/>
        <v/>
      </c>
      <c r="S1324" s="6" t="str">
        <f>IF(OR($A1324="",$C1324=""),"",IFERROR(INDEX(Turno!$C$3:$V$32,MATCH($C1324,Turno!$B$3:$B$32,0),MATCH(DAY($A1324),Turno!$C$1:$V$1,0)),""))</f>
        <v/>
      </c>
      <c r="T1324" t="str">
        <f>IF(OR($E1324="",$S1324=""),"",IFERROR(MAX(0,ROUND((INDEX(Config!$D$15:$D$18,MATCH($S1324,Config!$B$15:$B$18,0))-$E1324)*1440,0)),""))</f>
        <v/>
      </c>
      <c r="U1324" s="13" t="str">
        <f>IF(OR($N1324="",$T1324=""),"",IFERROR(MAX(0,1-($N1324+$T1324+MAX(0,N($Q1324)))/ROUND((INDEX(Config!$D$15:$D$18,MATCH($S1324,Config!$B$15:$B$18,0))-INDEX(Config!$C$15:$C$18,MATCH($S1324,Config!$B$15:$B$18,0)))*1440,0)),""))</f>
        <v/>
      </c>
      <c r="V1324" s="5"/>
    </row>
    <row r="1325" spans="1:22" x14ac:dyDescent="0.25">
      <c r="A1325" s="11"/>
      <c r="B1325" s="5"/>
      <c r="C1325" s="6" t="str">
        <f>IFERROR(INDEX(Ejecutivos!$B$2:$B$100,MATCH(B1325,Ejecutivos!$A$2:$A$100,0)),"")</f>
        <v/>
      </c>
      <c r="D1325" s="12"/>
      <c r="E1325" s="12"/>
      <c r="F1325" s="12"/>
      <c r="G1325" s="12"/>
      <c r="H1325" s="5"/>
      <c r="I1325" s="5"/>
      <c r="J1325" s="5"/>
      <c r="K1325" s="5"/>
      <c r="L1325" s="18">
        <v>0</v>
      </c>
      <c r="M1325" t="str">
        <f t="shared" si="83"/>
        <v/>
      </c>
      <c r="N1325" t="str">
        <f>IF(OR($D1325="",$S1325=""),"",IFERROR(MAX(0,ROUND(($D1325-INDEX(Config!$C$15:$C$18,MATCH($S1325,Config!$B$15:$B$18,0)))*24*60,0)),""))</f>
        <v/>
      </c>
      <c r="O1325" t="str">
        <f t="shared" si="84"/>
        <v/>
      </c>
      <c r="P1325" t="str">
        <f t="shared" si="85"/>
        <v/>
      </c>
      <c r="Q1325" t="str">
        <f>IF(OR($P1325="",$S1325=""),"",IFERROR($P1325-INDEX(Config!$E$15:$E$18,MATCH($S1325,Config!$B$15:$B$18,0)),""))</f>
        <v/>
      </c>
      <c r="R1325" t="str">
        <f t="shared" si="86"/>
        <v/>
      </c>
      <c r="S1325" s="6" t="str">
        <f>IF(OR($A1325="",$C1325=""),"",IFERROR(INDEX(Turno!$C$3:$V$32,MATCH($C1325,Turno!$B$3:$B$32,0),MATCH(DAY($A1325),Turno!$C$1:$V$1,0)),""))</f>
        <v/>
      </c>
      <c r="T1325" t="str">
        <f>IF(OR($E1325="",$S1325=""),"",IFERROR(MAX(0,ROUND((INDEX(Config!$D$15:$D$18,MATCH($S1325,Config!$B$15:$B$18,0))-$E1325)*1440,0)),""))</f>
        <v/>
      </c>
      <c r="U1325" s="13" t="str">
        <f>IF(OR($N1325="",$T1325=""),"",IFERROR(MAX(0,1-($N1325+$T1325+MAX(0,N($Q1325)))/ROUND((INDEX(Config!$D$15:$D$18,MATCH($S1325,Config!$B$15:$B$18,0))-INDEX(Config!$C$15:$C$18,MATCH($S1325,Config!$B$15:$B$18,0)))*1440,0)),""))</f>
        <v/>
      </c>
      <c r="V1325" s="5"/>
    </row>
    <row r="1326" spans="1:22" x14ac:dyDescent="0.25">
      <c r="A1326" s="11"/>
      <c r="B1326" s="5"/>
      <c r="C1326" s="6" t="str">
        <f>IFERROR(INDEX(Ejecutivos!$B$2:$B$100,MATCH(B1326,Ejecutivos!$A$2:$A$100,0)),"")</f>
        <v/>
      </c>
      <c r="D1326" s="12"/>
      <c r="E1326" s="12"/>
      <c r="F1326" s="12"/>
      <c r="G1326" s="12"/>
      <c r="H1326" s="5"/>
      <c r="I1326" s="5"/>
      <c r="J1326" s="5"/>
      <c r="K1326" s="5"/>
      <c r="L1326" s="18">
        <v>0</v>
      </c>
      <c r="M1326" t="str">
        <f t="shared" si="83"/>
        <v/>
      </c>
      <c r="N1326" t="str">
        <f>IF(OR($D1326="",$S1326=""),"",IFERROR(MAX(0,ROUND(($D1326-INDEX(Config!$C$15:$C$18,MATCH($S1326,Config!$B$15:$B$18,0)))*24*60,0)),""))</f>
        <v/>
      </c>
      <c r="O1326" t="str">
        <f t="shared" si="84"/>
        <v/>
      </c>
      <c r="P1326" t="str">
        <f t="shared" si="85"/>
        <v/>
      </c>
      <c r="Q1326" t="str">
        <f>IF(OR($P1326="",$S1326=""),"",IFERROR($P1326-INDEX(Config!$E$15:$E$18,MATCH($S1326,Config!$B$15:$B$18,0)),""))</f>
        <v/>
      </c>
      <c r="R1326" t="str">
        <f t="shared" si="86"/>
        <v/>
      </c>
      <c r="S1326" s="6" t="str">
        <f>IF(OR($A1326="",$C1326=""),"",IFERROR(INDEX(Turno!$C$3:$V$32,MATCH($C1326,Turno!$B$3:$B$32,0),MATCH(DAY($A1326),Turno!$C$1:$V$1,0)),""))</f>
        <v/>
      </c>
      <c r="T1326" t="str">
        <f>IF(OR($E1326="",$S1326=""),"",IFERROR(MAX(0,ROUND((INDEX(Config!$D$15:$D$18,MATCH($S1326,Config!$B$15:$B$18,0))-$E1326)*1440,0)),""))</f>
        <v/>
      </c>
      <c r="U1326" s="13" t="str">
        <f>IF(OR($N1326="",$T1326=""),"",IFERROR(MAX(0,1-($N1326+$T1326+MAX(0,N($Q1326)))/ROUND((INDEX(Config!$D$15:$D$18,MATCH($S1326,Config!$B$15:$B$18,0))-INDEX(Config!$C$15:$C$18,MATCH($S1326,Config!$B$15:$B$18,0)))*1440,0)),""))</f>
        <v/>
      </c>
      <c r="V1326" s="5"/>
    </row>
    <row r="1327" spans="1:22" x14ac:dyDescent="0.25">
      <c r="A1327" s="11"/>
      <c r="B1327" s="5"/>
      <c r="C1327" s="6" t="str">
        <f>IFERROR(INDEX(Ejecutivos!$B$2:$B$100,MATCH(B1327,Ejecutivos!$A$2:$A$100,0)),"")</f>
        <v/>
      </c>
      <c r="D1327" s="12"/>
      <c r="E1327" s="12"/>
      <c r="F1327" s="12"/>
      <c r="G1327" s="12"/>
      <c r="H1327" s="5"/>
      <c r="I1327" s="5"/>
      <c r="J1327" s="5"/>
      <c r="K1327" s="5"/>
      <c r="L1327" s="18">
        <v>0</v>
      </c>
      <c r="M1327" t="str">
        <f t="shared" si="83"/>
        <v/>
      </c>
      <c r="N1327" t="str">
        <f>IF(OR($D1327="",$S1327=""),"",IFERROR(MAX(0,ROUND(($D1327-INDEX(Config!$C$15:$C$18,MATCH($S1327,Config!$B$15:$B$18,0)))*24*60,0)),""))</f>
        <v/>
      </c>
      <c r="O1327" t="str">
        <f t="shared" si="84"/>
        <v/>
      </c>
      <c r="P1327" t="str">
        <f t="shared" si="85"/>
        <v/>
      </c>
      <c r="Q1327" t="str">
        <f>IF(OR($P1327="",$S1327=""),"",IFERROR($P1327-INDEX(Config!$E$15:$E$18,MATCH($S1327,Config!$B$15:$B$18,0)),""))</f>
        <v/>
      </c>
      <c r="R1327" t="str">
        <f t="shared" si="86"/>
        <v/>
      </c>
      <c r="S1327" s="6" t="str">
        <f>IF(OR($A1327="",$C1327=""),"",IFERROR(INDEX(Turno!$C$3:$V$32,MATCH($C1327,Turno!$B$3:$B$32,0),MATCH(DAY($A1327),Turno!$C$1:$V$1,0)),""))</f>
        <v/>
      </c>
      <c r="T1327" t="str">
        <f>IF(OR($E1327="",$S1327=""),"",IFERROR(MAX(0,ROUND((INDEX(Config!$D$15:$D$18,MATCH($S1327,Config!$B$15:$B$18,0))-$E1327)*1440,0)),""))</f>
        <v/>
      </c>
      <c r="U1327" s="13" t="str">
        <f>IF(OR($N1327="",$T1327=""),"",IFERROR(MAX(0,1-($N1327+$T1327+MAX(0,N($Q1327)))/ROUND((INDEX(Config!$D$15:$D$18,MATCH($S1327,Config!$B$15:$B$18,0))-INDEX(Config!$C$15:$C$18,MATCH($S1327,Config!$B$15:$B$18,0)))*1440,0)),""))</f>
        <v/>
      </c>
      <c r="V1327" s="5"/>
    </row>
    <row r="1328" spans="1:22" x14ac:dyDescent="0.25">
      <c r="A1328" s="11"/>
      <c r="B1328" s="5"/>
      <c r="C1328" s="6" t="str">
        <f>IFERROR(INDEX(Ejecutivos!$B$2:$B$100,MATCH(B1328,Ejecutivos!$A$2:$A$100,0)),"")</f>
        <v/>
      </c>
      <c r="D1328" s="12"/>
      <c r="E1328" s="12"/>
      <c r="F1328" s="12"/>
      <c r="G1328" s="12"/>
      <c r="H1328" s="5"/>
      <c r="I1328" s="5"/>
      <c r="J1328" s="5"/>
      <c r="K1328" s="5"/>
      <c r="L1328" s="18">
        <v>0</v>
      </c>
      <c r="M1328" t="str">
        <f t="shared" si="83"/>
        <v/>
      </c>
      <c r="N1328" t="str">
        <f>IF(OR($D1328="",$S1328=""),"",IFERROR(MAX(0,ROUND(($D1328-INDEX(Config!$C$15:$C$18,MATCH($S1328,Config!$B$15:$B$18,0)))*24*60,0)),""))</f>
        <v/>
      </c>
      <c r="O1328" t="str">
        <f t="shared" si="84"/>
        <v/>
      </c>
      <c r="P1328" t="str">
        <f t="shared" si="85"/>
        <v/>
      </c>
      <c r="Q1328" t="str">
        <f>IF(OR($P1328="",$S1328=""),"",IFERROR($P1328-INDEX(Config!$E$15:$E$18,MATCH($S1328,Config!$B$15:$B$18,0)),""))</f>
        <v/>
      </c>
      <c r="R1328" t="str">
        <f t="shared" si="86"/>
        <v/>
      </c>
      <c r="S1328" s="6" t="str">
        <f>IF(OR($A1328="",$C1328=""),"",IFERROR(INDEX(Turno!$C$3:$V$32,MATCH($C1328,Turno!$B$3:$B$32,0),MATCH(DAY($A1328),Turno!$C$1:$V$1,0)),""))</f>
        <v/>
      </c>
      <c r="T1328" t="str">
        <f>IF(OR($E1328="",$S1328=""),"",IFERROR(MAX(0,ROUND((INDEX(Config!$D$15:$D$18,MATCH($S1328,Config!$B$15:$B$18,0))-$E1328)*1440,0)),""))</f>
        <v/>
      </c>
      <c r="U1328" s="13" t="str">
        <f>IF(OR($N1328="",$T1328=""),"",IFERROR(MAX(0,1-($N1328+$T1328+MAX(0,N($Q1328)))/ROUND((INDEX(Config!$D$15:$D$18,MATCH($S1328,Config!$B$15:$B$18,0))-INDEX(Config!$C$15:$C$18,MATCH($S1328,Config!$B$15:$B$18,0)))*1440,0)),""))</f>
        <v/>
      </c>
      <c r="V1328" s="5"/>
    </row>
    <row r="1329" spans="1:22" x14ac:dyDescent="0.25">
      <c r="A1329" s="11"/>
      <c r="B1329" s="5"/>
      <c r="C1329" s="6" t="str">
        <f>IFERROR(INDEX(Ejecutivos!$B$2:$B$100,MATCH(B1329,Ejecutivos!$A$2:$A$100,0)),"")</f>
        <v/>
      </c>
      <c r="D1329" s="12"/>
      <c r="E1329" s="12"/>
      <c r="F1329" s="12"/>
      <c r="G1329" s="12"/>
      <c r="H1329" s="5"/>
      <c r="I1329" s="5"/>
      <c r="J1329" s="5"/>
      <c r="K1329" s="5"/>
      <c r="L1329" s="18">
        <v>0</v>
      </c>
      <c r="M1329" t="str">
        <f t="shared" si="83"/>
        <v/>
      </c>
      <c r="N1329" t="str">
        <f>IF(OR($D1329="",$S1329=""),"",IFERROR(MAX(0,ROUND(($D1329-INDEX(Config!$C$15:$C$18,MATCH($S1329,Config!$B$15:$B$18,0)))*24*60,0)),""))</f>
        <v/>
      </c>
      <c r="O1329" t="str">
        <f t="shared" si="84"/>
        <v/>
      </c>
      <c r="P1329" t="str">
        <f t="shared" si="85"/>
        <v/>
      </c>
      <c r="Q1329" t="str">
        <f>IF(OR($P1329="",$S1329=""),"",IFERROR($P1329-INDEX(Config!$E$15:$E$18,MATCH($S1329,Config!$B$15:$B$18,0)),""))</f>
        <v/>
      </c>
      <c r="R1329" t="str">
        <f t="shared" si="86"/>
        <v/>
      </c>
      <c r="S1329" s="6" t="str">
        <f>IF(OR($A1329="",$C1329=""),"",IFERROR(INDEX(Turno!$C$3:$V$32,MATCH($C1329,Turno!$B$3:$B$32,0),MATCH(DAY($A1329),Turno!$C$1:$V$1,0)),""))</f>
        <v/>
      </c>
      <c r="T1329" t="str">
        <f>IF(OR($E1329="",$S1329=""),"",IFERROR(MAX(0,ROUND((INDEX(Config!$D$15:$D$18,MATCH($S1329,Config!$B$15:$B$18,0))-$E1329)*1440,0)),""))</f>
        <v/>
      </c>
      <c r="U1329" s="13" t="str">
        <f>IF(OR($N1329="",$T1329=""),"",IFERROR(MAX(0,1-($N1329+$T1329+MAX(0,N($Q1329)))/ROUND((INDEX(Config!$D$15:$D$18,MATCH($S1329,Config!$B$15:$B$18,0))-INDEX(Config!$C$15:$C$18,MATCH($S1329,Config!$B$15:$B$18,0)))*1440,0)),""))</f>
        <v/>
      </c>
      <c r="V1329" s="5"/>
    </row>
    <row r="1330" spans="1:22" x14ac:dyDescent="0.25">
      <c r="A1330" s="11"/>
      <c r="B1330" s="5"/>
      <c r="C1330" s="6" t="str">
        <f>IFERROR(INDEX(Ejecutivos!$B$2:$B$100,MATCH(B1330,Ejecutivos!$A$2:$A$100,0)),"")</f>
        <v/>
      </c>
      <c r="D1330" s="12"/>
      <c r="E1330" s="12"/>
      <c r="F1330" s="12"/>
      <c r="G1330" s="12"/>
      <c r="H1330" s="5"/>
      <c r="I1330" s="5"/>
      <c r="J1330" s="5"/>
      <c r="K1330" s="5"/>
      <c r="L1330" s="18">
        <v>0</v>
      </c>
      <c r="M1330" t="str">
        <f t="shared" si="83"/>
        <v/>
      </c>
      <c r="N1330" t="str">
        <f>IF(OR($D1330="",$S1330=""),"",IFERROR(MAX(0,ROUND(($D1330-INDEX(Config!$C$15:$C$18,MATCH($S1330,Config!$B$15:$B$18,0)))*24*60,0)),""))</f>
        <v/>
      </c>
      <c r="O1330" t="str">
        <f t="shared" si="84"/>
        <v/>
      </c>
      <c r="P1330" t="str">
        <f t="shared" si="85"/>
        <v/>
      </c>
      <c r="Q1330" t="str">
        <f>IF(OR($P1330="",$S1330=""),"",IFERROR($P1330-INDEX(Config!$E$15:$E$18,MATCH($S1330,Config!$B$15:$B$18,0)),""))</f>
        <v/>
      </c>
      <c r="R1330" t="str">
        <f t="shared" si="86"/>
        <v/>
      </c>
      <c r="S1330" s="6" t="str">
        <f>IF(OR($A1330="",$C1330=""),"",IFERROR(INDEX(Turno!$C$3:$V$32,MATCH($C1330,Turno!$B$3:$B$32,0),MATCH(DAY($A1330),Turno!$C$1:$V$1,0)),""))</f>
        <v/>
      </c>
      <c r="T1330" t="str">
        <f>IF(OR($E1330="",$S1330=""),"",IFERROR(MAX(0,ROUND((INDEX(Config!$D$15:$D$18,MATCH($S1330,Config!$B$15:$B$18,0))-$E1330)*1440,0)),""))</f>
        <v/>
      </c>
      <c r="U1330" s="13" t="str">
        <f>IF(OR($N1330="",$T1330=""),"",IFERROR(MAX(0,1-($N1330+$T1330+MAX(0,N($Q1330)))/ROUND((INDEX(Config!$D$15:$D$18,MATCH($S1330,Config!$B$15:$B$18,0))-INDEX(Config!$C$15:$C$18,MATCH($S1330,Config!$B$15:$B$18,0)))*1440,0)),""))</f>
        <v/>
      </c>
      <c r="V1330" s="5"/>
    </row>
    <row r="1331" spans="1:22" x14ac:dyDescent="0.25">
      <c r="A1331" s="11"/>
      <c r="B1331" s="5"/>
      <c r="C1331" s="6" t="str">
        <f>IFERROR(INDEX(Ejecutivos!$B$2:$B$100,MATCH(B1331,Ejecutivos!$A$2:$A$100,0)),"")</f>
        <v/>
      </c>
      <c r="D1331" s="12"/>
      <c r="E1331" s="12"/>
      <c r="F1331" s="12"/>
      <c r="G1331" s="12"/>
      <c r="H1331" s="5"/>
      <c r="I1331" s="5"/>
      <c r="J1331" s="5"/>
      <c r="K1331" s="5"/>
      <c r="L1331" s="18">
        <v>0</v>
      </c>
      <c r="M1331" t="str">
        <f t="shared" si="83"/>
        <v/>
      </c>
      <c r="N1331" t="str">
        <f>IF(OR($D1331="",$S1331=""),"",IFERROR(MAX(0,ROUND(($D1331-INDEX(Config!$C$15:$C$18,MATCH($S1331,Config!$B$15:$B$18,0)))*24*60,0)),""))</f>
        <v/>
      </c>
      <c r="O1331" t="str">
        <f t="shared" si="84"/>
        <v/>
      </c>
      <c r="P1331" t="str">
        <f t="shared" si="85"/>
        <v/>
      </c>
      <c r="Q1331" t="str">
        <f>IF(OR($P1331="",$S1331=""),"",IFERROR($P1331-INDEX(Config!$E$15:$E$18,MATCH($S1331,Config!$B$15:$B$18,0)),""))</f>
        <v/>
      </c>
      <c r="R1331" t="str">
        <f t="shared" si="86"/>
        <v/>
      </c>
      <c r="S1331" s="6" t="str">
        <f>IF(OR($A1331="",$C1331=""),"",IFERROR(INDEX(Turno!$C$3:$V$32,MATCH($C1331,Turno!$B$3:$B$32,0),MATCH(DAY($A1331),Turno!$C$1:$V$1,0)),""))</f>
        <v/>
      </c>
      <c r="T1331" t="str">
        <f>IF(OR($E1331="",$S1331=""),"",IFERROR(MAX(0,ROUND((INDEX(Config!$D$15:$D$18,MATCH($S1331,Config!$B$15:$B$18,0))-$E1331)*1440,0)),""))</f>
        <v/>
      </c>
      <c r="U1331" s="13" t="str">
        <f>IF(OR($N1331="",$T1331=""),"",IFERROR(MAX(0,1-($N1331+$T1331+MAX(0,N($Q1331)))/ROUND((INDEX(Config!$D$15:$D$18,MATCH($S1331,Config!$B$15:$B$18,0))-INDEX(Config!$C$15:$C$18,MATCH($S1331,Config!$B$15:$B$18,0)))*1440,0)),""))</f>
        <v/>
      </c>
      <c r="V1331" s="5"/>
    </row>
    <row r="1332" spans="1:22" x14ac:dyDescent="0.25">
      <c r="A1332" s="11"/>
      <c r="B1332" s="5"/>
      <c r="C1332" s="6" t="str">
        <f>IFERROR(INDEX(Ejecutivos!$B$2:$B$100,MATCH(B1332,Ejecutivos!$A$2:$A$100,0)),"")</f>
        <v/>
      </c>
      <c r="D1332" s="12"/>
      <c r="E1332" s="12"/>
      <c r="F1332" s="12"/>
      <c r="G1332" s="12"/>
      <c r="H1332" s="5"/>
      <c r="I1332" s="5"/>
      <c r="J1332" s="5"/>
      <c r="K1332" s="5"/>
      <c r="L1332" s="18">
        <v>0</v>
      </c>
      <c r="M1332" t="str">
        <f t="shared" si="83"/>
        <v/>
      </c>
      <c r="N1332" t="str">
        <f>IF(OR($D1332="",$S1332=""),"",IFERROR(MAX(0,ROUND(($D1332-INDEX(Config!$C$15:$C$18,MATCH($S1332,Config!$B$15:$B$18,0)))*24*60,0)),""))</f>
        <v/>
      </c>
      <c r="O1332" t="str">
        <f t="shared" si="84"/>
        <v/>
      </c>
      <c r="P1332" t="str">
        <f t="shared" si="85"/>
        <v/>
      </c>
      <c r="Q1332" t="str">
        <f>IF(OR($P1332="",$S1332=""),"",IFERROR($P1332-INDEX(Config!$E$15:$E$18,MATCH($S1332,Config!$B$15:$B$18,0)),""))</f>
        <v/>
      </c>
      <c r="R1332" t="str">
        <f t="shared" si="86"/>
        <v/>
      </c>
      <c r="S1332" s="6" t="str">
        <f>IF(OR($A1332="",$C1332=""),"",IFERROR(INDEX(Turno!$C$3:$V$32,MATCH($C1332,Turno!$B$3:$B$32,0),MATCH(DAY($A1332),Turno!$C$1:$V$1,0)),""))</f>
        <v/>
      </c>
      <c r="T1332" t="str">
        <f>IF(OR($E1332="",$S1332=""),"",IFERROR(MAX(0,ROUND((INDEX(Config!$D$15:$D$18,MATCH($S1332,Config!$B$15:$B$18,0))-$E1332)*1440,0)),""))</f>
        <v/>
      </c>
      <c r="U1332" s="13" t="str">
        <f>IF(OR($N1332="",$T1332=""),"",IFERROR(MAX(0,1-($N1332+$T1332+MAX(0,N($Q1332)))/ROUND((INDEX(Config!$D$15:$D$18,MATCH($S1332,Config!$B$15:$B$18,0))-INDEX(Config!$C$15:$C$18,MATCH($S1332,Config!$B$15:$B$18,0)))*1440,0)),""))</f>
        <v/>
      </c>
      <c r="V1332" s="5"/>
    </row>
    <row r="1333" spans="1:22" x14ac:dyDescent="0.25">
      <c r="A1333" s="11"/>
      <c r="B1333" s="5"/>
      <c r="C1333" s="6" t="str">
        <f>IFERROR(INDEX(Ejecutivos!$B$2:$B$100,MATCH(B1333,Ejecutivos!$A$2:$A$100,0)),"")</f>
        <v/>
      </c>
      <c r="D1333" s="12"/>
      <c r="E1333" s="12"/>
      <c r="F1333" s="12"/>
      <c r="G1333" s="12"/>
      <c r="H1333" s="5"/>
      <c r="I1333" s="5"/>
      <c r="J1333" s="5"/>
      <c r="K1333" s="5"/>
      <c r="L1333" s="18">
        <v>0</v>
      </c>
      <c r="M1333" t="str">
        <f t="shared" ref="M1333:M1396" si="87">IF(OR(D1333="",E1333=""),"",ROUND(((E1333-D1333)*24)-((G1333-F1333)*24)-((H1333+I1333)/60),2))</f>
        <v/>
      </c>
      <c r="N1333" t="str">
        <f>IF(OR($D1333="",$S1333=""),"",IFERROR(MAX(0,ROUND(($D1333-INDEX(Config!$C$15:$C$18,MATCH($S1333,Config!$B$15:$B$18,0)))*24*60,0)),""))</f>
        <v/>
      </c>
      <c r="O1333" t="str">
        <f t="shared" ref="O1333:O1396" si="88">IF(OR(F1333="",G1333=""),"",ROUND((G1333-F1333)*24*60,0))</f>
        <v/>
      </c>
      <c r="P1333" t="str">
        <f t="shared" ref="P1333:P1396" si="89">IF(O1333="","",O1333+H1333+I1333)</f>
        <v/>
      </c>
      <c r="Q1333" t="str">
        <f>IF(OR($P1333="",$S1333=""),"",IFERROR($P1333-INDEX(Config!$E$15:$E$18,MATCH($S1333,Config!$B$15:$B$18,0)),""))</f>
        <v/>
      </c>
      <c r="R1333" t="str">
        <f t="shared" ref="R1333:R1396" si="90">IF($A1333="","",IF($D1333="","Ausente",IF($N1333="","",IF($N1333&gt;0,"Atrasado","Puntual"))))</f>
        <v/>
      </c>
      <c r="S1333" s="6" t="str">
        <f>IF(OR($A1333="",$C1333=""),"",IFERROR(INDEX(Turno!$C$3:$V$32,MATCH($C1333,Turno!$B$3:$B$32,0),MATCH(DAY($A1333),Turno!$C$1:$V$1,0)),""))</f>
        <v/>
      </c>
      <c r="T1333" t="str">
        <f>IF(OR($E1333="",$S1333=""),"",IFERROR(MAX(0,ROUND((INDEX(Config!$D$15:$D$18,MATCH($S1333,Config!$B$15:$B$18,0))-$E1333)*1440,0)),""))</f>
        <v/>
      </c>
      <c r="U1333" s="13" t="str">
        <f>IF(OR($N1333="",$T1333=""),"",IFERROR(MAX(0,1-($N1333+$T1333+MAX(0,N($Q1333)))/ROUND((INDEX(Config!$D$15:$D$18,MATCH($S1333,Config!$B$15:$B$18,0))-INDEX(Config!$C$15:$C$18,MATCH($S1333,Config!$B$15:$B$18,0)))*1440,0)),""))</f>
        <v/>
      </c>
      <c r="V1333" s="5"/>
    </row>
    <row r="1334" spans="1:22" x14ac:dyDescent="0.25">
      <c r="A1334" s="11"/>
      <c r="B1334" s="5"/>
      <c r="C1334" s="6" t="str">
        <f>IFERROR(INDEX(Ejecutivos!$B$2:$B$100,MATCH(B1334,Ejecutivos!$A$2:$A$100,0)),"")</f>
        <v/>
      </c>
      <c r="D1334" s="12"/>
      <c r="E1334" s="12"/>
      <c r="F1334" s="12"/>
      <c r="G1334" s="12"/>
      <c r="H1334" s="5"/>
      <c r="I1334" s="5"/>
      <c r="J1334" s="5"/>
      <c r="K1334" s="5"/>
      <c r="L1334" s="18">
        <v>0</v>
      </c>
      <c r="M1334" t="str">
        <f t="shared" si="87"/>
        <v/>
      </c>
      <c r="N1334" t="str">
        <f>IF(OR($D1334="",$S1334=""),"",IFERROR(MAX(0,ROUND(($D1334-INDEX(Config!$C$15:$C$18,MATCH($S1334,Config!$B$15:$B$18,0)))*24*60,0)),""))</f>
        <v/>
      </c>
      <c r="O1334" t="str">
        <f t="shared" si="88"/>
        <v/>
      </c>
      <c r="P1334" t="str">
        <f t="shared" si="89"/>
        <v/>
      </c>
      <c r="Q1334" t="str">
        <f>IF(OR($P1334="",$S1334=""),"",IFERROR($P1334-INDEX(Config!$E$15:$E$18,MATCH($S1334,Config!$B$15:$B$18,0)),""))</f>
        <v/>
      </c>
      <c r="R1334" t="str">
        <f t="shared" si="90"/>
        <v/>
      </c>
      <c r="S1334" s="6" t="str">
        <f>IF(OR($A1334="",$C1334=""),"",IFERROR(INDEX(Turno!$C$3:$V$32,MATCH($C1334,Turno!$B$3:$B$32,0),MATCH(DAY($A1334),Turno!$C$1:$V$1,0)),""))</f>
        <v/>
      </c>
      <c r="T1334" t="str">
        <f>IF(OR($E1334="",$S1334=""),"",IFERROR(MAX(0,ROUND((INDEX(Config!$D$15:$D$18,MATCH($S1334,Config!$B$15:$B$18,0))-$E1334)*1440,0)),""))</f>
        <v/>
      </c>
      <c r="U1334" s="13" t="str">
        <f>IF(OR($N1334="",$T1334=""),"",IFERROR(MAX(0,1-($N1334+$T1334+MAX(0,N($Q1334)))/ROUND((INDEX(Config!$D$15:$D$18,MATCH($S1334,Config!$B$15:$B$18,0))-INDEX(Config!$C$15:$C$18,MATCH($S1334,Config!$B$15:$B$18,0)))*1440,0)),""))</f>
        <v/>
      </c>
      <c r="V1334" s="5"/>
    </row>
    <row r="1335" spans="1:22" x14ac:dyDescent="0.25">
      <c r="A1335" s="11"/>
      <c r="B1335" s="5"/>
      <c r="C1335" s="6" t="str">
        <f>IFERROR(INDEX(Ejecutivos!$B$2:$B$100,MATCH(B1335,Ejecutivos!$A$2:$A$100,0)),"")</f>
        <v/>
      </c>
      <c r="D1335" s="12"/>
      <c r="E1335" s="12"/>
      <c r="F1335" s="12"/>
      <c r="G1335" s="12"/>
      <c r="H1335" s="5"/>
      <c r="I1335" s="5"/>
      <c r="J1335" s="5"/>
      <c r="K1335" s="5"/>
      <c r="L1335" s="18">
        <v>0</v>
      </c>
      <c r="M1335" t="str">
        <f t="shared" si="87"/>
        <v/>
      </c>
      <c r="N1335" t="str">
        <f>IF(OR($D1335="",$S1335=""),"",IFERROR(MAX(0,ROUND(($D1335-INDEX(Config!$C$15:$C$18,MATCH($S1335,Config!$B$15:$B$18,0)))*24*60,0)),""))</f>
        <v/>
      </c>
      <c r="O1335" t="str">
        <f t="shared" si="88"/>
        <v/>
      </c>
      <c r="P1335" t="str">
        <f t="shared" si="89"/>
        <v/>
      </c>
      <c r="Q1335" t="str">
        <f>IF(OR($P1335="",$S1335=""),"",IFERROR($P1335-INDEX(Config!$E$15:$E$18,MATCH($S1335,Config!$B$15:$B$18,0)),""))</f>
        <v/>
      </c>
      <c r="R1335" t="str">
        <f t="shared" si="90"/>
        <v/>
      </c>
      <c r="S1335" s="6" t="str">
        <f>IF(OR($A1335="",$C1335=""),"",IFERROR(INDEX(Turno!$C$3:$V$32,MATCH($C1335,Turno!$B$3:$B$32,0),MATCH(DAY($A1335),Turno!$C$1:$V$1,0)),""))</f>
        <v/>
      </c>
      <c r="T1335" t="str">
        <f>IF(OR($E1335="",$S1335=""),"",IFERROR(MAX(0,ROUND((INDEX(Config!$D$15:$D$18,MATCH($S1335,Config!$B$15:$B$18,0))-$E1335)*1440,0)),""))</f>
        <v/>
      </c>
      <c r="U1335" s="13" t="str">
        <f>IF(OR($N1335="",$T1335=""),"",IFERROR(MAX(0,1-($N1335+$T1335+MAX(0,N($Q1335)))/ROUND((INDEX(Config!$D$15:$D$18,MATCH($S1335,Config!$B$15:$B$18,0))-INDEX(Config!$C$15:$C$18,MATCH($S1335,Config!$B$15:$B$18,0)))*1440,0)),""))</f>
        <v/>
      </c>
      <c r="V1335" s="5"/>
    </row>
    <row r="1336" spans="1:22" x14ac:dyDescent="0.25">
      <c r="A1336" s="11"/>
      <c r="B1336" s="5"/>
      <c r="C1336" s="6" t="str">
        <f>IFERROR(INDEX(Ejecutivos!$B$2:$B$100,MATCH(B1336,Ejecutivos!$A$2:$A$100,0)),"")</f>
        <v/>
      </c>
      <c r="D1336" s="12"/>
      <c r="E1336" s="12"/>
      <c r="F1336" s="12"/>
      <c r="G1336" s="12"/>
      <c r="H1336" s="5"/>
      <c r="I1336" s="5"/>
      <c r="J1336" s="5"/>
      <c r="K1336" s="5"/>
      <c r="L1336" s="18">
        <v>0</v>
      </c>
      <c r="M1336" t="str">
        <f t="shared" si="87"/>
        <v/>
      </c>
      <c r="N1336" t="str">
        <f>IF(OR($D1336="",$S1336=""),"",IFERROR(MAX(0,ROUND(($D1336-INDEX(Config!$C$15:$C$18,MATCH($S1336,Config!$B$15:$B$18,0)))*24*60,0)),""))</f>
        <v/>
      </c>
      <c r="O1336" t="str">
        <f t="shared" si="88"/>
        <v/>
      </c>
      <c r="P1336" t="str">
        <f t="shared" si="89"/>
        <v/>
      </c>
      <c r="Q1336" t="str">
        <f>IF(OR($P1336="",$S1336=""),"",IFERROR($P1336-INDEX(Config!$E$15:$E$18,MATCH($S1336,Config!$B$15:$B$18,0)),""))</f>
        <v/>
      </c>
      <c r="R1336" t="str">
        <f t="shared" si="90"/>
        <v/>
      </c>
      <c r="S1336" s="6" t="str">
        <f>IF(OR($A1336="",$C1336=""),"",IFERROR(INDEX(Turno!$C$3:$V$32,MATCH($C1336,Turno!$B$3:$B$32,0),MATCH(DAY($A1336),Turno!$C$1:$V$1,0)),""))</f>
        <v/>
      </c>
      <c r="T1336" t="str">
        <f>IF(OR($E1336="",$S1336=""),"",IFERROR(MAX(0,ROUND((INDEX(Config!$D$15:$D$18,MATCH($S1336,Config!$B$15:$B$18,0))-$E1336)*1440,0)),""))</f>
        <v/>
      </c>
      <c r="U1336" s="13" t="str">
        <f>IF(OR($N1336="",$T1336=""),"",IFERROR(MAX(0,1-($N1336+$T1336+MAX(0,N($Q1336)))/ROUND((INDEX(Config!$D$15:$D$18,MATCH($S1336,Config!$B$15:$B$18,0))-INDEX(Config!$C$15:$C$18,MATCH($S1336,Config!$B$15:$B$18,0)))*1440,0)),""))</f>
        <v/>
      </c>
      <c r="V1336" s="5"/>
    </row>
    <row r="1337" spans="1:22" x14ac:dyDescent="0.25">
      <c r="A1337" s="11"/>
      <c r="B1337" s="5"/>
      <c r="C1337" s="6" t="str">
        <f>IFERROR(INDEX(Ejecutivos!$B$2:$B$100,MATCH(B1337,Ejecutivos!$A$2:$A$100,0)),"")</f>
        <v/>
      </c>
      <c r="D1337" s="12"/>
      <c r="E1337" s="12"/>
      <c r="F1337" s="12"/>
      <c r="G1337" s="12"/>
      <c r="H1337" s="5"/>
      <c r="I1337" s="5"/>
      <c r="J1337" s="5"/>
      <c r="K1337" s="5"/>
      <c r="L1337" s="18">
        <v>0</v>
      </c>
      <c r="M1337" t="str">
        <f t="shared" si="87"/>
        <v/>
      </c>
      <c r="N1337" t="str">
        <f>IF(OR($D1337="",$S1337=""),"",IFERROR(MAX(0,ROUND(($D1337-INDEX(Config!$C$15:$C$18,MATCH($S1337,Config!$B$15:$B$18,0)))*24*60,0)),""))</f>
        <v/>
      </c>
      <c r="O1337" t="str">
        <f t="shared" si="88"/>
        <v/>
      </c>
      <c r="P1337" t="str">
        <f t="shared" si="89"/>
        <v/>
      </c>
      <c r="Q1337" t="str">
        <f>IF(OR($P1337="",$S1337=""),"",IFERROR($P1337-INDEX(Config!$E$15:$E$18,MATCH($S1337,Config!$B$15:$B$18,0)),""))</f>
        <v/>
      </c>
      <c r="R1337" t="str">
        <f t="shared" si="90"/>
        <v/>
      </c>
      <c r="S1337" s="6" t="str">
        <f>IF(OR($A1337="",$C1337=""),"",IFERROR(INDEX(Turno!$C$3:$V$32,MATCH($C1337,Turno!$B$3:$B$32,0),MATCH(DAY($A1337),Turno!$C$1:$V$1,0)),""))</f>
        <v/>
      </c>
      <c r="T1337" t="str">
        <f>IF(OR($E1337="",$S1337=""),"",IFERROR(MAX(0,ROUND((INDEX(Config!$D$15:$D$18,MATCH($S1337,Config!$B$15:$B$18,0))-$E1337)*1440,0)),""))</f>
        <v/>
      </c>
      <c r="U1337" s="13" t="str">
        <f>IF(OR($N1337="",$T1337=""),"",IFERROR(MAX(0,1-($N1337+$T1337+MAX(0,N($Q1337)))/ROUND((INDEX(Config!$D$15:$D$18,MATCH($S1337,Config!$B$15:$B$18,0))-INDEX(Config!$C$15:$C$18,MATCH($S1337,Config!$B$15:$B$18,0)))*1440,0)),""))</f>
        <v/>
      </c>
      <c r="V1337" s="5"/>
    </row>
    <row r="1338" spans="1:22" x14ac:dyDescent="0.25">
      <c r="A1338" s="11"/>
      <c r="B1338" s="5"/>
      <c r="C1338" s="6" t="str">
        <f>IFERROR(INDEX(Ejecutivos!$B$2:$B$100,MATCH(B1338,Ejecutivos!$A$2:$A$100,0)),"")</f>
        <v/>
      </c>
      <c r="D1338" s="12"/>
      <c r="E1338" s="12"/>
      <c r="F1338" s="12"/>
      <c r="G1338" s="12"/>
      <c r="H1338" s="5"/>
      <c r="I1338" s="5"/>
      <c r="J1338" s="5"/>
      <c r="K1338" s="5"/>
      <c r="L1338" s="18">
        <v>0</v>
      </c>
      <c r="M1338" t="str">
        <f t="shared" si="87"/>
        <v/>
      </c>
      <c r="N1338" t="str">
        <f>IF(OR($D1338="",$S1338=""),"",IFERROR(MAX(0,ROUND(($D1338-INDEX(Config!$C$15:$C$18,MATCH($S1338,Config!$B$15:$B$18,0)))*24*60,0)),""))</f>
        <v/>
      </c>
      <c r="O1338" t="str">
        <f t="shared" si="88"/>
        <v/>
      </c>
      <c r="P1338" t="str">
        <f t="shared" si="89"/>
        <v/>
      </c>
      <c r="Q1338" t="str">
        <f>IF(OR($P1338="",$S1338=""),"",IFERROR($P1338-INDEX(Config!$E$15:$E$18,MATCH($S1338,Config!$B$15:$B$18,0)),""))</f>
        <v/>
      </c>
      <c r="R1338" t="str">
        <f t="shared" si="90"/>
        <v/>
      </c>
      <c r="S1338" s="6" t="str">
        <f>IF(OR($A1338="",$C1338=""),"",IFERROR(INDEX(Turno!$C$3:$V$32,MATCH($C1338,Turno!$B$3:$B$32,0),MATCH(DAY($A1338),Turno!$C$1:$V$1,0)),""))</f>
        <v/>
      </c>
      <c r="T1338" t="str">
        <f>IF(OR($E1338="",$S1338=""),"",IFERROR(MAX(0,ROUND((INDEX(Config!$D$15:$D$18,MATCH($S1338,Config!$B$15:$B$18,0))-$E1338)*1440,0)),""))</f>
        <v/>
      </c>
      <c r="U1338" s="13" t="str">
        <f>IF(OR($N1338="",$T1338=""),"",IFERROR(MAX(0,1-($N1338+$T1338+MAX(0,N($Q1338)))/ROUND((INDEX(Config!$D$15:$D$18,MATCH($S1338,Config!$B$15:$B$18,0))-INDEX(Config!$C$15:$C$18,MATCH($S1338,Config!$B$15:$B$18,0)))*1440,0)),""))</f>
        <v/>
      </c>
      <c r="V1338" s="5"/>
    </row>
    <row r="1339" spans="1:22" x14ac:dyDescent="0.25">
      <c r="A1339" s="11"/>
      <c r="B1339" s="5"/>
      <c r="C1339" s="6" t="str">
        <f>IFERROR(INDEX(Ejecutivos!$B$2:$B$100,MATCH(B1339,Ejecutivos!$A$2:$A$100,0)),"")</f>
        <v/>
      </c>
      <c r="D1339" s="12"/>
      <c r="E1339" s="12"/>
      <c r="F1339" s="12"/>
      <c r="G1339" s="12"/>
      <c r="H1339" s="5"/>
      <c r="I1339" s="5"/>
      <c r="J1339" s="5"/>
      <c r="K1339" s="5"/>
      <c r="L1339" s="18">
        <v>0</v>
      </c>
      <c r="M1339" t="str">
        <f t="shared" si="87"/>
        <v/>
      </c>
      <c r="N1339" t="str">
        <f>IF(OR($D1339="",$S1339=""),"",IFERROR(MAX(0,ROUND(($D1339-INDEX(Config!$C$15:$C$18,MATCH($S1339,Config!$B$15:$B$18,0)))*24*60,0)),""))</f>
        <v/>
      </c>
      <c r="O1339" t="str">
        <f t="shared" si="88"/>
        <v/>
      </c>
      <c r="P1339" t="str">
        <f t="shared" si="89"/>
        <v/>
      </c>
      <c r="Q1339" t="str">
        <f>IF(OR($P1339="",$S1339=""),"",IFERROR($P1339-INDEX(Config!$E$15:$E$18,MATCH($S1339,Config!$B$15:$B$18,0)),""))</f>
        <v/>
      </c>
      <c r="R1339" t="str">
        <f t="shared" si="90"/>
        <v/>
      </c>
      <c r="S1339" s="6" t="str">
        <f>IF(OR($A1339="",$C1339=""),"",IFERROR(INDEX(Turno!$C$3:$V$32,MATCH($C1339,Turno!$B$3:$B$32,0),MATCH(DAY($A1339),Turno!$C$1:$V$1,0)),""))</f>
        <v/>
      </c>
      <c r="T1339" t="str">
        <f>IF(OR($E1339="",$S1339=""),"",IFERROR(MAX(0,ROUND((INDEX(Config!$D$15:$D$18,MATCH($S1339,Config!$B$15:$B$18,0))-$E1339)*1440,0)),""))</f>
        <v/>
      </c>
      <c r="U1339" s="13" t="str">
        <f>IF(OR($N1339="",$T1339=""),"",IFERROR(MAX(0,1-($N1339+$T1339+MAX(0,N($Q1339)))/ROUND((INDEX(Config!$D$15:$D$18,MATCH($S1339,Config!$B$15:$B$18,0))-INDEX(Config!$C$15:$C$18,MATCH($S1339,Config!$B$15:$B$18,0)))*1440,0)),""))</f>
        <v/>
      </c>
      <c r="V1339" s="5"/>
    </row>
    <row r="1340" spans="1:22" x14ac:dyDescent="0.25">
      <c r="A1340" s="11"/>
      <c r="B1340" s="5"/>
      <c r="C1340" s="6" t="str">
        <f>IFERROR(INDEX(Ejecutivos!$B$2:$B$100,MATCH(B1340,Ejecutivos!$A$2:$A$100,0)),"")</f>
        <v/>
      </c>
      <c r="D1340" s="12"/>
      <c r="E1340" s="12"/>
      <c r="F1340" s="12"/>
      <c r="G1340" s="12"/>
      <c r="H1340" s="5"/>
      <c r="I1340" s="5"/>
      <c r="J1340" s="5"/>
      <c r="K1340" s="5"/>
      <c r="L1340" s="18">
        <v>0</v>
      </c>
      <c r="M1340" t="str">
        <f t="shared" si="87"/>
        <v/>
      </c>
      <c r="N1340" t="str">
        <f>IF(OR($D1340="",$S1340=""),"",IFERROR(MAX(0,ROUND(($D1340-INDEX(Config!$C$15:$C$18,MATCH($S1340,Config!$B$15:$B$18,0)))*24*60,0)),""))</f>
        <v/>
      </c>
      <c r="O1340" t="str">
        <f t="shared" si="88"/>
        <v/>
      </c>
      <c r="P1340" t="str">
        <f t="shared" si="89"/>
        <v/>
      </c>
      <c r="Q1340" t="str">
        <f>IF(OR($P1340="",$S1340=""),"",IFERROR($P1340-INDEX(Config!$E$15:$E$18,MATCH($S1340,Config!$B$15:$B$18,0)),""))</f>
        <v/>
      </c>
      <c r="R1340" t="str">
        <f t="shared" si="90"/>
        <v/>
      </c>
      <c r="S1340" s="6" t="str">
        <f>IF(OR($A1340="",$C1340=""),"",IFERROR(INDEX(Turno!$C$3:$V$32,MATCH($C1340,Turno!$B$3:$B$32,0),MATCH(DAY($A1340),Turno!$C$1:$V$1,0)),""))</f>
        <v/>
      </c>
      <c r="T1340" t="str">
        <f>IF(OR($E1340="",$S1340=""),"",IFERROR(MAX(0,ROUND((INDEX(Config!$D$15:$D$18,MATCH($S1340,Config!$B$15:$B$18,0))-$E1340)*1440,0)),""))</f>
        <v/>
      </c>
      <c r="U1340" s="13" t="str">
        <f>IF(OR($N1340="",$T1340=""),"",IFERROR(MAX(0,1-($N1340+$T1340+MAX(0,N($Q1340)))/ROUND((INDEX(Config!$D$15:$D$18,MATCH($S1340,Config!$B$15:$B$18,0))-INDEX(Config!$C$15:$C$18,MATCH($S1340,Config!$B$15:$B$18,0)))*1440,0)),""))</f>
        <v/>
      </c>
      <c r="V1340" s="5"/>
    </row>
    <row r="1341" spans="1:22" x14ac:dyDescent="0.25">
      <c r="A1341" s="11"/>
      <c r="B1341" s="5"/>
      <c r="C1341" s="6" t="str">
        <f>IFERROR(INDEX(Ejecutivos!$B$2:$B$100,MATCH(B1341,Ejecutivos!$A$2:$A$100,0)),"")</f>
        <v/>
      </c>
      <c r="D1341" s="12"/>
      <c r="E1341" s="12"/>
      <c r="F1341" s="12"/>
      <c r="G1341" s="12"/>
      <c r="H1341" s="5"/>
      <c r="I1341" s="5"/>
      <c r="J1341" s="5"/>
      <c r="K1341" s="5"/>
      <c r="L1341" s="18">
        <v>0</v>
      </c>
      <c r="M1341" t="str">
        <f t="shared" si="87"/>
        <v/>
      </c>
      <c r="N1341" t="str">
        <f>IF(OR($D1341="",$S1341=""),"",IFERROR(MAX(0,ROUND(($D1341-INDEX(Config!$C$15:$C$18,MATCH($S1341,Config!$B$15:$B$18,0)))*24*60,0)),""))</f>
        <v/>
      </c>
      <c r="O1341" t="str">
        <f t="shared" si="88"/>
        <v/>
      </c>
      <c r="P1341" t="str">
        <f t="shared" si="89"/>
        <v/>
      </c>
      <c r="Q1341" t="str">
        <f>IF(OR($P1341="",$S1341=""),"",IFERROR($P1341-INDEX(Config!$E$15:$E$18,MATCH($S1341,Config!$B$15:$B$18,0)),""))</f>
        <v/>
      </c>
      <c r="R1341" t="str">
        <f t="shared" si="90"/>
        <v/>
      </c>
      <c r="S1341" s="6" t="str">
        <f>IF(OR($A1341="",$C1341=""),"",IFERROR(INDEX(Turno!$C$3:$V$32,MATCH($C1341,Turno!$B$3:$B$32,0),MATCH(DAY($A1341),Turno!$C$1:$V$1,0)),""))</f>
        <v/>
      </c>
      <c r="T1341" t="str">
        <f>IF(OR($E1341="",$S1341=""),"",IFERROR(MAX(0,ROUND((INDEX(Config!$D$15:$D$18,MATCH($S1341,Config!$B$15:$B$18,0))-$E1341)*1440,0)),""))</f>
        <v/>
      </c>
      <c r="U1341" s="13" t="str">
        <f>IF(OR($N1341="",$T1341=""),"",IFERROR(MAX(0,1-($N1341+$T1341+MAX(0,N($Q1341)))/ROUND((INDEX(Config!$D$15:$D$18,MATCH($S1341,Config!$B$15:$B$18,0))-INDEX(Config!$C$15:$C$18,MATCH($S1341,Config!$B$15:$B$18,0)))*1440,0)),""))</f>
        <v/>
      </c>
      <c r="V1341" s="5"/>
    </row>
    <row r="1342" spans="1:22" x14ac:dyDescent="0.25">
      <c r="A1342" s="11"/>
      <c r="B1342" s="5"/>
      <c r="C1342" s="6" t="str">
        <f>IFERROR(INDEX(Ejecutivos!$B$2:$B$100,MATCH(B1342,Ejecutivos!$A$2:$A$100,0)),"")</f>
        <v/>
      </c>
      <c r="D1342" s="12"/>
      <c r="E1342" s="12"/>
      <c r="F1342" s="12"/>
      <c r="G1342" s="12"/>
      <c r="H1342" s="5"/>
      <c r="I1342" s="5"/>
      <c r="J1342" s="5"/>
      <c r="K1342" s="5"/>
      <c r="L1342" s="18">
        <v>0</v>
      </c>
      <c r="M1342" t="str">
        <f t="shared" si="87"/>
        <v/>
      </c>
      <c r="N1342" t="str">
        <f>IF(OR($D1342="",$S1342=""),"",IFERROR(MAX(0,ROUND(($D1342-INDEX(Config!$C$15:$C$18,MATCH($S1342,Config!$B$15:$B$18,0)))*24*60,0)),""))</f>
        <v/>
      </c>
      <c r="O1342" t="str">
        <f t="shared" si="88"/>
        <v/>
      </c>
      <c r="P1342" t="str">
        <f t="shared" si="89"/>
        <v/>
      </c>
      <c r="Q1342" t="str">
        <f>IF(OR($P1342="",$S1342=""),"",IFERROR($P1342-INDEX(Config!$E$15:$E$18,MATCH($S1342,Config!$B$15:$B$18,0)),""))</f>
        <v/>
      </c>
      <c r="R1342" t="str">
        <f t="shared" si="90"/>
        <v/>
      </c>
      <c r="S1342" s="6" t="str">
        <f>IF(OR($A1342="",$C1342=""),"",IFERROR(INDEX(Turno!$C$3:$V$32,MATCH($C1342,Turno!$B$3:$B$32,0),MATCH(DAY($A1342),Turno!$C$1:$V$1,0)),""))</f>
        <v/>
      </c>
      <c r="T1342" t="str">
        <f>IF(OR($E1342="",$S1342=""),"",IFERROR(MAX(0,ROUND((INDEX(Config!$D$15:$D$18,MATCH($S1342,Config!$B$15:$B$18,0))-$E1342)*1440,0)),""))</f>
        <v/>
      </c>
      <c r="U1342" s="13" t="str">
        <f>IF(OR($N1342="",$T1342=""),"",IFERROR(MAX(0,1-($N1342+$T1342+MAX(0,N($Q1342)))/ROUND((INDEX(Config!$D$15:$D$18,MATCH($S1342,Config!$B$15:$B$18,0))-INDEX(Config!$C$15:$C$18,MATCH($S1342,Config!$B$15:$B$18,0)))*1440,0)),""))</f>
        <v/>
      </c>
      <c r="V1342" s="5"/>
    </row>
    <row r="1343" spans="1:22" x14ac:dyDescent="0.25">
      <c r="A1343" s="11"/>
      <c r="B1343" s="5"/>
      <c r="C1343" s="6" t="str">
        <f>IFERROR(INDEX(Ejecutivos!$B$2:$B$100,MATCH(B1343,Ejecutivos!$A$2:$A$100,0)),"")</f>
        <v/>
      </c>
      <c r="D1343" s="12"/>
      <c r="E1343" s="12"/>
      <c r="F1343" s="12"/>
      <c r="G1343" s="12"/>
      <c r="H1343" s="5"/>
      <c r="I1343" s="5"/>
      <c r="J1343" s="5"/>
      <c r="K1343" s="5"/>
      <c r="L1343" s="18">
        <v>0</v>
      </c>
      <c r="M1343" t="str">
        <f t="shared" si="87"/>
        <v/>
      </c>
      <c r="N1343" t="str">
        <f>IF(OR($D1343="",$S1343=""),"",IFERROR(MAX(0,ROUND(($D1343-INDEX(Config!$C$15:$C$18,MATCH($S1343,Config!$B$15:$B$18,0)))*24*60,0)),""))</f>
        <v/>
      </c>
      <c r="O1343" t="str">
        <f t="shared" si="88"/>
        <v/>
      </c>
      <c r="P1343" t="str">
        <f t="shared" si="89"/>
        <v/>
      </c>
      <c r="Q1343" t="str">
        <f>IF(OR($P1343="",$S1343=""),"",IFERROR($P1343-INDEX(Config!$E$15:$E$18,MATCH($S1343,Config!$B$15:$B$18,0)),""))</f>
        <v/>
      </c>
      <c r="R1343" t="str">
        <f t="shared" si="90"/>
        <v/>
      </c>
      <c r="S1343" s="6" t="str">
        <f>IF(OR($A1343="",$C1343=""),"",IFERROR(INDEX(Turno!$C$3:$V$32,MATCH($C1343,Turno!$B$3:$B$32,0),MATCH(DAY($A1343),Turno!$C$1:$V$1,0)),""))</f>
        <v/>
      </c>
      <c r="T1343" t="str">
        <f>IF(OR($E1343="",$S1343=""),"",IFERROR(MAX(0,ROUND((INDEX(Config!$D$15:$D$18,MATCH($S1343,Config!$B$15:$B$18,0))-$E1343)*1440,0)),""))</f>
        <v/>
      </c>
      <c r="U1343" s="13" t="str">
        <f>IF(OR($N1343="",$T1343=""),"",IFERROR(MAX(0,1-($N1343+$T1343+MAX(0,N($Q1343)))/ROUND((INDEX(Config!$D$15:$D$18,MATCH($S1343,Config!$B$15:$B$18,0))-INDEX(Config!$C$15:$C$18,MATCH($S1343,Config!$B$15:$B$18,0)))*1440,0)),""))</f>
        <v/>
      </c>
      <c r="V1343" s="5"/>
    </row>
    <row r="1344" spans="1:22" x14ac:dyDescent="0.25">
      <c r="A1344" s="11"/>
      <c r="B1344" s="5"/>
      <c r="C1344" s="6" t="str">
        <f>IFERROR(INDEX(Ejecutivos!$B$2:$B$100,MATCH(B1344,Ejecutivos!$A$2:$A$100,0)),"")</f>
        <v/>
      </c>
      <c r="D1344" s="12"/>
      <c r="E1344" s="12"/>
      <c r="F1344" s="12"/>
      <c r="G1344" s="12"/>
      <c r="H1344" s="5"/>
      <c r="I1344" s="5"/>
      <c r="J1344" s="5"/>
      <c r="K1344" s="5"/>
      <c r="L1344" s="18">
        <v>0</v>
      </c>
      <c r="M1344" t="str">
        <f t="shared" si="87"/>
        <v/>
      </c>
      <c r="N1344" t="str">
        <f>IF(OR($D1344="",$S1344=""),"",IFERROR(MAX(0,ROUND(($D1344-INDEX(Config!$C$15:$C$18,MATCH($S1344,Config!$B$15:$B$18,0)))*24*60,0)),""))</f>
        <v/>
      </c>
      <c r="O1344" t="str">
        <f t="shared" si="88"/>
        <v/>
      </c>
      <c r="P1344" t="str">
        <f t="shared" si="89"/>
        <v/>
      </c>
      <c r="Q1344" t="str">
        <f>IF(OR($P1344="",$S1344=""),"",IFERROR($P1344-INDEX(Config!$E$15:$E$18,MATCH($S1344,Config!$B$15:$B$18,0)),""))</f>
        <v/>
      </c>
      <c r="R1344" t="str">
        <f t="shared" si="90"/>
        <v/>
      </c>
      <c r="S1344" s="6" t="str">
        <f>IF(OR($A1344="",$C1344=""),"",IFERROR(INDEX(Turno!$C$3:$V$32,MATCH($C1344,Turno!$B$3:$B$32,0),MATCH(DAY($A1344),Turno!$C$1:$V$1,0)),""))</f>
        <v/>
      </c>
      <c r="T1344" t="str">
        <f>IF(OR($E1344="",$S1344=""),"",IFERROR(MAX(0,ROUND((INDEX(Config!$D$15:$D$18,MATCH($S1344,Config!$B$15:$B$18,0))-$E1344)*1440,0)),""))</f>
        <v/>
      </c>
      <c r="U1344" s="13" t="str">
        <f>IF(OR($N1344="",$T1344=""),"",IFERROR(MAX(0,1-($N1344+$T1344+MAX(0,N($Q1344)))/ROUND((INDEX(Config!$D$15:$D$18,MATCH($S1344,Config!$B$15:$B$18,0))-INDEX(Config!$C$15:$C$18,MATCH($S1344,Config!$B$15:$B$18,0)))*1440,0)),""))</f>
        <v/>
      </c>
      <c r="V1344" s="5"/>
    </row>
    <row r="1345" spans="1:22" x14ac:dyDescent="0.25">
      <c r="A1345" s="11"/>
      <c r="B1345" s="5"/>
      <c r="C1345" s="6" t="str">
        <f>IFERROR(INDEX(Ejecutivos!$B$2:$B$100,MATCH(B1345,Ejecutivos!$A$2:$A$100,0)),"")</f>
        <v/>
      </c>
      <c r="D1345" s="12"/>
      <c r="E1345" s="12"/>
      <c r="F1345" s="12"/>
      <c r="G1345" s="12"/>
      <c r="H1345" s="5"/>
      <c r="I1345" s="5"/>
      <c r="J1345" s="5"/>
      <c r="K1345" s="5"/>
      <c r="L1345" s="18">
        <v>0</v>
      </c>
      <c r="M1345" t="str">
        <f t="shared" si="87"/>
        <v/>
      </c>
      <c r="N1345" t="str">
        <f>IF(OR($D1345="",$S1345=""),"",IFERROR(MAX(0,ROUND(($D1345-INDEX(Config!$C$15:$C$18,MATCH($S1345,Config!$B$15:$B$18,0)))*24*60,0)),""))</f>
        <v/>
      </c>
      <c r="O1345" t="str">
        <f t="shared" si="88"/>
        <v/>
      </c>
      <c r="P1345" t="str">
        <f t="shared" si="89"/>
        <v/>
      </c>
      <c r="Q1345" t="str">
        <f>IF(OR($P1345="",$S1345=""),"",IFERROR($P1345-INDEX(Config!$E$15:$E$18,MATCH($S1345,Config!$B$15:$B$18,0)),""))</f>
        <v/>
      </c>
      <c r="R1345" t="str">
        <f t="shared" si="90"/>
        <v/>
      </c>
      <c r="S1345" s="6" t="str">
        <f>IF(OR($A1345="",$C1345=""),"",IFERROR(INDEX(Turno!$C$3:$V$32,MATCH($C1345,Turno!$B$3:$B$32,0),MATCH(DAY($A1345),Turno!$C$1:$V$1,0)),""))</f>
        <v/>
      </c>
      <c r="T1345" t="str">
        <f>IF(OR($E1345="",$S1345=""),"",IFERROR(MAX(0,ROUND((INDEX(Config!$D$15:$D$18,MATCH($S1345,Config!$B$15:$B$18,0))-$E1345)*1440,0)),""))</f>
        <v/>
      </c>
      <c r="U1345" s="13" t="str">
        <f>IF(OR($N1345="",$T1345=""),"",IFERROR(MAX(0,1-($N1345+$T1345+MAX(0,N($Q1345)))/ROUND((INDEX(Config!$D$15:$D$18,MATCH($S1345,Config!$B$15:$B$18,0))-INDEX(Config!$C$15:$C$18,MATCH($S1345,Config!$B$15:$B$18,0)))*1440,0)),""))</f>
        <v/>
      </c>
      <c r="V1345" s="5"/>
    </row>
    <row r="1346" spans="1:22" x14ac:dyDescent="0.25">
      <c r="A1346" s="11"/>
      <c r="B1346" s="5"/>
      <c r="C1346" s="6" t="str">
        <f>IFERROR(INDEX(Ejecutivos!$B$2:$B$100,MATCH(B1346,Ejecutivos!$A$2:$A$100,0)),"")</f>
        <v/>
      </c>
      <c r="D1346" s="12"/>
      <c r="E1346" s="12"/>
      <c r="F1346" s="12"/>
      <c r="G1346" s="12"/>
      <c r="H1346" s="5"/>
      <c r="I1346" s="5"/>
      <c r="J1346" s="5"/>
      <c r="K1346" s="5"/>
      <c r="L1346" s="18">
        <v>0</v>
      </c>
      <c r="M1346" t="str">
        <f t="shared" si="87"/>
        <v/>
      </c>
      <c r="N1346" t="str">
        <f>IF(OR($D1346="",$S1346=""),"",IFERROR(MAX(0,ROUND(($D1346-INDEX(Config!$C$15:$C$18,MATCH($S1346,Config!$B$15:$B$18,0)))*24*60,0)),""))</f>
        <v/>
      </c>
      <c r="O1346" t="str">
        <f t="shared" si="88"/>
        <v/>
      </c>
      <c r="P1346" t="str">
        <f t="shared" si="89"/>
        <v/>
      </c>
      <c r="Q1346" t="str">
        <f>IF(OR($P1346="",$S1346=""),"",IFERROR($P1346-INDEX(Config!$E$15:$E$18,MATCH($S1346,Config!$B$15:$B$18,0)),""))</f>
        <v/>
      </c>
      <c r="R1346" t="str">
        <f t="shared" si="90"/>
        <v/>
      </c>
      <c r="S1346" s="6" t="str">
        <f>IF(OR($A1346="",$C1346=""),"",IFERROR(INDEX(Turno!$C$3:$V$32,MATCH($C1346,Turno!$B$3:$B$32,0),MATCH(DAY($A1346),Turno!$C$1:$V$1,0)),""))</f>
        <v/>
      </c>
      <c r="T1346" t="str">
        <f>IF(OR($E1346="",$S1346=""),"",IFERROR(MAX(0,ROUND((INDEX(Config!$D$15:$D$18,MATCH($S1346,Config!$B$15:$B$18,0))-$E1346)*1440,0)),""))</f>
        <v/>
      </c>
      <c r="U1346" s="13" t="str">
        <f>IF(OR($N1346="",$T1346=""),"",IFERROR(MAX(0,1-($N1346+$T1346+MAX(0,N($Q1346)))/ROUND((INDEX(Config!$D$15:$D$18,MATCH($S1346,Config!$B$15:$B$18,0))-INDEX(Config!$C$15:$C$18,MATCH($S1346,Config!$B$15:$B$18,0)))*1440,0)),""))</f>
        <v/>
      </c>
      <c r="V1346" s="5"/>
    </row>
    <row r="1347" spans="1:22" x14ac:dyDescent="0.25">
      <c r="A1347" s="11"/>
      <c r="B1347" s="5"/>
      <c r="C1347" s="6" t="str">
        <f>IFERROR(INDEX(Ejecutivos!$B$2:$B$100,MATCH(B1347,Ejecutivos!$A$2:$A$100,0)),"")</f>
        <v/>
      </c>
      <c r="D1347" s="12"/>
      <c r="E1347" s="12"/>
      <c r="F1347" s="12"/>
      <c r="G1347" s="12"/>
      <c r="H1347" s="5"/>
      <c r="I1347" s="5"/>
      <c r="J1347" s="5"/>
      <c r="K1347" s="5"/>
      <c r="L1347" s="18">
        <v>0</v>
      </c>
      <c r="M1347" t="str">
        <f t="shared" si="87"/>
        <v/>
      </c>
      <c r="N1347" t="str">
        <f>IF(OR($D1347="",$S1347=""),"",IFERROR(MAX(0,ROUND(($D1347-INDEX(Config!$C$15:$C$18,MATCH($S1347,Config!$B$15:$B$18,0)))*24*60,0)),""))</f>
        <v/>
      </c>
      <c r="O1347" t="str">
        <f t="shared" si="88"/>
        <v/>
      </c>
      <c r="P1347" t="str">
        <f t="shared" si="89"/>
        <v/>
      </c>
      <c r="Q1347" t="str">
        <f>IF(OR($P1347="",$S1347=""),"",IFERROR($P1347-INDEX(Config!$E$15:$E$18,MATCH($S1347,Config!$B$15:$B$18,0)),""))</f>
        <v/>
      </c>
      <c r="R1347" t="str">
        <f t="shared" si="90"/>
        <v/>
      </c>
      <c r="S1347" s="6" t="str">
        <f>IF(OR($A1347="",$C1347=""),"",IFERROR(INDEX(Turno!$C$3:$V$32,MATCH($C1347,Turno!$B$3:$B$32,0),MATCH(DAY($A1347),Turno!$C$1:$V$1,0)),""))</f>
        <v/>
      </c>
      <c r="T1347" t="str">
        <f>IF(OR($E1347="",$S1347=""),"",IFERROR(MAX(0,ROUND((INDEX(Config!$D$15:$D$18,MATCH($S1347,Config!$B$15:$B$18,0))-$E1347)*1440,0)),""))</f>
        <v/>
      </c>
      <c r="U1347" s="13" t="str">
        <f>IF(OR($N1347="",$T1347=""),"",IFERROR(MAX(0,1-($N1347+$T1347+MAX(0,N($Q1347)))/ROUND((INDEX(Config!$D$15:$D$18,MATCH($S1347,Config!$B$15:$B$18,0))-INDEX(Config!$C$15:$C$18,MATCH($S1347,Config!$B$15:$B$18,0)))*1440,0)),""))</f>
        <v/>
      </c>
      <c r="V1347" s="5"/>
    </row>
    <row r="1348" spans="1:22" x14ac:dyDescent="0.25">
      <c r="A1348" s="11"/>
      <c r="B1348" s="5"/>
      <c r="C1348" s="6" t="str">
        <f>IFERROR(INDEX(Ejecutivos!$B$2:$B$100,MATCH(B1348,Ejecutivos!$A$2:$A$100,0)),"")</f>
        <v/>
      </c>
      <c r="D1348" s="12"/>
      <c r="E1348" s="12"/>
      <c r="F1348" s="12"/>
      <c r="G1348" s="12"/>
      <c r="H1348" s="5"/>
      <c r="I1348" s="5"/>
      <c r="J1348" s="5"/>
      <c r="K1348" s="5"/>
      <c r="L1348" s="18">
        <v>0</v>
      </c>
      <c r="M1348" t="str">
        <f t="shared" si="87"/>
        <v/>
      </c>
      <c r="N1348" t="str">
        <f>IF(OR($D1348="",$S1348=""),"",IFERROR(MAX(0,ROUND(($D1348-INDEX(Config!$C$15:$C$18,MATCH($S1348,Config!$B$15:$B$18,0)))*24*60,0)),""))</f>
        <v/>
      </c>
      <c r="O1348" t="str">
        <f t="shared" si="88"/>
        <v/>
      </c>
      <c r="P1348" t="str">
        <f t="shared" si="89"/>
        <v/>
      </c>
      <c r="Q1348" t="str">
        <f>IF(OR($P1348="",$S1348=""),"",IFERROR($P1348-INDEX(Config!$E$15:$E$18,MATCH($S1348,Config!$B$15:$B$18,0)),""))</f>
        <v/>
      </c>
      <c r="R1348" t="str">
        <f t="shared" si="90"/>
        <v/>
      </c>
      <c r="S1348" s="6" t="str">
        <f>IF(OR($A1348="",$C1348=""),"",IFERROR(INDEX(Turno!$C$3:$V$32,MATCH($C1348,Turno!$B$3:$B$32,0),MATCH(DAY($A1348),Turno!$C$1:$V$1,0)),""))</f>
        <v/>
      </c>
      <c r="T1348" t="str">
        <f>IF(OR($E1348="",$S1348=""),"",IFERROR(MAX(0,ROUND((INDEX(Config!$D$15:$D$18,MATCH($S1348,Config!$B$15:$B$18,0))-$E1348)*1440,0)),""))</f>
        <v/>
      </c>
      <c r="U1348" s="13" t="str">
        <f>IF(OR($N1348="",$T1348=""),"",IFERROR(MAX(0,1-($N1348+$T1348+MAX(0,N($Q1348)))/ROUND((INDEX(Config!$D$15:$D$18,MATCH($S1348,Config!$B$15:$B$18,0))-INDEX(Config!$C$15:$C$18,MATCH($S1348,Config!$B$15:$B$18,0)))*1440,0)),""))</f>
        <v/>
      </c>
      <c r="V1348" s="5"/>
    </row>
    <row r="1349" spans="1:22" x14ac:dyDescent="0.25">
      <c r="A1349" s="11"/>
      <c r="B1349" s="5"/>
      <c r="C1349" s="6" t="str">
        <f>IFERROR(INDEX(Ejecutivos!$B$2:$B$100,MATCH(B1349,Ejecutivos!$A$2:$A$100,0)),"")</f>
        <v/>
      </c>
      <c r="D1349" s="12"/>
      <c r="E1349" s="12"/>
      <c r="F1349" s="12"/>
      <c r="G1349" s="12"/>
      <c r="H1349" s="5"/>
      <c r="I1349" s="5"/>
      <c r="J1349" s="5"/>
      <c r="K1349" s="5"/>
      <c r="L1349" s="18">
        <v>0</v>
      </c>
      <c r="M1349" t="str">
        <f t="shared" si="87"/>
        <v/>
      </c>
      <c r="N1349" t="str">
        <f>IF(OR($D1349="",$S1349=""),"",IFERROR(MAX(0,ROUND(($D1349-INDEX(Config!$C$15:$C$18,MATCH($S1349,Config!$B$15:$B$18,0)))*24*60,0)),""))</f>
        <v/>
      </c>
      <c r="O1349" t="str">
        <f t="shared" si="88"/>
        <v/>
      </c>
      <c r="P1349" t="str">
        <f t="shared" si="89"/>
        <v/>
      </c>
      <c r="Q1349" t="str">
        <f>IF(OR($P1349="",$S1349=""),"",IFERROR($P1349-INDEX(Config!$E$15:$E$18,MATCH($S1349,Config!$B$15:$B$18,0)),""))</f>
        <v/>
      </c>
      <c r="R1349" t="str">
        <f t="shared" si="90"/>
        <v/>
      </c>
      <c r="S1349" s="6" t="str">
        <f>IF(OR($A1349="",$C1349=""),"",IFERROR(INDEX(Turno!$C$3:$V$32,MATCH($C1349,Turno!$B$3:$B$32,0),MATCH(DAY($A1349),Turno!$C$1:$V$1,0)),""))</f>
        <v/>
      </c>
      <c r="T1349" t="str">
        <f>IF(OR($E1349="",$S1349=""),"",IFERROR(MAX(0,ROUND((INDEX(Config!$D$15:$D$18,MATCH($S1349,Config!$B$15:$B$18,0))-$E1349)*1440,0)),""))</f>
        <v/>
      </c>
      <c r="U1349" s="13" t="str">
        <f>IF(OR($N1349="",$T1349=""),"",IFERROR(MAX(0,1-($N1349+$T1349+MAX(0,N($Q1349)))/ROUND((INDEX(Config!$D$15:$D$18,MATCH($S1349,Config!$B$15:$B$18,0))-INDEX(Config!$C$15:$C$18,MATCH($S1349,Config!$B$15:$B$18,0)))*1440,0)),""))</f>
        <v/>
      </c>
      <c r="V1349" s="5"/>
    </row>
    <row r="1350" spans="1:22" x14ac:dyDescent="0.25">
      <c r="A1350" s="11"/>
      <c r="B1350" s="5"/>
      <c r="C1350" s="6" t="str">
        <f>IFERROR(INDEX(Ejecutivos!$B$2:$B$100,MATCH(B1350,Ejecutivos!$A$2:$A$100,0)),"")</f>
        <v/>
      </c>
      <c r="D1350" s="12"/>
      <c r="E1350" s="12"/>
      <c r="F1350" s="12"/>
      <c r="G1350" s="12"/>
      <c r="H1350" s="5"/>
      <c r="I1350" s="5"/>
      <c r="J1350" s="5"/>
      <c r="K1350" s="5"/>
      <c r="L1350" s="18">
        <v>0</v>
      </c>
      <c r="M1350" t="str">
        <f t="shared" si="87"/>
        <v/>
      </c>
      <c r="N1350" t="str">
        <f>IF(OR($D1350="",$S1350=""),"",IFERROR(MAX(0,ROUND(($D1350-INDEX(Config!$C$15:$C$18,MATCH($S1350,Config!$B$15:$B$18,0)))*24*60,0)),""))</f>
        <v/>
      </c>
      <c r="O1350" t="str">
        <f t="shared" si="88"/>
        <v/>
      </c>
      <c r="P1350" t="str">
        <f t="shared" si="89"/>
        <v/>
      </c>
      <c r="Q1350" t="str">
        <f>IF(OR($P1350="",$S1350=""),"",IFERROR($P1350-INDEX(Config!$E$15:$E$18,MATCH($S1350,Config!$B$15:$B$18,0)),""))</f>
        <v/>
      </c>
      <c r="R1350" t="str">
        <f t="shared" si="90"/>
        <v/>
      </c>
      <c r="S1350" s="6" t="str">
        <f>IF(OR($A1350="",$C1350=""),"",IFERROR(INDEX(Turno!$C$3:$V$32,MATCH($C1350,Turno!$B$3:$B$32,0),MATCH(DAY($A1350),Turno!$C$1:$V$1,0)),""))</f>
        <v/>
      </c>
      <c r="T1350" t="str">
        <f>IF(OR($E1350="",$S1350=""),"",IFERROR(MAX(0,ROUND((INDEX(Config!$D$15:$D$18,MATCH($S1350,Config!$B$15:$B$18,0))-$E1350)*1440,0)),""))</f>
        <v/>
      </c>
      <c r="U1350" s="13" t="str">
        <f>IF(OR($N1350="",$T1350=""),"",IFERROR(MAX(0,1-($N1350+$T1350+MAX(0,N($Q1350)))/ROUND((INDEX(Config!$D$15:$D$18,MATCH($S1350,Config!$B$15:$B$18,0))-INDEX(Config!$C$15:$C$18,MATCH($S1350,Config!$B$15:$B$18,0)))*1440,0)),""))</f>
        <v/>
      </c>
      <c r="V1350" s="5"/>
    </row>
    <row r="1351" spans="1:22" x14ac:dyDescent="0.25">
      <c r="A1351" s="11"/>
      <c r="B1351" s="5"/>
      <c r="C1351" s="6" t="str">
        <f>IFERROR(INDEX(Ejecutivos!$B$2:$B$100,MATCH(B1351,Ejecutivos!$A$2:$A$100,0)),"")</f>
        <v/>
      </c>
      <c r="D1351" s="12"/>
      <c r="E1351" s="12"/>
      <c r="F1351" s="12"/>
      <c r="G1351" s="12"/>
      <c r="H1351" s="5"/>
      <c r="I1351" s="5"/>
      <c r="J1351" s="5"/>
      <c r="K1351" s="5"/>
      <c r="L1351" s="18">
        <v>0</v>
      </c>
      <c r="M1351" t="str">
        <f t="shared" si="87"/>
        <v/>
      </c>
      <c r="N1351" t="str">
        <f>IF(OR($D1351="",$S1351=""),"",IFERROR(MAX(0,ROUND(($D1351-INDEX(Config!$C$15:$C$18,MATCH($S1351,Config!$B$15:$B$18,0)))*24*60,0)),""))</f>
        <v/>
      </c>
      <c r="O1351" t="str">
        <f t="shared" si="88"/>
        <v/>
      </c>
      <c r="P1351" t="str">
        <f t="shared" si="89"/>
        <v/>
      </c>
      <c r="Q1351" t="str">
        <f>IF(OR($P1351="",$S1351=""),"",IFERROR($P1351-INDEX(Config!$E$15:$E$18,MATCH($S1351,Config!$B$15:$B$18,0)),""))</f>
        <v/>
      </c>
      <c r="R1351" t="str">
        <f t="shared" si="90"/>
        <v/>
      </c>
      <c r="S1351" s="6" t="str">
        <f>IF(OR($A1351="",$C1351=""),"",IFERROR(INDEX(Turno!$C$3:$V$32,MATCH($C1351,Turno!$B$3:$B$32,0),MATCH(DAY($A1351),Turno!$C$1:$V$1,0)),""))</f>
        <v/>
      </c>
      <c r="T1351" t="str">
        <f>IF(OR($E1351="",$S1351=""),"",IFERROR(MAX(0,ROUND((INDEX(Config!$D$15:$D$18,MATCH($S1351,Config!$B$15:$B$18,0))-$E1351)*1440,0)),""))</f>
        <v/>
      </c>
      <c r="U1351" s="13" t="str">
        <f>IF(OR($N1351="",$T1351=""),"",IFERROR(MAX(0,1-($N1351+$T1351+MAX(0,N($Q1351)))/ROUND((INDEX(Config!$D$15:$D$18,MATCH($S1351,Config!$B$15:$B$18,0))-INDEX(Config!$C$15:$C$18,MATCH($S1351,Config!$B$15:$B$18,0)))*1440,0)),""))</f>
        <v/>
      </c>
      <c r="V1351" s="5"/>
    </row>
    <row r="1352" spans="1:22" x14ac:dyDescent="0.25">
      <c r="A1352" s="11"/>
      <c r="B1352" s="5"/>
      <c r="C1352" s="6" t="str">
        <f>IFERROR(INDEX(Ejecutivos!$B$2:$B$100,MATCH(B1352,Ejecutivos!$A$2:$A$100,0)),"")</f>
        <v/>
      </c>
      <c r="D1352" s="12"/>
      <c r="E1352" s="12"/>
      <c r="F1352" s="12"/>
      <c r="G1352" s="12"/>
      <c r="H1352" s="5"/>
      <c r="I1352" s="5"/>
      <c r="J1352" s="5"/>
      <c r="K1352" s="5"/>
      <c r="L1352" s="18">
        <v>0</v>
      </c>
      <c r="M1352" t="str">
        <f t="shared" si="87"/>
        <v/>
      </c>
      <c r="N1352" t="str">
        <f>IF(OR($D1352="",$S1352=""),"",IFERROR(MAX(0,ROUND(($D1352-INDEX(Config!$C$15:$C$18,MATCH($S1352,Config!$B$15:$B$18,0)))*24*60,0)),""))</f>
        <v/>
      </c>
      <c r="O1352" t="str">
        <f t="shared" si="88"/>
        <v/>
      </c>
      <c r="P1352" t="str">
        <f t="shared" si="89"/>
        <v/>
      </c>
      <c r="Q1352" t="str">
        <f>IF(OR($P1352="",$S1352=""),"",IFERROR($P1352-INDEX(Config!$E$15:$E$18,MATCH($S1352,Config!$B$15:$B$18,0)),""))</f>
        <v/>
      </c>
      <c r="R1352" t="str">
        <f t="shared" si="90"/>
        <v/>
      </c>
      <c r="S1352" s="6" t="str">
        <f>IF(OR($A1352="",$C1352=""),"",IFERROR(INDEX(Turno!$C$3:$V$32,MATCH($C1352,Turno!$B$3:$B$32,0),MATCH(DAY($A1352),Turno!$C$1:$V$1,0)),""))</f>
        <v/>
      </c>
      <c r="T1352" t="str">
        <f>IF(OR($E1352="",$S1352=""),"",IFERROR(MAX(0,ROUND((INDEX(Config!$D$15:$D$18,MATCH($S1352,Config!$B$15:$B$18,0))-$E1352)*1440,0)),""))</f>
        <v/>
      </c>
      <c r="U1352" s="13" t="str">
        <f>IF(OR($N1352="",$T1352=""),"",IFERROR(MAX(0,1-($N1352+$T1352+MAX(0,N($Q1352)))/ROUND((INDEX(Config!$D$15:$D$18,MATCH($S1352,Config!$B$15:$B$18,0))-INDEX(Config!$C$15:$C$18,MATCH($S1352,Config!$B$15:$B$18,0)))*1440,0)),""))</f>
        <v/>
      </c>
      <c r="V1352" s="5"/>
    </row>
    <row r="1353" spans="1:22" x14ac:dyDescent="0.25">
      <c r="A1353" s="11"/>
      <c r="B1353" s="5"/>
      <c r="C1353" s="6" t="str">
        <f>IFERROR(INDEX(Ejecutivos!$B$2:$B$100,MATCH(B1353,Ejecutivos!$A$2:$A$100,0)),"")</f>
        <v/>
      </c>
      <c r="D1353" s="12"/>
      <c r="E1353" s="12"/>
      <c r="F1353" s="12"/>
      <c r="G1353" s="12"/>
      <c r="H1353" s="5"/>
      <c r="I1353" s="5"/>
      <c r="J1353" s="5"/>
      <c r="K1353" s="5"/>
      <c r="L1353" s="18">
        <v>0</v>
      </c>
      <c r="M1353" t="str">
        <f t="shared" si="87"/>
        <v/>
      </c>
      <c r="N1353" t="str">
        <f>IF(OR($D1353="",$S1353=""),"",IFERROR(MAX(0,ROUND(($D1353-INDEX(Config!$C$15:$C$18,MATCH($S1353,Config!$B$15:$B$18,0)))*24*60,0)),""))</f>
        <v/>
      </c>
      <c r="O1353" t="str">
        <f t="shared" si="88"/>
        <v/>
      </c>
      <c r="P1353" t="str">
        <f t="shared" si="89"/>
        <v/>
      </c>
      <c r="Q1353" t="str">
        <f>IF(OR($P1353="",$S1353=""),"",IFERROR($P1353-INDEX(Config!$E$15:$E$18,MATCH($S1353,Config!$B$15:$B$18,0)),""))</f>
        <v/>
      </c>
      <c r="R1353" t="str">
        <f t="shared" si="90"/>
        <v/>
      </c>
      <c r="S1353" s="6" t="str">
        <f>IF(OR($A1353="",$C1353=""),"",IFERROR(INDEX(Turno!$C$3:$V$32,MATCH($C1353,Turno!$B$3:$B$32,0),MATCH(DAY($A1353),Turno!$C$1:$V$1,0)),""))</f>
        <v/>
      </c>
      <c r="T1353" t="str">
        <f>IF(OR($E1353="",$S1353=""),"",IFERROR(MAX(0,ROUND((INDEX(Config!$D$15:$D$18,MATCH($S1353,Config!$B$15:$B$18,0))-$E1353)*1440,0)),""))</f>
        <v/>
      </c>
      <c r="U1353" s="13" t="str">
        <f>IF(OR($N1353="",$T1353=""),"",IFERROR(MAX(0,1-($N1353+$T1353+MAX(0,N($Q1353)))/ROUND((INDEX(Config!$D$15:$D$18,MATCH($S1353,Config!$B$15:$B$18,0))-INDEX(Config!$C$15:$C$18,MATCH($S1353,Config!$B$15:$B$18,0)))*1440,0)),""))</f>
        <v/>
      </c>
      <c r="V1353" s="5"/>
    </row>
    <row r="1354" spans="1:22" x14ac:dyDescent="0.25">
      <c r="A1354" s="11"/>
      <c r="B1354" s="5"/>
      <c r="C1354" s="6" t="str">
        <f>IFERROR(INDEX(Ejecutivos!$B$2:$B$100,MATCH(B1354,Ejecutivos!$A$2:$A$100,0)),"")</f>
        <v/>
      </c>
      <c r="D1354" s="12"/>
      <c r="E1354" s="12"/>
      <c r="F1354" s="12"/>
      <c r="G1354" s="12"/>
      <c r="H1354" s="5"/>
      <c r="I1354" s="5"/>
      <c r="J1354" s="5"/>
      <c r="K1354" s="5"/>
      <c r="L1354" s="18">
        <v>0</v>
      </c>
      <c r="M1354" t="str">
        <f t="shared" si="87"/>
        <v/>
      </c>
      <c r="N1354" t="str">
        <f>IF(OR($D1354="",$S1354=""),"",IFERROR(MAX(0,ROUND(($D1354-INDEX(Config!$C$15:$C$18,MATCH($S1354,Config!$B$15:$B$18,0)))*24*60,0)),""))</f>
        <v/>
      </c>
      <c r="O1354" t="str">
        <f t="shared" si="88"/>
        <v/>
      </c>
      <c r="P1354" t="str">
        <f t="shared" si="89"/>
        <v/>
      </c>
      <c r="Q1354" t="str">
        <f>IF(OR($P1354="",$S1354=""),"",IFERROR($P1354-INDEX(Config!$E$15:$E$18,MATCH($S1354,Config!$B$15:$B$18,0)),""))</f>
        <v/>
      </c>
      <c r="R1354" t="str">
        <f t="shared" si="90"/>
        <v/>
      </c>
      <c r="S1354" s="6" t="str">
        <f>IF(OR($A1354="",$C1354=""),"",IFERROR(INDEX(Turno!$C$3:$V$32,MATCH($C1354,Turno!$B$3:$B$32,0),MATCH(DAY($A1354),Turno!$C$1:$V$1,0)),""))</f>
        <v/>
      </c>
      <c r="T1354" t="str">
        <f>IF(OR($E1354="",$S1354=""),"",IFERROR(MAX(0,ROUND((INDEX(Config!$D$15:$D$18,MATCH($S1354,Config!$B$15:$B$18,0))-$E1354)*1440,0)),""))</f>
        <v/>
      </c>
      <c r="U1354" s="13" t="str">
        <f>IF(OR($N1354="",$T1354=""),"",IFERROR(MAX(0,1-($N1354+$T1354+MAX(0,N($Q1354)))/ROUND((INDEX(Config!$D$15:$D$18,MATCH($S1354,Config!$B$15:$B$18,0))-INDEX(Config!$C$15:$C$18,MATCH($S1354,Config!$B$15:$B$18,0)))*1440,0)),""))</f>
        <v/>
      </c>
      <c r="V1354" s="5"/>
    </row>
    <row r="1355" spans="1:22" x14ac:dyDescent="0.25">
      <c r="A1355" s="11"/>
      <c r="B1355" s="5"/>
      <c r="C1355" s="6" t="str">
        <f>IFERROR(INDEX(Ejecutivos!$B$2:$B$100,MATCH(B1355,Ejecutivos!$A$2:$A$100,0)),"")</f>
        <v/>
      </c>
      <c r="D1355" s="12"/>
      <c r="E1355" s="12"/>
      <c r="F1355" s="12"/>
      <c r="G1355" s="12"/>
      <c r="H1355" s="5"/>
      <c r="I1355" s="5"/>
      <c r="J1355" s="5"/>
      <c r="K1355" s="5"/>
      <c r="L1355" s="18">
        <v>0</v>
      </c>
      <c r="M1355" t="str">
        <f t="shared" si="87"/>
        <v/>
      </c>
      <c r="N1355" t="str">
        <f>IF(OR($D1355="",$S1355=""),"",IFERROR(MAX(0,ROUND(($D1355-INDEX(Config!$C$15:$C$18,MATCH($S1355,Config!$B$15:$B$18,0)))*24*60,0)),""))</f>
        <v/>
      </c>
      <c r="O1355" t="str">
        <f t="shared" si="88"/>
        <v/>
      </c>
      <c r="P1355" t="str">
        <f t="shared" si="89"/>
        <v/>
      </c>
      <c r="Q1355" t="str">
        <f>IF(OR($P1355="",$S1355=""),"",IFERROR($P1355-INDEX(Config!$E$15:$E$18,MATCH($S1355,Config!$B$15:$B$18,0)),""))</f>
        <v/>
      </c>
      <c r="R1355" t="str">
        <f t="shared" si="90"/>
        <v/>
      </c>
      <c r="S1355" s="6" t="str">
        <f>IF(OR($A1355="",$C1355=""),"",IFERROR(INDEX(Turno!$C$3:$V$32,MATCH($C1355,Turno!$B$3:$B$32,0),MATCH(DAY($A1355),Turno!$C$1:$V$1,0)),""))</f>
        <v/>
      </c>
      <c r="T1355" t="str">
        <f>IF(OR($E1355="",$S1355=""),"",IFERROR(MAX(0,ROUND((INDEX(Config!$D$15:$D$18,MATCH($S1355,Config!$B$15:$B$18,0))-$E1355)*1440,0)),""))</f>
        <v/>
      </c>
      <c r="U1355" s="13" t="str">
        <f>IF(OR($N1355="",$T1355=""),"",IFERROR(MAX(0,1-($N1355+$T1355+MAX(0,N($Q1355)))/ROUND((INDEX(Config!$D$15:$D$18,MATCH($S1355,Config!$B$15:$B$18,0))-INDEX(Config!$C$15:$C$18,MATCH($S1355,Config!$B$15:$B$18,0)))*1440,0)),""))</f>
        <v/>
      </c>
      <c r="V1355" s="5"/>
    </row>
    <row r="1356" spans="1:22" x14ac:dyDescent="0.25">
      <c r="A1356" s="11"/>
      <c r="B1356" s="5"/>
      <c r="C1356" s="6" t="str">
        <f>IFERROR(INDEX(Ejecutivos!$B$2:$B$100,MATCH(B1356,Ejecutivos!$A$2:$A$100,0)),"")</f>
        <v/>
      </c>
      <c r="D1356" s="12"/>
      <c r="E1356" s="12"/>
      <c r="F1356" s="12"/>
      <c r="G1356" s="12"/>
      <c r="H1356" s="5"/>
      <c r="I1356" s="5"/>
      <c r="J1356" s="5"/>
      <c r="K1356" s="5"/>
      <c r="L1356" s="18">
        <v>0</v>
      </c>
      <c r="M1356" t="str">
        <f t="shared" si="87"/>
        <v/>
      </c>
      <c r="N1356" t="str">
        <f>IF(OR($D1356="",$S1356=""),"",IFERROR(MAX(0,ROUND(($D1356-INDEX(Config!$C$15:$C$18,MATCH($S1356,Config!$B$15:$B$18,0)))*24*60,0)),""))</f>
        <v/>
      </c>
      <c r="O1356" t="str">
        <f t="shared" si="88"/>
        <v/>
      </c>
      <c r="P1356" t="str">
        <f t="shared" si="89"/>
        <v/>
      </c>
      <c r="Q1356" t="str">
        <f>IF(OR($P1356="",$S1356=""),"",IFERROR($P1356-INDEX(Config!$E$15:$E$18,MATCH($S1356,Config!$B$15:$B$18,0)),""))</f>
        <v/>
      </c>
      <c r="R1356" t="str">
        <f t="shared" si="90"/>
        <v/>
      </c>
      <c r="S1356" s="6" t="str">
        <f>IF(OR($A1356="",$C1356=""),"",IFERROR(INDEX(Turno!$C$3:$V$32,MATCH($C1356,Turno!$B$3:$B$32,0),MATCH(DAY($A1356),Turno!$C$1:$V$1,0)),""))</f>
        <v/>
      </c>
      <c r="T1356" t="str">
        <f>IF(OR($E1356="",$S1356=""),"",IFERROR(MAX(0,ROUND((INDEX(Config!$D$15:$D$18,MATCH($S1356,Config!$B$15:$B$18,0))-$E1356)*1440,0)),""))</f>
        <v/>
      </c>
      <c r="U1356" s="13" t="str">
        <f>IF(OR($N1356="",$T1356=""),"",IFERROR(MAX(0,1-($N1356+$T1356+MAX(0,N($Q1356)))/ROUND((INDEX(Config!$D$15:$D$18,MATCH($S1356,Config!$B$15:$B$18,0))-INDEX(Config!$C$15:$C$18,MATCH($S1356,Config!$B$15:$B$18,0)))*1440,0)),""))</f>
        <v/>
      </c>
      <c r="V1356" s="5"/>
    </row>
    <row r="1357" spans="1:22" x14ac:dyDescent="0.25">
      <c r="A1357" s="11"/>
      <c r="B1357" s="5"/>
      <c r="C1357" s="6" t="str">
        <f>IFERROR(INDEX(Ejecutivos!$B$2:$B$100,MATCH(B1357,Ejecutivos!$A$2:$A$100,0)),"")</f>
        <v/>
      </c>
      <c r="D1357" s="12"/>
      <c r="E1357" s="12"/>
      <c r="F1357" s="12"/>
      <c r="G1357" s="12"/>
      <c r="H1357" s="5"/>
      <c r="I1357" s="5"/>
      <c r="J1357" s="5"/>
      <c r="K1357" s="5"/>
      <c r="L1357" s="18">
        <v>0</v>
      </c>
      <c r="M1357" t="str">
        <f t="shared" si="87"/>
        <v/>
      </c>
      <c r="N1357" t="str">
        <f>IF(OR($D1357="",$S1357=""),"",IFERROR(MAX(0,ROUND(($D1357-INDEX(Config!$C$15:$C$18,MATCH($S1357,Config!$B$15:$B$18,0)))*24*60,0)),""))</f>
        <v/>
      </c>
      <c r="O1357" t="str">
        <f t="shared" si="88"/>
        <v/>
      </c>
      <c r="P1357" t="str">
        <f t="shared" si="89"/>
        <v/>
      </c>
      <c r="Q1357" t="str">
        <f>IF(OR($P1357="",$S1357=""),"",IFERROR($P1357-INDEX(Config!$E$15:$E$18,MATCH($S1357,Config!$B$15:$B$18,0)),""))</f>
        <v/>
      </c>
      <c r="R1357" t="str">
        <f t="shared" si="90"/>
        <v/>
      </c>
      <c r="S1357" s="6" t="str">
        <f>IF(OR($A1357="",$C1357=""),"",IFERROR(INDEX(Turno!$C$3:$V$32,MATCH($C1357,Turno!$B$3:$B$32,0),MATCH(DAY($A1357),Turno!$C$1:$V$1,0)),""))</f>
        <v/>
      </c>
      <c r="T1357" t="str">
        <f>IF(OR($E1357="",$S1357=""),"",IFERROR(MAX(0,ROUND((INDEX(Config!$D$15:$D$18,MATCH($S1357,Config!$B$15:$B$18,0))-$E1357)*1440,0)),""))</f>
        <v/>
      </c>
      <c r="U1357" s="13" t="str">
        <f>IF(OR($N1357="",$T1357=""),"",IFERROR(MAX(0,1-($N1357+$T1357+MAX(0,N($Q1357)))/ROUND((INDEX(Config!$D$15:$D$18,MATCH($S1357,Config!$B$15:$B$18,0))-INDEX(Config!$C$15:$C$18,MATCH($S1357,Config!$B$15:$B$18,0)))*1440,0)),""))</f>
        <v/>
      </c>
      <c r="V1357" s="5"/>
    </row>
    <row r="1358" spans="1:22" x14ac:dyDescent="0.25">
      <c r="A1358" s="11"/>
      <c r="B1358" s="5"/>
      <c r="C1358" s="6" t="str">
        <f>IFERROR(INDEX(Ejecutivos!$B$2:$B$100,MATCH(B1358,Ejecutivos!$A$2:$A$100,0)),"")</f>
        <v/>
      </c>
      <c r="D1358" s="12"/>
      <c r="E1358" s="12"/>
      <c r="F1358" s="12"/>
      <c r="G1358" s="12"/>
      <c r="H1358" s="5"/>
      <c r="I1358" s="5"/>
      <c r="J1358" s="5"/>
      <c r="K1358" s="5"/>
      <c r="L1358" s="18">
        <v>0</v>
      </c>
      <c r="M1358" t="str">
        <f t="shared" si="87"/>
        <v/>
      </c>
      <c r="N1358" t="str">
        <f>IF(OR($D1358="",$S1358=""),"",IFERROR(MAX(0,ROUND(($D1358-INDEX(Config!$C$15:$C$18,MATCH($S1358,Config!$B$15:$B$18,0)))*24*60,0)),""))</f>
        <v/>
      </c>
      <c r="O1358" t="str">
        <f t="shared" si="88"/>
        <v/>
      </c>
      <c r="P1358" t="str">
        <f t="shared" si="89"/>
        <v/>
      </c>
      <c r="Q1358" t="str">
        <f>IF(OR($P1358="",$S1358=""),"",IFERROR($P1358-INDEX(Config!$E$15:$E$18,MATCH($S1358,Config!$B$15:$B$18,0)),""))</f>
        <v/>
      </c>
      <c r="R1358" t="str">
        <f t="shared" si="90"/>
        <v/>
      </c>
      <c r="S1358" s="6" t="str">
        <f>IF(OR($A1358="",$C1358=""),"",IFERROR(INDEX(Turno!$C$3:$V$32,MATCH($C1358,Turno!$B$3:$B$32,0),MATCH(DAY($A1358),Turno!$C$1:$V$1,0)),""))</f>
        <v/>
      </c>
      <c r="T1358" t="str">
        <f>IF(OR($E1358="",$S1358=""),"",IFERROR(MAX(0,ROUND((INDEX(Config!$D$15:$D$18,MATCH($S1358,Config!$B$15:$B$18,0))-$E1358)*1440,0)),""))</f>
        <v/>
      </c>
      <c r="U1358" s="13" t="str">
        <f>IF(OR($N1358="",$T1358=""),"",IFERROR(MAX(0,1-($N1358+$T1358+MAX(0,N($Q1358)))/ROUND((INDEX(Config!$D$15:$D$18,MATCH($S1358,Config!$B$15:$B$18,0))-INDEX(Config!$C$15:$C$18,MATCH($S1358,Config!$B$15:$B$18,0)))*1440,0)),""))</f>
        <v/>
      </c>
      <c r="V1358" s="5"/>
    </row>
    <row r="1359" spans="1:22" x14ac:dyDescent="0.25">
      <c r="A1359" s="11"/>
      <c r="B1359" s="5"/>
      <c r="C1359" s="6" t="str">
        <f>IFERROR(INDEX(Ejecutivos!$B$2:$B$100,MATCH(B1359,Ejecutivos!$A$2:$A$100,0)),"")</f>
        <v/>
      </c>
      <c r="D1359" s="12"/>
      <c r="E1359" s="12"/>
      <c r="F1359" s="12"/>
      <c r="G1359" s="12"/>
      <c r="H1359" s="5"/>
      <c r="I1359" s="5"/>
      <c r="J1359" s="5"/>
      <c r="K1359" s="5"/>
      <c r="L1359" s="18">
        <v>0</v>
      </c>
      <c r="M1359" t="str">
        <f t="shared" si="87"/>
        <v/>
      </c>
      <c r="N1359" t="str">
        <f>IF(OR($D1359="",$S1359=""),"",IFERROR(MAX(0,ROUND(($D1359-INDEX(Config!$C$15:$C$18,MATCH($S1359,Config!$B$15:$B$18,0)))*24*60,0)),""))</f>
        <v/>
      </c>
      <c r="O1359" t="str">
        <f t="shared" si="88"/>
        <v/>
      </c>
      <c r="P1359" t="str">
        <f t="shared" si="89"/>
        <v/>
      </c>
      <c r="Q1359" t="str">
        <f>IF(OR($P1359="",$S1359=""),"",IFERROR($P1359-INDEX(Config!$E$15:$E$18,MATCH($S1359,Config!$B$15:$B$18,0)),""))</f>
        <v/>
      </c>
      <c r="R1359" t="str">
        <f t="shared" si="90"/>
        <v/>
      </c>
      <c r="S1359" s="6" t="str">
        <f>IF(OR($A1359="",$C1359=""),"",IFERROR(INDEX(Turno!$C$3:$V$32,MATCH($C1359,Turno!$B$3:$B$32,0),MATCH(DAY($A1359),Turno!$C$1:$V$1,0)),""))</f>
        <v/>
      </c>
      <c r="T1359" t="str">
        <f>IF(OR($E1359="",$S1359=""),"",IFERROR(MAX(0,ROUND((INDEX(Config!$D$15:$D$18,MATCH($S1359,Config!$B$15:$B$18,0))-$E1359)*1440,0)),""))</f>
        <v/>
      </c>
      <c r="U1359" s="13" t="str">
        <f>IF(OR($N1359="",$T1359=""),"",IFERROR(MAX(0,1-($N1359+$T1359+MAX(0,N($Q1359)))/ROUND((INDEX(Config!$D$15:$D$18,MATCH($S1359,Config!$B$15:$B$18,0))-INDEX(Config!$C$15:$C$18,MATCH($S1359,Config!$B$15:$B$18,0)))*1440,0)),""))</f>
        <v/>
      </c>
      <c r="V1359" s="5"/>
    </row>
    <row r="1360" spans="1:22" x14ac:dyDescent="0.25">
      <c r="A1360" s="11"/>
      <c r="B1360" s="5"/>
      <c r="C1360" s="6" t="str">
        <f>IFERROR(INDEX(Ejecutivos!$B$2:$B$100,MATCH(B1360,Ejecutivos!$A$2:$A$100,0)),"")</f>
        <v/>
      </c>
      <c r="D1360" s="12"/>
      <c r="E1360" s="12"/>
      <c r="F1360" s="12"/>
      <c r="G1360" s="12"/>
      <c r="H1360" s="5"/>
      <c r="I1360" s="5"/>
      <c r="J1360" s="5"/>
      <c r="K1360" s="5"/>
      <c r="L1360" s="18">
        <v>0</v>
      </c>
      <c r="M1360" t="str">
        <f t="shared" si="87"/>
        <v/>
      </c>
      <c r="N1360" t="str">
        <f>IF(OR($D1360="",$S1360=""),"",IFERROR(MAX(0,ROUND(($D1360-INDEX(Config!$C$15:$C$18,MATCH($S1360,Config!$B$15:$B$18,0)))*24*60,0)),""))</f>
        <v/>
      </c>
      <c r="O1360" t="str">
        <f t="shared" si="88"/>
        <v/>
      </c>
      <c r="P1360" t="str">
        <f t="shared" si="89"/>
        <v/>
      </c>
      <c r="Q1360" t="str">
        <f>IF(OR($P1360="",$S1360=""),"",IFERROR($P1360-INDEX(Config!$E$15:$E$18,MATCH($S1360,Config!$B$15:$B$18,0)),""))</f>
        <v/>
      </c>
      <c r="R1360" t="str">
        <f t="shared" si="90"/>
        <v/>
      </c>
      <c r="S1360" s="6" t="str">
        <f>IF(OR($A1360="",$C1360=""),"",IFERROR(INDEX(Turno!$C$3:$V$32,MATCH($C1360,Turno!$B$3:$B$32,0),MATCH(DAY($A1360),Turno!$C$1:$V$1,0)),""))</f>
        <v/>
      </c>
      <c r="T1360" t="str">
        <f>IF(OR($E1360="",$S1360=""),"",IFERROR(MAX(0,ROUND((INDEX(Config!$D$15:$D$18,MATCH($S1360,Config!$B$15:$B$18,0))-$E1360)*1440,0)),""))</f>
        <v/>
      </c>
      <c r="U1360" s="13" t="str">
        <f>IF(OR($N1360="",$T1360=""),"",IFERROR(MAX(0,1-($N1360+$T1360+MAX(0,N($Q1360)))/ROUND((INDEX(Config!$D$15:$D$18,MATCH($S1360,Config!$B$15:$B$18,0))-INDEX(Config!$C$15:$C$18,MATCH($S1360,Config!$B$15:$B$18,0)))*1440,0)),""))</f>
        <v/>
      </c>
      <c r="V1360" s="5"/>
    </row>
    <row r="1361" spans="1:22" x14ac:dyDescent="0.25">
      <c r="A1361" s="11"/>
      <c r="B1361" s="5"/>
      <c r="C1361" s="6" t="str">
        <f>IFERROR(INDEX(Ejecutivos!$B$2:$B$100,MATCH(B1361,Ejecutivos!$A$2:$A$100,0)),"")</f>
        <v/>
      </c>
      <c r="D1361" s="12"/>
      <c r="E1361" s="12"/>
      <c r="F1361" s="12"/>
      <c r="G1361" s="12"/>
      <c r="H1361" s="5"/>
      <c r="I1361" s="5"/>
      <c r="J1361" s="5"/>
      <c r="K1361" s="5"/>
      <c r="L1361" s="18">
        <v>0</v>
      </c>
      <c r="M1361" t="str">
        <f t="shared" si="87"/>
        <v/>
      </c>
      <c r="N1361" t="str">
        <f>IF(OR($D1361="",$S1361=""),"",IFERROR(MAX(0,ROUND(($D1361-INDEX(Config!$C$15:$C$18,MATCH($S1361,Config!$B$15:$B$18,0)))*24*60,0)),""))</f>
        <v/>
      </c>
      <c r="O1361" t="str">
        <f t="shared" si="88"/>
        <v/>
      </c>
      <c r="P1361" t="str">
        <f t="shared" si="89"/>
        <v/>
      </c>
      <c r="Q1361" t="str">
        <f>IF(OR($P1361="",$S1361=""),"",IFERROR($P1361-INDEX(Config!$E$15:$E$18,MATCH($S1361,Config!$B$15:$B$18,0)),""))</f>
        <v/>
      </c>
      <c r="R1361" t="str">
        <f t="shared" si="90"/>
        <v/>
      </c>
      <c r="S1361" s="6" t="str">
        <f>IF(OR($A1361="",$C1361=""),"",IFERROR(INDEX(Turno!$C$3:$V$32,MATCH($C1361,Turno!$B$3:$B$32,0),MATCH(DAY($A1361),Turno!$C$1:$V$1,0)),""))</f>
        <v/>
      </c>
      <c r="T1361" t="str">
        <f>IF(OR($E1361="",$S1361=""),"",IFERROR(MAX(0,ROUND((INDEX(Config!$D$15:$D$18,MATCH($S1361,Config!$B$15:$B$18,0))-$E1361)*1440,0)),""))</f>
        <v/>
      </c>
      <c r="U1361" s="13" t="str">
        <f>IF(OR($N1361="",$T1361=""),"",IFERROR(MAX(0,1-($N1361+$T1361+MAX(0,N($Q1361)))/ROUND((INDEX(Config!$D$15:$D$18,MATCH($S1361,Config!$B$15:$B$18,0))-INDEX(Config!$C$15:$C$18,MATCH($S1361,Config!$B$15:$B$18,0)))*1440,0)),""))</f>
        <v/>
      </c>
      <c r="V1361" s="5"/>
    </row>
    <row r="1362" spans="1:22" x14ac:dyDescent="0.25">
      <c r="A1362" s="11"/>
      <c r="B1362" s="5"/>
      <c r="C1362" s="6" t="str">
        <f>IFERROR(INDEX(Ejecutivos!$B$2:$B$100,MATCH(B1362,Ejecutivos!$A$2:$A$100,0)),"")</f>
        <v/>
      </c>
      <c r="D1362" s="12"/>
      <c r="E1362" s="12"/>
      <c r="F1362" s="12"/>
      <c r="G1362" s="12"/>
      <c r="H1362" s="5"/>
      <c r="I1362" s="5"/>
      <c r="J1362" s="5"/>
      <c r="K1362" s="5"/>
      <c r="L1362" s="18">
        <v>0</v>
      </c>
      <c r="M1362" t="str">
        <f t="shared" si="87"/>
        <v/>
      </c>
      <c r="N1362" t="str">
        <f>IF(OR($D1362="",$S1362=""),"",IFERROR(MAX(0,ROUND(($D1362-INDEX(Config!$C$15:$C$18,MATCH($S1362,Config!$B$15:$B$18,0)))*24*60,0)),""))</f>
        <v/>
      </c>
      <c r="O1362" t="str">
        <f t="shared" si="88"/>
        <v/>
      </c>
      <c r="P1362" t="str">
        <f t="shared" si="89"/>
        <v/>
      </c>
      <c r="Q1362" t="str">
        <f>IF(OR($P1362="",$S1362=""),"",IFERROR($P1362-INDEX(Config!$E$15:$E$18,MATCH($S1362,Config!$B$15:$B$18,0)),""))</f>
        <v/>
      </c>
      <c r="R1362" t="str">
        <f t="shared" si="90"/>
        <v/>
      </c>
      <c r="S1362" s="6" t="str">
        <f>IF(OR($A1362="",$C1362=""),"",IFERROR(INDEX(Turno!$C$3:$V$32,MATCH($C1362,Turno!$B$3:$B$32,0),MATCH(DAY($A1362),Turno!$C$1:$V$1,0)),""))</f>
        <v/>
      </c>
      <c r="T1362" t="str">
        <f>IF(OR($E1362="",$S1362=""),"",IFERROR(MAX(0,ROUND((INDEX(Config!$D$15:$D$18,MATCH($S1362,Config!$B$15:$B$18,0))-$E1362)*1440,0)),""))</f>
        <v/>
      </c>
      <c r="U1362" s="13" t="str">
        <f>IF(OR($N1362="",$T1362=""),"",IFERROR(MAX(0,1-($N1362+$T1362+MAX(0,N($Q1362)))/ROUND((INDEX(Config!$D$15:$D$18,MATCH($S1362,Config!$B$15:$B$18,0))-INDEX(Config!$C$15:$C$18,MATCH($S1362,Config!$B$15:$B$18,0)))*1440,0)),""))</f>
        <v/>
      </c>
      <c r="V1362" s="5"/>
    </row>
    <row r="1363" spans="1:22" x14ac:dyDescent="0.25">
      <c r="A1363" s="11"/>
      <c r="B1363" s="5"/>
      <c r="C1363" s="6" t="str">
        <f>IFERROR(INDEX(Ejecutivos!$B$2:$B$100,MATCH(B1363,Ejecutivos!$A$2:$A$100,0)),"")</f>
        <v/>
      </c>
      <c r="D1363" s="12"/>
      <c r="E1363" s="12"/>
      <c r="F1363" s="12"/>
      <c r="G1363" s="12"/>
      <c r="H1363" s="5"/>
      <c r="I1363" s="5"/>
      <c r="J1363" s="5"/>
      <c r="K1363" s="5"/>
      <c r="L1363" s="18">
        <v>0</v>
      </c>
      <c r="M1363" t="str">
        <f t="shared" si="87"/>
        <v/>
      </c>
      <c r="N1363" t="str">
        <f>IF(OR($D1363="",$S1363=""),"",IFERROR(MAX(0,ROUND(($D1363-INDEX(Config!$C$15:$C$18,MATCH($S1363,Config!$B$15:$B$18,0)))*24*60,0)),""))</f>
        <v/>
      </c>
      <c r="O1363" t="str">
        <f t="shared" si="88"/>
        <v/>
      </c>
      <c r="P1363" t="str">
        <f t="shared" si="89"/>
        <v/>
      </c>
      <c r="Q1363" t="str">
        <f>IF(OR($P1363="",$S1363=""),"",IFERROR($P1363-INDEX(Config!$E$15:$E$18,MATCH($S1363,Config!$B$15:$B$18,0)),""))</f>
        <v/>
      </c>
      <c r="R1363" t="str">
        <f t="shared" si="90"/>
        <v/>
      </c>
      <c r="S1363" s="6" t="str">
        <f>IF(OR($A1363="",$C1363=""),"",IFERROR(INDEX(Turno!$C$3:$V$32,MATCH($C1363,Turno!$B$3:$B$32,0),MATCH(DAY($A1363),Turno!$C$1:$V$1,0)),""))</f>
        <v/>
      </c>
      <c r="T1363" t="str">
        <f>IF(OR($E1363="",$S1363=""),"",IFERROR(MAX(0,ROUND((INDEX(Config!$D$15:$D$18,MATCH($S1363,Config!$B$15:$B$18,0))-$E1363)*1440,0)),""))</f>
        <v/>
      </c>
      <c r="U1363" s="13" t="str">
        <f>IF(OR($N1363="",$T1363=""),"",IFERROR(MAX(0,1-($N1363+$T1363+MAX(0,N($Q1363)))/ROUND((INDEX(Config!$D$15:$D$18,MATCH($S1363,Config!$B$15:$B$18,0))-INDEX(Config!$C$15:$C$18,MATCH($S1363,Config!$B$15:$B$18,0)))*1440,0)),""))</f>
        <v/>
      </c>
      <c r="V1363" s="5"/>
    </row>
    <row r="1364" spans="1:22" x14ac:dyDescent="0.25">
      <c r="A1364" s="11"/>
      <c r="B1364" s="5"/>
      <c r="C1364" s="6" t="str">
        <f>IFERROR(INDEX(Ejecutivos!$B$2:$B$100,MATCH(B1364,Ejecutivos!$A$2:$A$100,0)),"")</f>
        <v/>
      </c>
      <c r="D1364" s="12"/>
      <c r="E1364" s="12"/>
      <c r="F1364" s="12"/>
      <c r="G1364" s="12"/>
      <c r="H1364" s="5"/>
      <c r="I1364" s="5"/>
      <c r="J1364" s="5"/>
      <c r="K1364" s="5"/>
      <c r="L1364" s="18">
        <v>0</v>
      </c>
      <c r="M1364" t="str">
        <f t="shared" si="87"/>
        <v/>
      </c>
      <c r="N1364" t="str">
        <f>IF(OR($D1364="",$S1364=""),"",IFERROR(MAX(0,ROUND(($D1364-INDEX(Config!$C$15:$C$18,MATCH($S1364,Config!$B$15:$B$18,0)))*24*60,0)),""))</f>
        <v/>
      </c>
      <c r="O1364" t="str">
        <f t="shared" si="88"/>
        <v/>
      </c>
      <c r="P1364" t="str">
        <f t="shared" si="89"/>
        <v/>
      </c>
      <c r="Q1364" t="str">
        <f>IF(OR($P1364="",$S1364=""),"",IFERROR($P1364-INDEX(Config!$E$15:$E$18,MATCH($S1364,Config!$B$15:$B$18,0)),""))</f>
        <v/>
      </c>
      <c r="R1364" t="str">
        <f t="shared" si="90"/>
        <v/>
      </c>
      <c r="S1364" s="6" t="str">
        <f>IF(OR($A1364="",$C1364=""),"",IFERROR(INDEX(Turno!$C$3:$V$32,MATCH($C1364,Turno!$B$3:$B$32,0),MATCH(DAY($A1364),Turno!$C$1:$V$1,0)),""))</f>
        <v/>
      </c>
      <c r="T1364" t="str">
        <f>IF(OR($E1364="",$S1364=""),"",IFERROR(MAX(0,ROUND((INDEX(Config!$D$15:$D$18,MATCH($S1364,Config!$B$15:$B$18,0))-$E1364)*1440,0)),""))</f>
        <v/>
      </c>
      <c r="U1364" s="13" t="str">
        <f>IF(OR($N1364="",$T1364=""),"",IFERROR(MAX(0,1-($N1364+$T1364+MAX(0,N($Q1364)))/ROUND((INDEX(Config!$D$15:$D$18,MATCH($S1364,Config!$B$15:$B$18,0))-INDEX(Config!$C$15:$C$18,MATCH($S1364,Config!$B$15:$B$18,0)))*1440,0)),""))</f>
        <v/>
      </c>
      <c r="V1364" s="5"/>
    </row>
    <row r="1365" spans="1:22" x14ac:dyDescent="0.25">
      <c r="A1365" s="11"/>
      <c r="B1365" s="5"/>
      <c r="C1365" s="6" t="str">
        <f>IFERROR(INDEX(Ejecutivos!$B$2:$B$100,MATCH(B1365,Ejecutivos!$A$2:$A$100,0)),"")</f>
        <v/>
      </c>
      <c r="D1365" s="12"/>
      <c r="E1365" s="12"/>
      <c r="F1365" s="12"/>
      <c r="G1365" s="12"/>
      <c r="H1365" s="5"/>
      <c r="I1365" s="5"/>
      <c r="J1365" s="5"/>
      <c r="K1365" s="5"/>
      <c r="L1365" s="18">
        <v>0</v>
      </c>
      <c r="M1365" t="str">
        <f t="shared" si="87"/>
        <v/>
      </c>
      <c r="N1365" t="str">
        <f>IF(OR($D1365="",$S1365=""),"",IFERROR(MAX(0,ROUND(($D1365-INDEX(Config!$C$15:$C$18,MATCH($S1365,Config!$B$15:$B$18,0)))*24*60,0)),""))</f>
        <v/>
      </c>
      <c r="O1365" t="str">
        <f t="shared" si="88"/>
        <v/>
      </c>
      <c r="P1365" t="str">
        <f t="shared" si="89"/>
        <v/>
      </c>
      <c r="Q1365" t="str">
        <f>IF(OR($P1365="",$S1365=""),"",IFERROR($P1365-INDEX(Config!$E$15:$E$18,MATCH($S1365,Config!$B$15:$B$18,0)),""))</f>
        <v/>
      </c>
      <c r="R1365" t="str">
        <f t="shared" si="90"/>
        <v/>
      </c>
      <c r="S1365" s="6" t="str">
        <f>IF(OR($A1365="",$C1365=""),"",IFERROR(INDEX(Turno!$C$3:$V$32,MATCH($C1365,Turno!$B$3:$B$32,0),MATCH(DAY($A1365),Turno!$C$1:$V$1,0)),""))</f>
        <v/>
      </c>
      <c r="T1365" t="str">
        <f>IF(OR($E1365="",$S1365=""),"",IFERROR(MAX(0,ROUND((INDEX(Config!$D$15:$D$18,MATCH($S1365,Config!$B$15:$B$18,0))-$E1365)*1440,0)),""))</f>
        <v/>
      </c>
      <c r="U1365" s="13" t="str">
        <f>IF(OR($N1365="",$T1365=""),"",IFERROR(MAX(0,1-($N1365+$T1365+MAX(0,N($Q1365)))/ROUND((INDEX(Config!$D$15:$D$18,MATCH($S1365,Config!$B$15:$B$18,0))-INDEX(Config!$C$15:$C$18,MATCH($S1365,Config!$B$15:$B$18,0)))*1440,0)),""))</f>
        <v/>
      </c>
      <c r="V1365" s="5"/>
    </row>
    <row r="1366" spans="1:22" x14ac:dyDescent="0.25">
      <c r="A1366" s="11"/>
      <c r="B1366" s="5"/>
      <c r="C1366" s="6" t="str">
        <f>IFERROR(INDEX(Ejecutivos!$B$2:$B$100,MATCH(B1366,Ejecutivos!$A$2:$A$100,0)),"")</f>
        <v/>
      </c>
      <c r="D1366" s="12"/>
      <c r="E1366" s="12"/>
      <c r="F1366" s="12"/>
      <c r="G1366" s="12"/>
      <c r="H1366" s="5"/>
      <c r="I1366" s="5"/>
      <c r="J1366" s="5"/>
      <c r="K1366" s="5"/>
      <c r="L1366" s="18">
        <v>0</v>
      </c>
      <c r="M1366" t="str">
        <f t="shared" si="87"/>
        <v/>
      </c>
      <c r="N1366" t="str">
        <f>IF(OR($D1366="",$S1366=""),"",IFERROR(MAX(0,ROUND(($D1366-INDEX(Config!$C$15:$C$18,MATCH($S1366,Config!$B$15:$B$18,0)))*24*60,0)),""))</f>
        <v/>
      </c>
      <c r="O1366" t="str">
        <f t="shared" si="88"/>
        <v/>
      </c>
      <c r="P1366" t="str">
        <f t="shared" si="89"/>
        <v/>
      </c>
      <c r="Q1366" t="str">
        <f>IF(OR($P1366="",$S1366=""),"",IFERROR($P1366-INDEX(Config!$E$15:$E$18,MATCH($S1366,Config!$B$15:$B$18,0)),""))</f>
        <v/>
      </c>
      <c r="R1366" t="str">
        <f t="shared" si="90"/>
        <v/>
      </c>
      <c r="S1366" s="6" t="str">
        <f>IF(OR($A1366="",$C1366=""),"",IFERROR(INDEX(Turno!$C$3:$V$32,MATCH($C1366,Turno!$B$3:$B$32,0),MATCH(DAY($A1366),Turno!$C$1:$V$1,0)),""))</f>
        <v/>
      </c>
      <c r="T1366" t="str">
        <f>IF(OR($E1366="",$S1366=""),"",IFERROR(MAX(0,ROUND((INDEX(Config!$D$15:$D$18,MATCH($S1366,Config!$B$15:$B$18,0))-$E1366)*1440,0)),""))</f>
        <v/>
      </c>
      <c r="U1366" s="13" t="str">
        <f>IF(OR($N1366="",$T1366=""),"",IFERROR(MAX(0,1-($N1366+$T1366+MAX(0,N($Q1366)))/ROUND((INDEX(Config!$D$15:$D$18,MATCH($S1366,Config!$B$15:$B$18,0))-INDEX(Config!$C$15:$C$18,MATCH($S1366,Config!$B$15:$B$18,0)))*1440,0)),""))</f>
        <v/>
      </c>
      <c r="V1366" s="5"/>
    </row>
    <row r="1367" spans="1:22" x14ac:dyDescent="0.25">
      <c r="A1367" s="11"/>
      <c r="B1367" s="5"/>
      <c r="C1367" s="6" t="str">
        <f>IFERROR(INDEX(Ejecutivos!$B$2:$B$100,MATCH(B1367,Ejecutivos!$A$2:$A$100,0)),"")</f>
        <v/>
      </c>
      <c r="D1367" s="12"/>
      <c r="E1367" s="12"/>
      <c r="F1367" s="12"/>
      <c r="G1367" s="12"/>
      <c r="H1367" s="5"/>
      <c r="I1367" s="5"/>
      <c r="J1367" s="5"/>
      <c r="K1367" s="5"/>
      <c r="L1367" s="18">
        <v>0</v>
      </c>
      <c r="M1367" t="str">
        <f t="shared" si="87"/>
        <v/>
      </c>
      <c r="N1367" t="str">
        <f>IF(OR($D1367="",$S1367=""),"",IFERROR(MAX(0,ROUND(($D1367-INDEX(Config!$C$15:$C$18,MATCH($S1367,Config!$B$15:$B$18,0)))*24*60,0)),""))</f>
        <v/>
      </c>
      <c r="O1367" t="str">
        <f t="shared" si="88"/>
        <v/>
      </c>
      <c r="P1367" t="str">
        <f t="shared" si="89"/>
        <v/>
      </c>
      <c r="Q1367" t="str">
        <f>IF(OR($P1367="",$S1367=""),"",IFERROR($P1367-INDEX(Config!$E$15:$E$18,MATCH($S1367,Config!$B$15:$B$18,0)),""))</f>
        <v/>
      </c>
      <c r="R1367" t="str">
        <f t="shared" si="90"/>
        <v/>
      </c>
      <c r="S1367" s="6" t="str">
        <f>IF(OR($A1367="",$C1367=""),"",IFERROR(INDEX(Turno!$C$3:$V$32,MATCH($C1367,Turno!$B$3:$B$32,0),MATCH(DAY($A1367),Turno!$C$1:$V$1,0)),""))</f>
        <v/>
      </c>
      <c r="T1367" t="str">
        <f>IF(OR($E1367="",$S1367=""),"",IFERROR(MAX(0,ROUND((INDEX(Config!$D$15:$D$18,MATCH($S1367,Config!$B$15:$B$18,0))-$E1367)*1440,0)),""))</f>
        <v/>
      </c>
      <c r="U1367" s="13" t="str">
        <f>IF(OR($N1367="",$T1367=""),"",IFERROR(MAX(0,1-($N1367+$T1367+MAX(0,N($Q1367)))/ROUND((INDEX(Config!$D$15:$D$18,MATCH($S1367,Config!$B$15:$B$18,0))-INDEX(Config!$C$15:$C$18,MATCH($S1367,Config!$B$15:$B$18,0)))*1440,0)),""))</f>
        <v/>
      </c>
      <c r="V1367" s="5"/>
    </row>
    <row r="1368" spans="1:22" x14ac:dyDescent="0.25">
      <c r="A1368" s="11"/>
      <c r="B1368" s="5"/>
      <c r="C1368" s="6" t="str">
        <f>IFERROR(INDEX(Ejecutivos!$B$2:$B$100,MATCH(B1368,Ejecutivos!$A$2:$A$100,0)),"")</f>
        <v/>
      </c>
      <c r="D1368" s="12"/>
      <c r="E1368" s="12"/>
      <c r="F1368" s="12"/>
      <c r="G1368" s="12"/>
      <c r="H1368" s="5"/>
      <c r="I1368" s="5"/>
      <c r="J1368" s="5"/>
      <c r="K1368" s="5"/>
      <c r="L1368" s="18">
        <v>0</v>
      </c>
      <c r="M1368" t="str">
        <f t="shared" si="87"/>
        <v/>
      </c>
      <c r="N1368" t="str">
        <f>IF(OR($D1368="",$S1368=""),"",IFERROR(MAX(0,ROUND(($D1368-INDEX(Config!$C$15:$C$18,MATCH($S1368,Config!$B$15:$B$18,0)))*24*60,0)),""))</f>
        <v/>
      </c>
      <c r="O1368" t="str">
        <f t="shared" si="88"/>
        <v/>
      </c>
      <c r="P1368" t="str">
        <f t="shared" si="89"/>
        <v/>
      </c>
      <c r="Q1368" t="str">
        <f>IF(OR($P1368="",$S1368=""),"",IFERROR($P1368-INDEX(Config!$E$15:$E$18,MATCH($S1368,Config!$B$15:$B$18,0)),""))</f>
        <v/>
      </c>
      <c r="R1368" t="str">
        <f t="shared" si="90"/>
        <v/>
      </c>
      <c r="S1368" s="6" t="str">
        <f>IF(OR($A1368="",$C1368=""),"",IFERROR(INDEX(Turno!$C$3:$V$32,MATCH($C1368,Turno!$B$3:$B$32,0),MATCH(DAY($A1368),Turno!$C$1:$V$1,0)),""))</f>
        <v/>
      </c>
      <c r="T1368" t="str">
        <f>IF(OR($E1368="",$S1368=""),"",IFERROR(MAX(0,ROUND((INDEX(Config!$D$15:$D$18,MATCH($S1368,Config!$B$15:$B$18,0))-$E1368)*1440,0)),""))</f>
        <v/>
      </c>
      <c r="U1368" s="13" t="str">
        <f>IF(OR($N1368="",$T1368=""),"",IFERROR(MAX(0,1-($N1368+$T1368+MAX(0,N($Q1368)))/ROUND((INDEX(Config!$D$15:$D$18,MATCH($S1368,Config!$B$15:$B$18,0))-INDEX(Config!$C$15:$C$18,MATCH($S1368,Config!$B$15:$B$18,0)))*1440,0)),""))</f>
        <v/>
      </c>
      <c r="V1368" s="5"/>
    </row>
    <row r="1369" spans="1:22" x14ac:dyDescent="0.25">
      <c r="A1369" s="11"/>
      <c r="B1369" s="5"/>
      <c r="C1369" s="6" t="str">
        <f>IFERROR(INDEX(Ejecutivos!$B$2:$B$100,MATCH(B1369,Ejecutivos!$A$2:$A$100,0)),"")</f>
        <v/>
      </c>
      <c r="D1369" s="12"/>
      <c r="E1369" s="12"/>
      <c r="F1369" s="12"/>
      <c r="G1369" s="12"/>
      <c r="H1369" s="5"/>
      <c r="I1369" s="5"/>
      <c r="J1369" s="5"/>
      <c r="K1369" s="5"/>
      <c r="L1369" s="18">
        <v>0</v>
      </c>
      <c r="M1369" t="str">
        <f t="shared" si="87"/>
        <v/>
      </c>
      <c r="N1369" t="str">
        <f>IF(OR($D1369="",$S1369=""),"",IFERROR(MAX(0,ROUND(($D1369-INDEX(Config!$C$15:$C$18,MATCH($S1369,Config!$B$15:$B$18,0)))*24*60,0)),""))</f>
        <v/>
      </c>
      <c r="O1369" t="str">
        <f t="shared" si="88"/>
        <v/>
      </c>
      <c r="P1369" t="str">
        <f t="shared" si="89"/>
        <v/>
      </c>
      <c r="Q1369" t="str">
        <f>IF(OR($P1369="",$S1369=""),"",IFERROR($P1369-INDEX(Config!$E$15:$E$18,MATCH($S1369,Config!$B$15:$B$18,0)),""))</f>
        <v/>
      </c>
      <c r="R1369" t="str">
        <f t="shared" si="90"/>
        <v/>
      </c>
      <c r="S1369" s="6" t="str">
        <f>IF(OR($A1369="",$C1369=""),"",IFERROR(INDEX(Turno!$C$3:$V$32,MATCH($C1369,Turno!$B$3:$B$32,0),MATCH(DAY($A1369),Turno!$C$1:$V$1,0)),""))</f>
        <v/>
      </c>
      <c r="T1369" t="str">
        <f>IF(OR($E1369="",$S1369=""),"",IFERROR(MAX(0,ROUND((INDEX(Config!$D$15:$D$18,MATCH($S1369,Config!$B$15:$B$18,0))-$E1369)*1440,0)),""))</f>
        <v/>
      </c>
      <c r="U1369" s="13" t="str">
        <f>IF(OR($N1369="",$T1369=""),"",IFERROR(MAX(0,1-($N1369+$T1369+MAX(0,N($Q1369)))/ROUND((INDEX(Config!$D$15:$D$18,MATCH($S1369,Config!$B$15:$B$18,0))-INDEX(Config!$C$15:$C$18,MATCH($S1369,Config!$B$15:$B$18,0)))*1440,0)),""))</f>
        <v/>
      </c>
      <c r="V1369" s="5"/>
    </row>
    <row r="1370" spans="1:22" x14ac:dyDescent="0.25">
      <c r="A1370" s="11"/>
      <c r="B1370" s="5"/>
      <c r="C1370" s="6" t="str">
        <f>IFERROR(INDEX(Ejecutivos!$B$2:$B$100,MATCH(B1370,Ejecutivos!$A$2:$A$100,0)),"")</f>
        <v/>
      </c>
      <c r="D1370" s="12"/>
      <c r="E1370" s="12"/>
      <c r="F1370" s="12"/>
      <c r="G1370" s="12"/>
      <c r="H1370" s="5"/>
      <c r="I1370" s="5"/>
      <c r="J1370" s="5"/>
      <c r="K1370" s="5"/>
      <c r="L1370" s="18">
        <v>0</v>
      </c>
      <c r="M1370" t="str">
        <f t="shared" si="87"/>
        <v/>
      </c>
      <c r="N1370" t="str">
        <f>IF(OR($D1370="",$S1370=""),"",IFERROR(MAX(0,ROUND(($D1370-INDEX(Config!$C$15:$C$18,MATCH($S1370,Config!$B$15:$B$18,0)))*24*60,0)),""))</f>
        <v/>
      </c>
      <c r="O1370" t="str">
        <f t="shared" si="88"/>
        <v/>
      </c>
      <c r="P1370" t="str">
        <f t="shared" si="89"/>
        <v/>
      </c>
      <c r="Q1370" t="str">
        <f>IF(OR($P1370="",$S1370=""),"",IFERROR($P1370-INDEX(Config!$E$15:$E$18,MATCH($S1370,Config!$B$15:$B$18,0)),""))</f>
        <v/>
      </c>
      <c r="R1370" t="str">
        <f t="shared" si="90"/>
        <v/>
      </c>
      <c r="S1370" s="6" t="str">
        <f>IF(OR($A1370="",$C1370=""),"",IFERROR(INDEX(Turno!$C$3:$V$32,MATCH($C1370,Turno!$B$3:$B$32,0),MATCH(DAY($A1370),Turno!$C$1:$V$1,0)),""))</f>
        <v/>
      </c>
      <c r="T1370" t="str">
        <f>IF(OR($E1370="",$S1370=""),"",IFERROR(MAX(0,ROUND((INDEX(Config!$D$15:$D$18,MATCH($S1370,Config!$B$15:$B$18,0))-$E1370)*1440,0)),""))</f>
        <v/>
      </c>
      <c r="U1370" s="13" t="str">
        <f>IF(OR($N1370="",$T1370=""),"",IFERROR(MAX(0,1-($N1370+$T1370+MAX(0,N($Q1370)))/ROUND((INDEX(Config!$D$15:$D$18,MATCH($S1370,Config!$B$15:$B$18,0))-INDEX(Config!$C$15:$C$18,MATCH($S1370,Config!$B$15:$B$18,0)))*1440,0)),""))</f>
        <v/>
      </c>
      <c r="V1370" s="5"/>
    </row>
    <row r="1371" spans="1:22" x14ac:dyDescent="0.25">
      <c r="A1371" s="11"/>
      <c r="B1371" s="5"/>
      <c r="C1371" s="6" t="str">
        <f>IFERROR(INDEX(Ejecutivos!$B$2:$B$100,MATCH(B1371,Ejecutivos!$A$2:$A$100,0)),"")</f>
        <v/>
      </c>
      <c r="D1371" s="12"/>
      <c r="E1371" s="12"/>
      <c r="F1371" s="12"/>
      <c r="G1371" s="12"/>
      <c r="H1371" s="5"/>
      <c r="I1371" s="5"/>
      <c r="J1371" s="5"/>
      <c r="K1371" s="5"/>
      <c r="L1371" s="18">
        <v>0</v>
      </c>
      <c r="M1371" t="str">
        <f t="shared" si="87"/>
        <v/>
      </c>
      <c r="N1371" t="str">
        <f>IF(OR($D1371="",$S1371=""),"",IFERROR(MAX(0,ROUND(($D1371-INDEX(Config!$C$15:$C$18,MATCH($S1371,Config!$B$15:$B$18,0)))*24*60,0)),""))</f>
        <v/>
      </c>
      <c r="O1371" t="str">
        <f t="shared" si="88"/>
        <v/>
      </c>
      <c r="P1371" t="str">
        <f t="shared" si="89"/>
        <v/>
      </c>
      <c r="Q1371" t="str">
        <f>IF(OR($P1371="",$S1371=""),"",IFERROR($P1371-INDEX(Config!$E$15:$E$18,MATCH($S1371,Config!$B$15:$B$18,0)),""))</f>
        <v/>
      </c>
      <c r="R1371" t="str">
        <f t="shared" si="90"/>
        <v/>
      </c>
      <c r="S1371" s="6" t="str">
        <f>IF(OR($A1371="",$C1371=""),"",IFERROR(INDEX(Turno!$C$3:$V$32,MATCH($C1371,Turno!$B$3:$B$32,0),MATCH(DAY($A1371),Turno!$C$1:$V$1,0)),""))</f>
        <v/>
      </c>
      <c r="T1371" t="str">
        <f>IF(OR($E1371="",$S1371=""),"",IFERROR(MAX(0,ROUND((INDEX(Config!$D$15:$D$18,MATCH($S1371,Config!$B$15:$B$18,0))-$E1371)*1440,0)),""))</f>
        <v/>
      </c>
      <c r="U1371" s="13" t="str">
        <f>IF(OR($N1371="",$T1371=""),"",IFERROR(MAX(0,1-($N1371+$T1371+MAX(0,N($Q1371)))/ROUND((INDEX(Config!$D$15:$D$18,MATCH($S1371,Config!$B$15:$B$18,0))-INDEX(Config!$C$15:$C$18,MATCH($S1371,Config!$B$15:$B$18,0)))*1440,0)),""))</f>
        <v/>
      </c>
      <c r="V1371" s="5"/>
    </row>
    <row r="1372" spans="1:22" x14ac:dyDescent="0.25">
      <c r="A1372" s="11"/>
      <c r="B1372" s="5"/>
      <c r="C1372" s="6" t="str">
        <f>IFERROR(INDEX(Ejecutivos!$B$2:$B$100,MATCH(B1372,Ejecutivos!$A$2:$A$100,0)),"")</f>
        <v/>
      </c>
      <c r="D1372" s="12"/>
      <c r="E1372" s="12"/>
      <c r="F1372" s="12"/>
      <c r="G1372" s="12"/>
      <c r="H1372" s="5"/>
      <c r="I1372" s="5"/>
      <c r="J1372" s="5"/>
      <c r="K1372" s="5"/>
      <c r="L1372" s="18">
        <v>0</v>
      </c>
      <c r="M1372" t="str">
        <f t="shared" si="87"/>
        <v/>
      </c>
      <c r="N1372" t="str">
        <f>IF(OR($D1372="",$S1372=""),"",IFERROR(MAX(0,ROUND(($D1372-INDEX(Config!$C$15:$C$18,MATCH($S1372,Config!$B$15:$B$18,0)))*24*60,0)),""))</f>
        <v/>
      </c>
      <c r="O1372" t="str">
        <f t="shared" si="88"/>
        <v/>
      </c>
      <c r="P1372" t="str">
        <f t="shared" si="89"/>
        <v/>
      </c>
      <c r="Q1372" t="str">
        <f>IF(OR($P1372="",$S1372=""),"",IFERROR($P1372-INDEX(Config!$E$15:$E$18,MATCH($S1372,Config!$B$15:$B$18,0)),""))</f>
        <v/>
      </c>
      <c r="R1372" t="str">
        <f t="shared" si="90"/>
        <v/>
      </c>
      <c r="S1372" s="6" t="str">
        <f>IF(OR($A1372="",$C1372=""),"",IFERROR(INDEX(Turno!$C$3:$V$32,MATCH($C1372,Turno!$B$3:$B$32,0),MATCH(DAY($A1372),Turno!$C$1:$V$1,0)),""))</f>
        <v/>
      </c>
      <c r="T1372" t="str">
        <f>IF(OR($E1372="",$S1372=""),"",IFERROR(MAX(0,ROUND((INDEX(Config!$D$15:$D$18,MATCH($S1372,Config!$B$15:$B$18,0))-$E1372)*1440,0)),""))</f>
        <v/>
      </c>
      <c r="U1372" s="13" t="str">
        <f>IF(OR($N1372="",$T1372=""),"",IFERROR(MAX(0,1-($N1372+$T1372+MAX(0,N($Q1372)))/ROUND((INDEX(Config!$D$15:$D$18,MATCH($S1372,Config!$B$15:$B$18,0))-INDEX(Config!$C$15:$C$18,MATCH($S1372,Config!$B$15:$B$18,0)))*1440,0)),""))</f>
        <v/>
      </c>
      <c r="V1372" s="5"/>
    </row>
    <row r="1373" spans="1:22" x14ac:dyDescent="0.25">
      <c r="A1373" s="11"/>
      <c r="B1373" s="5"/>
      <c r="C1373" s="6" t="str">
        <f>IFERROR(INDEX(Ejecutivos!$B$2:$B$100,MATCH(B1373,Ejecutivos!$A$2:$A$100,0)),"")</f>
        <v/>
      </c>
      <c r="D1373" s="12"/>
      <c r="E1373" s="12"/>
      <c r="F1373" s="12"/>
      <c r="G1373" s="12"/>
      <c r="H1373" s="5"/>
      <c r="I1373" s="5"/>
      <c r="J1373" s="5"/>
      <c r="K1373" s="5"/>
      <c r="L1373" s="18">
        <v>0</v>
      </c>
      <c r="M1373" t="str">
        <f t="shared" si="87"/>
        <v/>
      </c>
      <c r="N1373" t="str">
        <f>IF(OR($D1373="",$S1373=""),"",IFERROR(MAX(0,ROUND(($D1373-INDEX(Config!$C$15:$C$18,MATCH($S1373,Config!$B$15:$B$18,0)))*24*60,0)),""))</f>
        <v/>
      </c>
      <c r="O1373" t="str">
        <f t="shared" si="88"/>
        <v/>
      </c>
      <c r="P1373" t="str">
        <f t="shared" si="89"/>
        <v/>
      </c>
      <c r="Q1373" t="str">
        <f>IF(OR($P1373="",$S1373=""),"",IFERROR($P1373-INDEX(Config!$E$15:$E$18,MATCH($S1373,Config!$B$15:$B$18,0)),""))</f>
        <v/>
      </c>
      <c r="R1373" t="str">
        <f t="shared" si="90"/>
        <v/>
      </c>
      <c r="S1373" s="6" t="str">
        <f>IF(OR($A1373="",$C1373=""),"",IFERROR(INDEX(Turno!$C$3:$V$32,MATCH($C1373,Turno!$B$3:$B$32,0),MATCH(DAY($A1373),Turno!$C$1:$V$1,0)),""))</f>
        <v/>
      </c>
      <c r="T1373" t="str">
        <f>IF(OR($E1373="",$S1373=""),"",IFERROR(MAX(0,ROUND((INDEX(Config!$D$15:$D$18,MATCH($S1373,Config!$B$15:$B$18,0))-$E1373)*1440,0)),""))</f>
        <v/>
      </c>
      <c r="U1373" s="13" t="str">
        <f>IF(OR($N1373="",$T1373=""),"",IFERROR(MAX(0,1-($N1373+$T1373+MAX(0,N($Q1373)))/ROUND((INDEX(Config!$D$15:$D$18,MATCH($S1373,Config!$B$15:$B$18,0))-INDEX(Config!$C$15:$C$18,MATCH($S1373,Config!$B$15:$B$18,0)))*1440,0)),""))</f>
        <v/>
      </c>
      <c r="V1373" s="5"/>
    </row>
    <row r="1374" spans="1:22" x14ac:dyDescent="0.25">
      <c r="A1374" s="11"/>
      <c r="B1374" s="5"/>
      <c r="C1374" s="6" t="str">
        <f>IFERROR(INDEX(Ejecutivos!$B$2:$B$100,MATCH(B1374,Ejecutivos!$A$2:$A$100,0)),"")</f>
        <v/>
      </c>
      <c r="D1374" s="12"/>
      <c r="E1374" s="12"/>
      <c r="F1374" s="12"/>
      <c r="G1374" s="12"/>
      <c r="H1374" s="5"/>
      <c r="I1374" s="5"/>
      <c r="J1374" s="5"/>
      <c r="K1374" s="5"/>
      <c r="L1374" s="18">
        <v>0</v>
      </c>
      <c r="M1374" t="str">
        <f t="shared" si="87"/>
        <v/>
      </c>
      <c r="N1374" t="str">
        <f>IF(OR($D1374="",$S1374=""),"",IFERROR(MAX(0,ROUND(($D1374-INDEX(Config!$C$15:$C$18,MATCH($S1374,Config!$B$15:$B$18,0)))*24*60,0)),""))</f>
        <v/>
      </c>
      <c r="O1374" t="str">
        <f t="shared" si="88"/>
        <v/>
      </c>
      <c r="P1374" t="str">
        <f t="shared" si="89"/>
        <v/>
      </c>
      <c r="Q1374" t="str">
        <f>IF(OR($P1374="",$S1374=""),"",IFERROR($P1374-INDEX(Config!$E$15:$E$18,MATCH($S1374,Config!$B$15:$B$18,0)),""))</f>
        <v/>
      </c>
      <c r="R1374" t="str">
        <f t="shared" si="90"/>
        <v/>
      </c>
      <c r="S1374" s="6" t="str">
        <f>IF(OR($A1374="",$C1374=""),"",IFERROR(INDEX(Turno!$C$3:$V$32,MATCH($C1374,Turno!$B$3:$B$32,0),MATCH(DAY($A1374),Turno!$C$1:$V$1,0)),""))</f>
        <v/>
      </c>
      <c r="T1374" t="str">
        <f>IF(OR($E1374="",$S1374=""),"",IFERROR(MAX(0,ROUND((INDEX(Config!$D$15:$D$18,MATCH($S1374,Config!$B$15:$B$18,0))-$E1374)*1440,0)),""))</f>
        <v/>
      </c>
      <c r="U1374" s="13" t="str">
        <f>IF(OR($N1374="",$T1374=""),"",IFERROR(MAX(0,1-($N1374+$T1374+MAX(0,N($Q1374)))/ROUND((INDEX(Config!$D$15:$D$18,MATCH($S1374,Config!$B$15:$B$18,0))-INDEX(Config!$C$15:$C$18,MATCH($S1374,Config!$B$15:$B$18,0)))*1440,0)),""))</f>
        <v/>
      </c>
      <c r="V1374" s="5"/>
    </row>
    <row r="1375" spans="1:22" x14ac:dyDescent="0.25">
      <c r="A1375" s="11"/>
      <c r="B1375" s="5"/>
      <c r="C1375" s="6" t="str">
        <f>IFERROR(INDEX(Ejecutivos!$B$2:$B$100,MATCH(B1375,Ejecutivos!$A$2:$A$100,0)),"")</f>
        <v/>
      </c>
      <c r="D1375" s="12"/>
      <c r="E1375" s="12"/>
      <c r="F1375" s="12"/>
      <c r="G1375" s="12"/>
      <c r="H1375" s="5"/>
      <c r="I1375" s="5"/>
      <c r="J1375" s="5"/>
      <c r="K1375" s="5"/>
      <c r="L1375" s="18">
        <v>0</v>
      </c>
      <c r="M1375" t="str">
        <f t="shared" si="87"/>
        <v/>
      </c>
      <c r="N1375" t="str">
        <f>IF(OR($D1375="",$S1375=""),"",IFERROR(MAX(0,ROUND(($D1375-INDEX(Config!$C$15:$C$18,MATCH($S1375,Config!$B$15:$B$18,0)))*24*60,0)),""))</f>
        <v/>
      </c>
      <c r="O1375" t="str">
        <f t="shared" si="88"/>
        <v/>
      </c>
      <c r="P1375" t="str">
        <f t="shared" si="89"/>
        <v/>
      </c>
      <c r="Q1375" t="str">
        <f>IF(OR($P1375="",$S1375=""),"",IFERROR($P1375-INDEX(Config!$E$15:$E$18,MATCH($S1375,Config!$B$15:$B$18,0)),""))</f>
        <v/>
      </c>
      <c r="R1375" t="str">
        <f t="shared" si="90"/>
        <v/>
      </c>
      <c r="S1375" s="6" t="str">
        <f>IF(OR($A1375="",$C1375=""),"",IFERROR(INDEX(Turno!$C$3:$V$32,MATCH($C1375,Turno!$B$3:$B$32,0),MATCH(DAY($A1375),Turno!$C$1:$V$1,0)),""))</f>
        <v/>
      </c>
      <c r="T1375" t="str">
        <f>IF(OR($E1375="",$S1375=""),"",IFERROR(MAX(0,ROUND((INDEX(Config!$D$15:$D$18,MATCH($S1375,Config!$B$15:$B$18,0))-$E1375)*1440,0)),""))</f>
        <v/>
      </c>
      <c r="U1375" s="13" t="str">
        <f>IF(OR($N1375="",$T1375=""),"",IFERROR(MAX(0,1-($N1375+$T1375+MAX(0,N($Q1375)))/ROUND((INDEX(Config!$D$15:$D$18,MATCH($S1375,Config!$B$15:$B$18,0))-INDEX(Config!$C$15:$C$18,MATCH($S1375,Config!$B$15:$B$18,0)))*1440,0)),""))</f>
        <v/>
      </c>
      <c r="V1375" s="5"/>
    </row>
    <row r="1376" spans="1:22" x14ac:dyDescent="0.25">
      <c r="A1376" s="11"/>
      <c r="B1376" s="5"/>
      <c r="C1376" s="6" t="str">
        <f>IFERROR(INDEX(Ejecutivos!$B$2:$B$100,MATCH(B1376,Ejecutivos!$A$2:$A$100,0)),"")</f>
        <v/>
      </c>
      <c r="D1376" s="12"/>
      <c r="E1376" s="12"/>
      <c r="F1376" s="12"/>
      <c r="G1376" s="12"/>
      <c r="H1376" s="5"/>
      <c r="I1376" s="5"/>
      <c r="J1376" s="5"/>
      <c r="K1376" s="5"/>
      <c r="L1376" s="18">
        <v>0</v>
      </c>
      <c r="M1376" t="str">
        <f t="shared" si="87"/>
        <v/>
      </c>
      <c r="N1376" t="str">
        <f>IF(OR($D1376="",$S1376=""),"",IFERROR(MAX(0,ROUND(($D1376-INDEX(Config!$C$15:$C$18,MATCH($S1376,Config!$B$15:$B$18,0)))*24*60,0)),""))</f>
        <v/>
      </c>
      <c r="O1376" t="str">
        <f t="shared" si="88"/>
        <v/>
      </c>
      <c r="P1376" t="str">
        <f t="shared" si="89"/>
        <v/>
      </c>
      <c r="Q1376" t="str">
        <f>IF(OR($P1376="",$S1376=""),"",IFERROR($P1376-INDEX(Config!$E$15:$E$18,MATCH($S1376,Config!$B$15:$B$18,0)),""))</f>
        <v/>
      </c>
      <c r="R1376" t="str">
        <f t="shared" si="90"/>
        <v/>
      </c>
      <c r="S1376" s="6" t="str">
        <f>IF(OR($A1376="",$C1376=""),"",IFERROR(INDEX(Turno!$C$3:$V$32,MATCH($C1376,Turno!$B$3:$B$32,0),MATCH(DAY($A1376),Turno!$C$1:$V$1,0)),""))</f>
        <v/>
      </c>
      <c r="T1376" t="str">
        <f>IF(OR($E1376="",$S1376=""),"",IFERROR(MAX(0,ROUND((INDEX(Config!$D$15:$D$18,MATCH($S1376,Config!$B$15:$B$18,0))-$E1376)*1440,0)),""))</f>
        <v/>
      </c>
      <c r="U1376" s="13" t="str">
        <f>IF(OR($N1376="",$T1376=""),"",IFERROR(MAX(0,1-($N1376+$T1376+MAX(0,N($Q1376)))/ROUND((INDEX(Config!$D$15:$D$18,MATCH($S1376,Config!$B$15:$B$18,0))-INDEX(Config!$C$15:$C$18,MATCH($S1376,Config!$B$15:$B$18,0)))*1440,0)),""))</f>
        <v/>
      </c>
      <c r="V1376" s="5"/>
    </row>
    <row r="1377" spans="1:22" x14ac:dyDescent="0.25">
      <c r="A1377" s="11"/>
      <c r="B1377" s="5"/>
      <c r="C1377" s="6" t="str">
        <f>IFERROR(INDEX(Ejecutivos!$B$2:$B$100,MATCH(B1377,Ejecutivos!$A$2:$A$100,0)),"")</f>
        <v/>
      </c>
      <c r="D1377" s="12"/>
      <c r="E1377" s="12"/>
      <c r="F1377" s="12"/>
      <c r="G1377" s="12"/>
      <c r="H1377" s="5"/>
      <c r="I1377" s="5"/>
      <c r="J1377" s="5"/>
      <c r="K1377" s="5"/>
      <c r="L1377" s="18">
        <v>0</v>
      </c>
      <c r="M1377" t="str">
        <f t="shared" si="87"/>
        <v/>
      </c>
      <c r="N1377" t="str">
        <f>IF(OR($D1377="",$S1377=""),"",IFERROR(MAX(0,ROUND(($D1377-INDEX(Config!$C$15:$C$18,MATCH($S1377,Config!$B$15:$B$18,0)))*24*60,0)),""))</f>
        <v/>
      </c>
      <c r="O1377" t="str">
        <f t="shared" si="88"/>
        <v/>
      </c>
      <c r="P1377" t="str">
        <f t="shared" si="89"/>
        <v/>
      </c>
      <c r="Q1377" t="str">
        <f>IF(OR($P1377="",$S1377=""),"",IFERROR($P1377-INDEX(Config!$E$15:$E$18,MATCH($S1377,Config!$B$15:$B$18,0)),""))</f>
        <v/>
      </c>
      <c r="R1377" t="str">
        <f t="shared" si="90"/>
        <v/>
      </c>
      <c r="S1377" s="6" t="str">
        <f>IF(OR($A1377="",$C1377=""),"",IFERROR(INDEX(Turno!$C$3:$V$32,MATCH($C1377,Turno!$B$3:$B$32,0),MATCH(DAY($A1377),Turno!$C$1:$V$1,0)),""))</f>
        <v/>
      </c>
      <c r="T1377" t="str">
        <f>IF(OR($E1377="",$S1377=""),"",IFERROR(MAX(0,ROUND((INDEX(Config!$D$15:$D$18,MATCH($S1377,Config!$B$15:$B$18,0))-$E1377)*1440,0)),""))</f>
        <v/>
      </c>
      <c r="U1377" s="13" t="str">
        <f>IF(OR($N1377="",$T1377=""),"",IFERROR(MAX(0,1-($N1377+$T1377+MAX(0,N($Q1377)))/ROUND((INDEX(Config!$D$15:$D$18,MATCH($S1377,Config!$B$15:$B$18,0))-INDEX(Config!$C$15:$C$18,MATCH($S1377,Config!$B$15:$B$18,0)))*1440,0)),""))</f>
        <v/>
      </c>
      <c r="V1377" s="5"/>
    </row>
    <row r="1378" spans="1:22" x14ac:dyDescent="0.25">
      <c r="A1378" s="11"/>
      <c r="B1378" s="5"/>
      <c r="C1378" s="6" t="str">
        <f>IFERROR(INDEX(Ejecutivos!$B$2:$B$100,MATCH(B1378,Ejecutivos!$A$2:$A$100,0)),"")</f>
        <v/>
      </c>
      <c r="D1378" s="12"/>
      <c r="E1378" s="12"/>
      <c r="F1378" s="12"/>
      <c r="G1378" s="12"/>
      <c r="H1378" s="5"/>
      <c r="I1378" s="5"/>
      <c r="J1378" s="5"/>
      <c r="K1378" s="5"/>
      <c r="L1378" s="18">
        <v>0</v>
      </c>
      <c r="M1378" t="str">
        <f t="shared" si="87"/>
        <v/>
      </c>
      <c r="N1378" t="str">
        <f>IF(OR($D1378="",$S1378=""),"",IFERROR(MAX(0,ROUND(($D1378-INDEX(Config!$C$15:$C$18,MATCH($S1378,Config!$B$15:$B$18,0)))*24*60,0)),""))</f>
        <v/>
      </c>
      <c r="O1378" t="str">
        <f t="shared" si="88"/>
        <v/>
      </c>
      <c r="P1378" t="str">
        <f t="shared" si="89"/>
        <v/>
      </c>
      <c r="Q1378" t="str">
        <f>IF(OR($P1378="",$S1378=""),"",IFERROR($P1378-INDEX(Config!$E$15:$E$18,MATCH($S1378,Config!$B$15:$B$18,0)),""))</f>
        <v/>
      </c>
      <c r="R1378" t="str">
        <f t="shared" si="90"/>
        <v/>
      </c>
      <c r="S1378" s="6" t="str">
        <f>IF(OR($A1378="",$C1378=""),"",IFERROR(INDEX(Turno!$C$3:$V$32,MATCH($C1378,Turno!$B$3:$B$32,0),MATCH(DAY($A1378),Turno!$C$1:$V$1,0)),""))</f>
        <v/>
      </c>
      <c r="T1378" t="str">
        <f>IF(OR($E1378="",$S1378=""),"",IFERROR(MAX(0,ROUND((INDEX(Config!$D$15:$D$18,MATCH($S1378,Config!$B$15:$B$18,0))-$E1378)*1440,0)),""))</f>
        <v/>
      </c>
      <c r="U1378" s="13" t="str">
        <f>IF(OR($N1378="",$T1378=""),"",IFERROR(MAX(0,1-($N1378+$T1378+MAX(0,N($Q1378)))/ROUND((INDEX(Config!$D$15:$D$18,MATCH($S1378,Config!$B$15:$B$18,0))-INDEX(Config!$C$15:$C$18,MATCH($S1378,Config!$B$15:$B$18,0)))*1440,0)),""))</f>
        <v/>
      </c>
      <c r="V1378" s="5"/>
    </row>
    <row r="1379" spans="1:22" x14ac:dyDescent="0.25">
      <c r="A1379" s="11"/>
      <c r="B1379" s="5"/>
      <c r="C1379" s="6" t="str">
        <f>IFERROR(INDEX(Ejecutivos!$B$2:$B$100,MATCH(B1379,Ejecutivos!$A$2:$A$100,0)),"")</f>
        <v/>
      </c>
      <c r="D1379" s="12"/>
      <c r="E1379" s="12"/>
      <c r="F1379" s="12"/>
      <c r="G1379" s="12"/>
      <c r="H1379" s="5"/>
      <c r="I1379" s="5"/>
      <c r="J1379" s="5"/>
      <c r="K1379" s="5"/>
      <c r="L1379" s="18">
        <v>0</v>
      </c>
      <c r="M1379" t="str">
        <f t="shared" si="87"/>
        <v/>
      </c>
      <c r="N1379" t="str">
        <f>IF(OR($D1379="",$S1379=""),"",IFERROR(MAX(0,ROUND(($D1379-INDEX(Config!$C$15:$C$18,MATCH($S1379,Config!$B$15:$B$18,0)))*24*60,0)),""))</f>
        <v/>
      </c>
      <c r="O1379" t="str">
        <f t="shared" si="88"/>
        <v/>
      </c>
      <c r="P1379" t="str">
        <f t="shared" si="89"/>
        <v/>
      </c>
      <c r="Q1379" t="str">
        <f>IF(OR($P1379="",$S1379=""),"",IFERROR($P1379-INDEX(Config!$E$15:$E$18,MATCH($S1379,Config!$B$15:$B$18,0)),""))</f>
        <v/>
      </c>
      <c r="R1379" t="str">
        <f t="shared" si="90"/>
        <v/>
      </c>
      <c r="S1379" s="6" t="str">
        <f>IF(OR($A1379="",$C1379=""),"",IFERROR(INDEX(Turno!$C$3:$V$32,MATCH($C1379,Turno!$B$3:$B$32,0),MATCH(DAY($A1379),Turno!$C$1:$V$1,0)),""))</f>
        <v/>
      </c>
      <c r="T1379" t="str">
        <f>IF(OR($E1379="",$S1379=""),"",IFERROR(MAX(0,ROUND((INDEX(Config!$D$15:$D$18,MATCH($S1379,Config!$B$15:$B$18,0))-$E1379)*1440,0)),""))</f>
        <v/>
      </c>
      <c r="U1379" s="13" t="str">
        <f>IF(OR($N1379="",$T1379=""),"",IFERROR(MAX(0,1-($N1379+$T1379+MAX(0,N($Q1379)))/ROUND((INDEX(Config!$D$15:$D$18,MATCH($S1379,Config!$B$15:$B$18,0))-INDEX(Config!$C$15:$C$18,MATCH($S1379,Config!$B$15:$B$18,0)))*1440,0)),""))</f>
        <v/>
      </c>
      <c r="V1379" s="5"/>
    </row>
    <row r="1380" spans="1:22" x14ac:dyDescent="0.25">
      <c r="A1380" s="11"/>
      <c r="B1380" s="5"/>
      <c r="C1380" s="6" t="str">
        <f>IFERROR(INDEX(Ejecutivos!$B$2:$B$100,MATCH(B1380,Ejecutivos!$A$2:$A$100,0)),"")</f>
        <v/>
      </c>
      <c r="D1380" s="12"/>
      <c r="E1380" s="12"/>
      <c r="F1380" s="12"/>
      <c r="G1380" s="12"/>
      <c r="H1380" s="5"/>
      <c r="I1380" s="5"/>
      <c r="J1380" s="5"/>
      <c r="K1380" s="5"/>
      <c r="L1380" s="18">
        <v>0</v>
      </c>
      <c r="M1380" t="str">
        <f t="shared" si="87"/>
        <v/>
      </c>
      <c r="N1380" t="str">
        <f>IF(OR($D1380="",$S1380=""),"",IFERROR(MAX(0,ROUND(($D1380-INDEX(Config!$C$15:$C$18,MATCH($S1380,Config!$B$15:$B$18,0)))*24*60,0)),""))</f>
        <v/>
      </c>
      <c r="O1380" t="str">
        <f t="shared" si="88"/>
        <v/>
      </c>
      <c r="P1380" t="str">
        <f t="shared" si="89"/>
        <v/>
      </c>
      <c r="Q1380" t="str">
        <f>IF(OR($P1380="",$S1380=""),"",IFERROR($P1380-INDEX(Config!$E$15:$E$18,MATCH($S1380,Config!$B$15:$B$18,0)),""))</f>
        <v/>
      </c>
      <c r="R1380" t="str">
        <f t="shared" si="90"/>
        <v/>
      </c>
      <c r="S1380" s="6" t="str">
        <f>IF(OR($A1380="",$C1380=""),"",IFERROR(INDEX(Turno!$C$3:$V$32,MATCH($C1380,Turno!$B$3:$B$32,0),MATCH(DAY($A1380),Turno!$C$1:$V$1,0)),""))</f>
        <v/>
      </c>
      <c r="T1380" t="str">
        <f>IF(OR($E1380="",$S1380=""),"",IFERROR(MAX(0,ROUND((INDEX(Config!$D$15:$D$18,MATCH($S1380,Config!$B$15:$B$18,0))-$E1380)*1440,0)),""))</f>
        <v/>
      </c>
      <c r="U1380" s="13" t="str">
        <f>IF(OR($N1380="",$T1380=""),"",IFERROR(MAX(0,1-($N1380+$T1380+MAX(0,N($Q1380)))/ROUND((INDEX(Config!$D$15:$D$18,MATCH($S1380,Config!$B$15:$B$18,0))-INDEX(Config!$C$15:$C$18,MATCH($S1380,Config!$B$15:$B$18,0)))*1440,0)),""))</f>
        <v/>
      </c>
      <c r="V1380" s="5"/>
    </row>
    <row r="1381" spans="1:22" x14ac:dyDescent="0.25">
      <c r="A1381" s="11"/>
      <c r="B1381" s="5"/>
      <c r="C1381" s="6" t="str">
        <f>IFERROR(INDEX(Ejecutivos!$B$2:$B$100,MATCH(B1381,Ejecutivos!$A$2:$A$100,0)),"")</f>
        <v/>
      </c>
      <c r="D1381" s="12"/>
      <c r="E1381" s="12"/>
      <c r="F1381" s="12"/>
      <c r="G1381" s="12"/>
      <c r="H1381" s="5"/>
      <c r="I1381" s="5"/>
      <c r="J1381" s="5"/>
      <c r="K1381" s="5"/>
      <c r="L1381" s="18">
        <v>0</v>
      </c>
      <c r="M1381" t="str">
        <f t="shared" si="87"/>
        <v/>
      </c>
      <c r="N1381" t="str">
        <f>IF(OR($D1381="",$S1381=""),"",IFERROR(MAX(0,ROUND(($D1381-INDEX(Config!$C$15:$C$18,MATCH($S1381,Config!$B$15:$B$18,0)))*24*60,0)),""))</f>
        <v/>
      </c>
      <c r="O1381" t="str">
        <f t="shared" si="88"/>
        <v/>
      </c>
      <c r="P1381" t="str">
        <f t="shared" si="89"/>
        <v/>
      </c>
      <c r="Q1381" t="str">
        <f>IF(OR($P1381="",$S1381=""),"",IFERROR($P1381-INDEX(Config!$E$15:$E$18,MATCH($S1381,Config!$B$15:$B$18,0)),""))</f>
        <v/>
      </c>
      <c r="R1381" t="str">
        <f t="shared" si="90"/>
        <v/>
      </c>
      <c r="S1381" s="6" t="str">
        <f>IF(OR($A1381="",$C1381=""),"",IFERROR(INDEX(Turno!$C$3:$V$32,MATCH($C1381,Turno!$B$3:$B$32,0),MATCH(DAY($A1381),Turno!$C$1:$V$1,0)),""))</f>
        <v/>
      </c>
      <c r="T1381" t="str">
        <f>IF(OR($E1381="",$S1381=""),"",IFERROR(MAX(0,ROUND((INDEX(Config!$D$15:$D$18,MATCH($S1381,Config!$B$15:$B$18,0))-$E1381)*1440,0)),""))</f>
        <v/>
      </c>
      <c r="U1381" s="13" t="str">
        <f>IF(OR($N1381="",$T1381=""),"",IFERROR(MAX(0,1-($N1381+$T1381+MAX(0,N($Q1381)))/ROUND((INDEX(Config!$D$15:$D$18,MATCH($S1381,Config!$B$15:$B$18,0))-INDEX(Config!$C$15:$C$18,MATCH($S1381,Config!$B$15:$B$18,0)))*1440,0)),""))</f>
        <v/>
      </c>
      <c r="V1381" s="5"/>
    </row>
    <row r="1382" spans="1:22" x14ac:dyDescent="0.25">
      <c r="A1382" s="11"/>
      <c r="B1382" s="5"/>
      <c r="C1382" s="6" t="str">
        <f>IFERROR(INDEX(Ejecutivos!$B$2:$B$100,MATCH(B1382,Ejecutivos!$A$2:$A$100,0)),"")</f>
        <v/>
      </c>
      <c r="D1382" s="12"/>
      <c r="E1382" s="12"/>
      <c r="F1382" s="12"/>
      <c r="G1382" s="12"/>
      <c r="H1382" s="5"/>
      <c r="I1382" s="5"/>
      <c r="J1382" s="5"/>
      <c r="K1382" s="5"/>
      <c r="L1382" s="18">
        <v>0</v>
      </c>
      <c r="M1382" t="str">
        <f t="shared" si="87"/>
        <v/>
      </c>
      <c r="N1382" t="str">
        <f>IF(OR($D1382="",$S1382=""),"",IFERROR(MAX(0,ROUND(($D1382-INDEX(Config!$C$15:$C$18,MATCH($S1382,Config!$B$15:$B$18,0)))*24*60,0)),""))</f>
        <v/>
      </c>
      <c r="O1382" t="str">
        <f t="shared" si="88"/>
        <v/>
      </c>
      <c r="P1382" t="str">
        <f t="shared" si="89"/>
        <v/>
      </c>
      <c r="Q1382" t="str">
        <f>IF(OR($P1382="",$S1382=""),"",IFERROR($P1382-INDEX(Config!$E$15:$E$18,MATCH($S1382,Config!$B$15:$B$18,0)),""))</f>
        <v/>
      </c>
      <c r="R1382" t="str">
        <f t="shared" si="90"/>
        <v/>
      </c>
      <c r="S1382" s="6" t="str">
        <f>IF(OR($A1382="",$C1382=""),"",IFERROR(INDEX(Turno!$C$3:$V$32,MATCH($C1382,Turno!$B$3:$B$32,0),MATCH(DAY($A1382),Turno!$C$1:$V$1,0)),""))</f>
        <v/>
      </c>
      <c r="T1382" t="str">
        <f>IF(OR($E1382="",$S1382=""),"",IFERROR(MAX(0,ROUND((INDEX(Config!$D$15:$D$18,MATCH($S1382,Config!$B$15:$B$18,0))-$E1382)*1440,0)),""))</f>
        <v/>
      </c>
      <c r="U1382" s="13" t="str">
        <f>IF(OR($N1382="",$T1382=""),"",IFERROR(MAX(0,1-($N1382+$T1382+MAX(0,N($Q1382)))/ROUND((INDEX(Config!$D$15:$D$18,MATCH($S1382,Config!$B$15:$B$18,0))-INDEX(Config!$C$15:$C$18,MATCH($S1382,Config!$B$15:$B$18,0)))*1440,0)),""))</f>
        <v/>
      </c>
      <c r="V1382" s="5"/>
    </row>
    <row r="1383" spans="1:22" x14ac:dyDescent="0.25">
      <c r="A1383" s="11"/>
      <c r="B1383" s="5"/>
      <c r="C1383" s="6" t="str">
        <f>IFERROR(INDEX(Ejecutivos!$B$2:$B$100,MATCH(B1383,Ejecutivos!$A$2:$A$100,0)),"")</f>
        <v/>
      </c>
      <c r="D1383" s="12"/>
      <c r="E1383" s="12"/>
      <c r="F1383" s="12"/>
      <c r="G1383" s="12"/>
      <c r="H1383" s="5"/>
      <c r="I1383" s="5"/>
      <c r="J1383" s="5"/>
      <c r="K1383" s="5"/>
      <c r="L1383" s="18">
        <v>0</v>
      </c>
      <c r="M1383" t="str">
        <f t="shared" si="87"/>
        <v/>
      </c>
      <c r="N1383" t="str">
        <f>IF(OR($D1383="",$S1383=""),"",IFERROR(MAX(0,ROUND(($D1383-INDEX(Config!$C$15:$C$18,MATCH($S1383,Config!$B$15:$B$18,0)))*24*60,0)),""))</f>
        <v/>
      </c>
      <c r="O1383" t="str">
        <f t="shared" si="88"/>
        <v/>
      </c>
      <c r="P1383" t="str">
        <f t="shared" si="89"/>
        <v/>
      </c>
      <c r="Q1383" t="str">
        <f>IF(OR($P1383="",$S1383=""),"",IFERROR($P1383-INDEX(Config!$E$15:$E$18,MATCH($S1383,Config!$B$15:$B$18,0)),""))</f>
        <v/>
      </c>
      <c r="R1383" t="str">
        <f t="shared" si="90"/>
        <v/>
      </c>
      <c r="S1383" s="6" t="str">
        <f>IF(OR($A1383="",$C1383=""),"",IFERROR(INDEX(Turno!$C$3:$V$32,MATCH($C1383,Turno!$B$3:$B$32,0),MATCH(DAY($A1383),Turno!$C$1:$V$1,0)),""))</f>
        <v/>
      </c>
      <c r="T1383" t="str">
        <f>IF(OR($E1383="",$S1383=""),"",IFERROR(MAX(0,ROUND((INDEX(Config!$D$15:$D$18,MATCH($S1383,Config!$B$15:$B$18,0))-$E1383)*1440,0)),""))</f>
        <v/>
      </c>
      <c r="U1383" s="13" t="str">
        <f>IF(OR($N1383="",$T1383=""),"",IFERROR(MAX(0,1-($N1383+$T1383+MAX(0,N($Q1383)))/ROUND((INDEX(Config!$D$15:$D$18,MATCH($S1383,Config!$B$15:$B$18,0))-INDEX(Config!$C$15:$C$18,MATCH($S1383,Config!$B$15:$B$18,0)))*1440,0)),""))</f>
        <v/>
      </c>
      <c r="V1383" s="5"/>
    </row>
    <row r="1384" spans="1:22" x14ac:dyDescent="0.25">
      <c r="A1384" s="11"/>
      <c r="B1384" s="5"/>
      <c r="C1384" s="6" t="str">
        <f>IFERROR(INDEX(Ejecutivos!$B$2:$B$100,MATCH(B1384,Ejecutivos!$A$2:$A$100,0)),"")</f>
        <v/>
      </c>
      <c r="D1384" s="12"/>
      <c r="E1384" s="12"/>
      <c r="F1384" s="12"/>
      <c r="G1384" s="12"/>
      <c r="H1384" s="5"/>
      <c r="I1384" s="5"/>
      <c r="J1384" s="5"/>
      <c r="K1384" s="5"/>
      <c r="L1384" s="18">
        <v>0</v>
      </c>
      <c r="M1384" t="str">
        <f t="shared" si="87"/>
        <v/>
      </c>
      <c r="N1384" t="str">
        <f>IF(OR($D1384="",$S1384=""),"",IFERROR(MAX(0,ROUND(($D1384-INDEX(Config!$C$15:$C$18,MATCH($S1384,Config!$B$15:$B$18,0)))*24*60,0)),""))</f>
        <v/>
      </c>
      <c r="O1384" t="str">
        <f t="shared" si="88"/>
        <v/>
      </c>
      <c r="P1384" t="str">
        <f t="shared" si="89"/>
        <v/>
      </c>
      <c r="Q1384" t="str">
        <f>IF(OR($P1384="",$S1384=""),"",IFERROR($P1384-INDEX(Config!$E$15:$E$18,MATCH($S1384,Config!$B$15:$B$18,0)),""))</f>
        <v/>
      </c>
      <c r="R1384" t="str">
        <f t="shared" si="90"/>
        <v/>
      </c>
      <c r="S1384" s="6" t="str">
        <f>IF(OR($A1384="",$C1384=""),"",IFERROR(INDEX(Turno!$C$3:$V$32,MATCH($C1384,Turno!$B$3:$B$32,0),MATCH(DAY($A1384),Turno!$C$1:$V$1,0)),""))</f>
        <v/>
      </c>
      <c r="T1384" t="str">
        <f>IF(OR($E1384="",$S1384=""),"",IFERROR(MAX(0,ROUND((INDEX(Config!$D$15:$D$18,MATCH($S1384,Config!$B$15:$B$18,0))-$E1384)*1440,0)),""))</f>
        <v/>
      </c>
      <c r="U1384" s="13" t="str">
        <f>IF(OR($N1384="",$T1384=""),"",IFERROR(MAX(0,1-($N1384+$T1384+MAX(0,N($Q1384)))/ROUND((INDEX(Config!$D$15:$D$18,MATCH($S1384,Config!$B$15:$B$18,0))-INDEX(Config!$C$15:$C$18,MATCH($S1384,Config!$B$15:$B$18,0)))*1440,0)),""))</f>
        <v/>
      </c>
      <c r="V1384" s="5"/>
    </row>
    <row r="1385" spans="1:22" x14ac:dyDescent="0.25">
      <c r="A1385" s="11"/>
      <c r="B1385" s="5"/>
      <c r="C1385" s="6" t="str">
        <f>IFERROR(INDEX(Ejecutivos!$B$2:$B$100,MATCH(B1385,Ejecutivos!$A$2:$A$100,0)),"")</f>
        <v/>
      </c>
      <c r="D1385" s="12"/>
      <c r="E1385" s="12"/>
      <c r="F1385" s="12"/>
      <c r="G1385" s="12"/>
      <c r="H1385" s="5"/>
      <c r="I1385" s="5"/>
      <c r="J1385" s="5"/>
      <c r="K1385" s="5"/>
      <c r="L1385" s="18">
        <v>0</v>
      </c>
      <c r="M1385" t="str">
        <f t="shared" si="87"/>
        <v/>
      </c>
      <c r="N1385" t="str">
        <f>IF(OR($D1385="",$S1385=""),"",IFERROR(MAX(0,ROUND(($D1385-INDEX(Config!$C$15:$C$18,MATCH($S1385,Config!$B$15:$B$18,0)))*24*60,0)),""))</f>
        <v/>
      </c>
      <c r="O1385" t="str">
        <f t="shared" si="88"/>
        <v/>
      </c>
      <c r="P1385" t="str">
        <f t="shared" si="89"/>
        <v/>
      </c>
      <c r="Q1385" t="str">
        <f>IF(OR($P1385="",$S1385=""),"",IFERROR($P1385-INDEX(Config!$E$15:$E$18,MATCH($S1385,Config!$B$15:$B$18,0)),""))</f>
        <v/>
      </c>
      <c r="R1385" t="str">
        <f t="shared" si="90"/>
        <v/>
      </c>
      <c r="S1385" s="6" t="str">
        <f>IF(OR($A1385="",$C1385=""),"",IFERROR(INDEX(Turno!$C$3:$V$32,MATCH($C1385,Turno!$B$3:$B$32,0),MATCH(DAY($A1385),Turno!$C$1:$V$1,0)),""))</f>
        <v/>
      </c>
      <c r="T1385" t="str">
        <f>IF(OR($E1385="",$S1385=""),"",IFERROR(MAX(0,ROUND((INDEX(Config!$D$15:$D$18,MATCH($S1385,Config!$B$15:$B$18,0))-$E1385)*1440,0)),""))</f>
        <v/>
      </c>
      <c r="U1385" s="13" t="str">
        <f>IF(OR($N1385="",$T1385=""),"",IFERROR(MAX(0,1-($N1385+$T1385+MAX(0,N($Q1385)))/ROUND((INDEX(Config!$D$15:$D$18,MATCH($S1385,Config!$B$15:$B$18,0))-INDEX(Config!$C$15:$C$18,MATCH($S1385,Config!$B$15:$B$18,0)))*1440,0)),""))</f>
        <v/>
      </c>
      <c r="V1385" s="5"/>
    </row>
    <row r="1386" spans="1:22" x14ac:dyDescent="0.25">
      <c r="A1386" s="11"/>
      <c r="B1386" s="5"/>
      <c r="C1386" s="6" t="str">
        <f>IFERROR(INDEX(Ejecutivos!$B$2:$B$100,MATCH(B1386,Ejecutivos!$A$2:$A$100,0)),"")</f>
        <v/>
      </c>
      <c r="D1386" s="12"/>
      <c r="E1386" s="12"/>
      <c r="F1386" s="12"/>
      <c r="G1386" s="12"/>
      <c r="H1386" s="5"/>
      <c r="I1386" s="5"/>
      <c r="J1386" s="5"/>
      <c r="K1386" s="5"/>
      <c r="L1386" s="18">
        <v>0</v>
      </c>
      <c r="M1386" t="str">
        <f t="shared" si="87"/>
        <v/>
      </c>
      <c r="N1386" t="str">
        <f>IF(OR($D1386="",$S1386=""),"",IFERROR(MAX(0,ROUND(($D1386-INDEX(Config!$C$15:$C$18,MATCH($S1386,Config!$B$15:$B$18,0)))*24*60,0)),""))</f>
        <v/>
      </c>
      <c r="O1386" t="str">
        <f t="shared" si="88"/>
        <v/>
      </c>
      <c r="P1386" t="str">
        <f t="shared" si="89"/>
        <v/>
      </c>
      <c r="Q1386" t="str">
        <f>IF(OR($P1386="",$S1386=""),"",IFERROR($P1386-INDEX(Config!$E$15:$E$18,MATCH($S1386,Config!$B$15:$B$18,0)),""))</f>
        <v/>
      </c>
      <c r="R1386" t="str">
        <f t="shared" si="90"/>
        <v/>
      </c>
      <c r="S1386" s="6" t="str">
        <f>IF(OR($A1386="",$C1386=""),"",IFERROR(INDEX(Turno!$C$3:$V$32,MATCH($C1386,Turno!$B$3:$B$32,0),MATCH(DAY($A1386),Turno!$C$1:$V$1,0)),""))</f>
        <v/>
      </c>
      <c r="T1386" t="str">
        <f>IF(OR($E1386="",$S1386=""),"",IFERROR(MAX(0,ROUND((INDEX(Config!$D$15:$D$18,MATCH($S1386,Config!$B$15:$B$18,0))-$E1386)*1440,0)),""))</f>
        <v/>
      </c>
      <c r="U1386" s="13" t="str">
        <f>IF(OR($N1386="",$T1386=""),"",IFERROR(MAX(0,1-($N1386+$T1386+MAX(0,N($Q1386)))/ROUND((INDEX(Config!$D$15:$D$18,MATCH($S1386,Config!$B$15:$B$18,0))-INDEX(Config!$C$15:$C$18,MATCH($S1386,Config!$B$15:$B$18,0)))*1440,0)),""))</f>
        <v/>
      </c>
      <c r="V1386" s="5"/>
    </row>
    <row r="1387" spans="1:22" x14ac:dyDescent="0.25">
      <c r="A1387" s="11"/>
      <c r="B1387" s="5"/>
      <c r="C1387" s="6" t="str">
        <f>IFERROR(INDEX(Ejecutivos!$B$2:$B$100,MATCH(B1387,Ejecutivos!$A$2:$A$100,0)),"")</f>
        <v/>
      </c>
      <c r="D1387" s="12"/>
      <c r="E1387" s="12"/>
      <c r="F1387" s="12"/>
      <c r="G1387" s="12"/>
      <c r="H1387" s="5"/>
      <c r="I1387" s="5"/>
      <c r="J1387" s="5"/>
      <c r="K1387" s="5"/>
      <c r="L1387" s="18">
        <v>0</v>
      </c>
      <c r="M1387" t="str">
        <f t="shared" si="87"/>
        <v/>
      </c>
      <c r="N1387" t="str">
        <f>IF(OR($D1387="",$S1387=""),"",IFERROR(MAX(0,ROUND(($D1387-INDEX(Config!$C$15:$C$18,MATCH($S1387,Config!$B$15:$B$18,0)))*24*60,0)),""))</f>
        <v/>
      </c>
      <c r="O1387" t="str">
        <f t="shared" si="88"/>
        <v/>
      </c>
      <c r="P1387" t="str">
        <f t="shared" si="89"/>
        <v/>
      </c>
      <c r="Q1387" t="str">
        <f>IF(OR($P1387="",$S1387=""),"",IFERROR($P1387-INDEX(Config!$E$15:$E$18,MATCH($S1387,Config!$B$15:$B$18,0)),""))</f>
        <v/>
      </c>
      <c r="R1387" t="str">
        <f t="shared" si="90"/>
        <v/>
      </c>
      <c r="S1387" s="6" t="str">
        <f>IF(OR($A1387="",$C1387=""),"",IFERROR(INDEX(Turno!$C$3:$V$32,MATCH($C1387,Turno!$B$3:$B$32,0),MATCH(DAY($A1387),Turno!$C$1:$V$1,0)),""))</f>
        <v/>
      </c>
      <c r="T1387" t="str">
        <f>IF(OR($E1387="",$S1387=""),"",IFERROR(MAX(0,ROUND((INDEX(Config!$D$15:$D$18,MATCH($S1387,Config!$B$15:$B$18,0))-$E1387)*1440,0)),""))</f>
        <v/>
      </c>
      <c r="U1387" s="13" t="str">
        <f>IF(OR($N1387="",$T1387=""),"",IFERROR(MAX(0,1-($N1387+$T1387+MAX(0,N($Q1387)))/ROUND((INDEX(Config!$D$15:$D$18,MATCH($S1387,Config!$B$15:$B$18,0))-INDEX(Config!$C$15:$C$18,MATCH($S1387,Config!$B$15:$B$18,0)))*1440,0)),""))</f>
        <v/>
      </c>
      <c r="V1387" s="5"/>
    </row>
    <row r="1388" spans="1:22" x14ac:dyDescent="0.25">
      <c r="A1388" s="11"/>
      <c r="B1388" s="5"/>
      <c r="C1388" s="6" t="str">
        <f>IFERROR(INDEX(Ejecutivos!$B$2:$B$100,MATCH(B1388,Ejecutivos!$A$2:$A$100,0)),"")</f>
        <v/>
      </c>
      <c r="D1388" s="12"/>
      <c r="E1388" s="12"/>
      <c r="F1388" s="12"/>
      <c r="G1388" s="12"/>
      <c r="H1388" s="5"/>
      <c r="I1388" s="5"/>
      <c r="J1388" s="5"/>
      <c r="K1388" s="5"/>
      <c r="L1388" s="18">
        <v>0</v>
      </c>
      <c r="M1388" t="str">
        <f t="shared" si="87"/>
        <v/>
      </c>
      <c r="N1388" t="str">
        <f>IF(OR($D1388="",$S1388=""),"",IFERROR(MAX(0,ROUND(($D1388-INDEX(Config!$C$15:$C$18,MATCH($S1388,Config!$B$15:$B$18,0)))*24*60,0)),""))</f>
        <v/>
      </c>
      <c r="O1388" t="str">
        <f t="shared" si="88"/>
        <v/>
      </c>
      <c r="P1388" t="str">
        <f t="shared" si="89"/>
        <v/>
      </c>
      <c r="Q1388" t="str">
        <f>IF(OR($P1388="",$S1388=""),"",IFERROR($P1388-INDEX(Config!$E$15:$E$18,MATCH($S1388,Config!$B$15:$B$18,0)),""))</f>
        <v/>
      </c>
      <c r="R1388" t="str">
        <f t="shared" si="90"/>
        <v/>
      </c>
      <c r="S1388" s="6" t="str">
        <f>IF(OR($A1388="",$C1388=""),"",IFERROR(INDEX(Turno!$C$3:$V$32,MATCH($C1388,Turno!$B$3:$B$32,0),MATCH(DAY($A1388),Turno!$C$1:$V$1,0)),""))</f>
        <v/>
      </c>
      <c r="T1388" t="str">
        <f>IF(OR($E1388="",$S1388=""),"",IFERROR(MAX(0,ROUND((INDEX(Config!$D$15:$D$18,MATCH($S1388,Config!$B$15:$B$18,0))-$E1388)*1440,0)),""))</f>
        <v/>
      </c>
      <c r="U1388" s="13" t="str">
        <f>IF(OR($N1388="",$T1388=""),"",IFERROR(MAX(0,1-($N1388+$T1388+MAX(0,N($Q1388)))/ROUND((INDEX(Config!$D$15:$D$18,MATCH($S1388,Config!$B$15:$B$18,0))-INDEX(Config!$C$15:$C$18,MATCH($S1388,Config!$B$15:$B$18,0)))*1440,0)),""))</f>
        <v/>
      </c>
      <c r="V1388" s="5"/>
    </row>
    <row r="1389" spans="1:22" x14ac:dyDescent="0.25">
      <c r="A1389" s="11"/>
      <c r="B1389" s="5"/>
      <c r="C1389" s="6" t="str">
        <f>IFERROR(INDEX(Ejecutivos!$B$2:$B$100,MATCH(B1389,Ejecutivos!$A$2:$A$100,0)),"")</f>
        <v/>
      </c>
      <c r="D1389" s="12"/>
      <c r="E1389" s="12"/>
      <c r="F1389" s="12"/>
      <c r="G1389" s="12"/>
      <c r="H1389" s="5"/>
      <c r="I1389" s="5"/>
      <c r="J1389" s="5"/>
      <c r="K1389" s="5"/>
      <c r="L1389" s="18">
        <v>0</v>
      </c>
      <c r="M1389" t="str">
        <f t="shared" si="87"/>
        <v/>
      </c>
      <c r="N1389" t="str">
        <f>IF(OR($D1389="",$S1389=""),"",IFERROR(MAX(0,ROUND(($D1389-INDEX(Config!$C$15:$C$18,MATCH($S1389,Config!$B$15:$B$18,0)))*24*60,0)),""))</f>
        <v/>
      </c>
      <c r="O1389" t="str">
        <f t="shared" si="88"/>
        <v/>
      </c>
      <c r="P1389" t="str">
        <f t="shared" si="89"/>
        <v/>
      </c>
      <c r="Q1389" t="str">
        <f>IF(OR($P1389="",$S1389=""),"",IFERROR($P1389-INDEX(Config!$E$15:$E$18,MATCH($S1389,Config!$B$15:$B$18,0)),""))</f>
        <v/>
      </c>
      <c r="R1389" t="str">
        <f t="shared" si="90"/>
        <v/>
      </c>
      <c r="S1389" s="6" t="str">
        <f>IF(OR($A1389="",$C1389=""),"",IFERROR(INDEX(Turno!$C$3:$V$32,MATCH($C1389,Turno!$B$3:$B$32,0),MATCH(DAY($A1389),Turno!$C$1:$V$1,0)),""))</f>
        <v/>
      </c>
      <c r="T1389" t="str">
        <f>IF(OR($E1389="",$S1389=""),"",IFERROR(MAX(0,ROUND((INDEX(Config!$D$15:$D$18,MATCH($S1389,Config!$B$15:$B$18,0))-$E1389)*1440,0)),""))</f>
        <v/>
      </c>
      <c r="U1389" s="13" t="str">
        <f>IF(OR($N1389="",$T1389=""),"",IFERROR(MAX(0,1-($N1389+$T1389+MAX(0,N($Q1389)))/ROUND((INDEX(Config!$D$15:$D$18,MATCH($S1389,Config!$B$15:$B$18,0))-INDEX(Config!$C$15:$C$18,MATCH($S1389,Config!$B$15:$B$18,0)))*1440,0)),""))</f>
        <v/>
      </c>
      <c r="V1389" s="5"/>
    </row>
    <row r="1390" spans="1:22" x14ac:dyDescent="0.25">
      <c r="A1390" s="11"/>
      <c r="B1390" s="5"/>
      <c r="C1390" s="6" t="str">
        <f>IFERROR(INDEX(Ejecutivos!$B$2:$B$100,MATCH(B1390,Ejecutivos!$A$2:$A$100,0)),"")</f>
        <v/>
      </c>
      <c r="D1390" s="12"/>
      <c r="E1390" s="12"/>
      <c r="F1390" s="12"/>
      <c r="G1390" s="12"/>
      <c r="H1390" s="5"/>
      <c r="I1390" s="5"/>
      <c r="J1390" s="5"/>
      <c r="K1390" s="5"/>
      <c r="L1390" s="18">
        <v>0</v>
      </c>
      <c r="M1390" t="str">
        <f t="shared" si="87"/>
        <v/>
      </c>
      <c r="N1390" t="str">
        <f>IF(OR($D1390="",$S1390=""),"",IFERROR(MAX(0,ROUND(($D1390-INDEX(Config!$C$15:$C$18,MATCH($S1390,Config!$B$15:$B$18,0)))*24*60,0)),""))</f>
        <v/>
      </c>
      <c r="O1390" t="str">
        <f t="shared" si="88"/>
        <v/>
      </c>
      <c r="P1390" t="str">
        <f t="shared" si="89"/>
        <v/>
      </c>
      <c r="Q1390" t="str">
        <f>IF(OR($P1390="",$S1390=""),"",IFERROR($P1390-INDEX(Config!$E$15:$E$18,MATCH($S1390,Config!$B$15:$B$18,0)),""))</f>
        <v/>
      </c>
      <c r="R1390" t="str">
        <f t="shared" si="90"/>
        <v/>
      </c>
      <c r="S1390" s="6" t="str">
        <f>IF(OR($A1390="",$C1390=""),"",IFERROR(INDEX(Turno!$C$3:$V$32,MATCH($C1390,Turno!$B$3:$B$32,0),MATCH(DAY($A1390),Turno!$C$1:$V$1,0)),""))</f>
        <v/>
      </c>
      <c r="T1390" t="str">
        <f>IF(OR($E1390="",$S1390=""),"",IFERROR(MAX(0,ROUND((INDEX(Config!$D$15:$D$18,MATCH($S1390,Config!$B$15:$B$18,0))-$E1390)*1440,0)),""))</f>
        <v/>
      </c>
      <c r="U1390" s="13" t="str">
        <f>IF(OR($N1390="",$T1390=""),"",IFERROR(MAX(0,1-($N1390+$T1390+MAX(0,N($Q1390)))/ROUND((INDEX(Config!$D$15:$D$18,MATCH($S1390,Config!$B$15:$B$18,0))-INDEX(Config!$C$15:$C$18,MATCH($S1390,Config!$B$15:$B$18,0)))*1440,0)),""))</f>
        <v/>
      </c>
      <c r="V1390" s="5"/>
    </row>
    <row r="1391" spans="1:22" x14ac:dyDescent="0.25">
      <c r="A1391" s="11"/>
      <c r="B1391" s="5"/>
      <c r="C1391" s="6" t="str">
        <f>IFERROR(INDEX(Ejecutivos!$B$2:$B$100,MATCH(B1391,Ejecutivos!$A$2:$A$100,0)),"")</f>
        <v/>
      </c>
      <c r="D1391" s="12"/>
      <c r="E1391" s="12"/>
      <c r="F1391" s="12"/>
      <c r="G1391" s="12"/>
      <c r="H1391" s="5"/>
      <c r="I1391" s="5"/>
      <c r="J1391" s="5"/>
      <c r="K1391" s="5"/>
      <c r="L1391" s="18">
        <v>0</v>
      </c>
      <c r="M1391" t="str">
        <f t="shared" si="87"/>
        <v/>
      </c>
      <c r="N1391" t="str">
        <f>IF(OR($D1391="",$S1391=""),"",IFERROR(MAX(0,ROUND(($D1391-INDEX(Config!$C$15:$C$18,MATCH($S1391,Config!$B$15:$B$18,0)))*24*60,0)),""))</f>
        <v/>
      </c>
      <c r="O1391" t="str">
        <f t="shared" si="88"/>
        <v/>
      </c>
      <c r="P1391" t="str">
        <f t="shared" si="89"/>
        <v/>
      </c>
      <c r="Q1391" t="str">
        <f>IF(OR($P1391="",$S1391=""),"",IFERROR($P1391-INDEX(Config!$E$15:$E$18,MATCH($S1391,Config!$B$15:$B$18,0)),""))</f>
        <v/>
      </c>
      <c r="R1391" t="str">
        <f t="shared" si="90"/>
        <v/>
      </c>
      <c r="S1391" s="6" t="str">
        <f>IF(OR($A1391="",$C1391=""),"",IFERROR(INDEX(Turno!$C$3:$V$32,MATCH($C1391,Turno!$B$3:$B$32,0),MATCH(DAY($A1391),Turno!$C$1:$V$1,0)),""))</f>
        <v/>
      </c>
      <c r="T1391" t="str">
        <f>IF(OR($E1391="",$S1391=""),"",IFERROR(MAX(0,ROUND((INDEX(Config!$D$15:$D$18,MATCH($S1391,Config!$B$15:$B$18,0))-$E1391)*1440,0)),""))</f>
        <v/>
      </c>
      <c r="U1391" s="13" t="str">
        <f>IF(OR($N1391="",$T1391=""),"",IFERROR(MAX(0,1-($N1391+$T1391+MAX(0,N($Q1391)))/ROUND((INDEX(Config!$D$15:$D$18,MATCH($S1391,Config!$B$15:$B$18,0))-INDEX(Config!$C$15:$C$18,MATCH($S1391,Config!$B$15:$B$18,0)))*1440,0)),""))</f>
        <v/>
      </c>
      <c r="V1391" s="5"/>
    </row>
    <row r="1392" spans="1:22" x14ac:dyDescent="0.25">
      <c r="A1392" s="11"/>
      <c r="B1392" s="5"/>
      <c r="C1392" s="6" t="str">
        <f>IFERROR(INDEX(Ejecutivos!$B$2:$B$100,MATCH(B1392,Ejecutivos!$A$2:$A$100,0)),"")</f>
        <v/>
      </c>
      <c r="D1392" s="12"/>
      <c r="E1392" s="12"/>
      <c r="F1392" s="12"/>
      <c r="G1392" s="12"/>
      <c r="H1392" s="5"/>
      <c r="I1392" s="5"/>
      <c r="J1392" s="5"/>
      <c r="K1392" s="5"/>
      <c r="L1392" s="18">
        <v>0</v>
      </c>
      <c r="M1392" t="str">
        <f t="shared" si="87"/>
        <v/>
      </c>
      <c r="N1392" t="str">
        <f>IF(OR($D1392="",$S1392=""),"",IFERROR(MAX(0,ROUND(($D1392-INDEX(Config!$C$15:$C$18,MATCH($S1392,Config!$B$15:$B$18,0)))*24*60,0)),""))</f>
        <v/>
      </c>
      <c r="O1392" t="str">
        <f t="shared" si="88"/>
        <v/>
      </c>
      <c r="P1392" t="str">
        <f t="shared" si="89"/>
        <v/>
      </c>
      <c r="Q1392" t="str">
        <f>IF(OR($P1392="",$S1392=""),"",IFERROR($P1392-INDEX(Config!$E$15:$E$18,MATCH($S1392,Config!$B$15:$B$18,0)),""))</f>
        <v/>
      </c>
      <c r="R1392" t="str">
        <f t="shared" si="90"/>
        <v/>
      </c>
      <c r="S1392" s="6" t="str">
        <f>IF(OR($A1392="",$C1392=""),"",IFERROR(INDEX(Turno!$C$3:$V$32,MATCH($C1392,Turno!$B$3:$B$32,0),MATCH(DAY($A1392),Turno!$C$1:$V$1,0)),""))</f>
        <v/>
      </c>
      <c r="T1392" t="str">
        <f>IF(OR($E1392="",$S1392=""),"",IFERROR(MAX(0,ROUND((INDEX(Config!$D$15:$D$18,MATCH($S1392,Config!$B$15:$B$18,0))-$E1392)*1440,0)),""))</f>
        <v/>
      </c>
      <c r="U1392" s="13" t="str">
        <f>IF(OR($N1392="",$T1392=""),"",IFERROR(MAX(0,1-($N1392+$T1392+MAX(0,N($Q1392)))/ROUND((INDEX(Config!$D$15:$D$18,MATCH($S1392,Config!$B$15:$B$18,0))-INDEX(Config!$C$15:$C$18,MATCH($S1392,Config!$B$15:$B$18,0)))*1440,0)),""))</f>
        <v/>
      </c>
      <c r="V1392" s="5"/>
    </row>
    <row r="1393" spans="1:22" x14ac:dyDescent="0.25">
      <c r="A1393" s="11"/>
      <c r="B1393" s="5"/>
      <c r="C1393" s="6" t="str">
        <f>IFERROR(INDEX(Ejecutivos!$B$2:$B$100,MATCH(B1393,Ejecutivos!$A$2:$A$100,0)),"")</f>
        <v/>
      </c>
      <c r="D1393" s="12"/>
      <c r="E1393" s="12"/>
      <c r="F1393" s="12"/>
      <c r="G1393" s="12"/>
      <c r="H1393" s="5"/>
      <c r="I1393" s="5"/>
      <c r="J1393" s="5"/>
      <c r="K1393" s="5"/>
      <c r="L1393" s="18">
        <v>0</v>
      </c>
      <c r="M1393" t="str">
        <f t="shared" si="87"/>
        <v/>
      </c>
      <c r="N1393" t="str">
        <f>IF(OR($D1393="",$S1393=""),"",IFERROR(MAX(0,ROUND(($D1393-INDEX(Config!$C$15:$C$18,MATCH($S1393,Config!$B$15:$B$18,0)))*24*60,0)),""))</f>
        <v/>
      </c>
      <c r="O1393" t="str">
        <f t="shared" si="88"/>
        <v/>
      </c>
      <c r="P1393" t="str">
        <f t="shared" si="89"/>
        <v/>
      </c>
      <c r="Q1393" t="str">
        <f>IF(OR($P1393="",$S1393=""),"",IFERROR($P1393-INDEX(Config!$E$15:$E$18,MATCH($S1393,Config!$B$15:$B$18,0)),""))</f>
        <v/>
      </c>
      <c r="R1393" t="str">
        <f t="shared" si="90"/>
        <v/>
      </c>
      <c r="S1393" s="6" t="str">
        <f>IF(OR($A1393="",$C1393=""),"",IFERROR(INDEX(Turno!$C$3:$V$32,MATCH($C1393,Turno!$B$3:$B$32,0),MATCH(DAY($A1393),Turno!$C$1:$V$1,0)),""))</f>
        <v/>
      </c>
      <c r="T1393" t="str">
        <f>IF(OR($E1393="",$S1393=""),"",IFERROR(MAX(0,ROUND((INDEX(Config!$D$15:$D$18,MATCH($S1393,Config!$B$15:$B$18,0))-$E1393)*1440,0)),""))</f>
        <v/>
      </c>
      <c r="U1393" s="13" t="str">
        <f>IF(OR($N1393="",$T1393=""),"",IFERROR(MAX(0,1-($N1393+$T1393+MAX(0,N($Q1393)))/ROUND((INDEX(Config!$D$15:$D$18,MATCH($S1393,Config!$B$15:$B$18,0))-INDEX(Config!$C$15:$C$18,MATCH($S1393,Config!$B$15:$B$18,0)))*1440,0)),""))</f>
        <v/>
      </c>
      <c r="V1393" s="5"/>
    </row>
    <row r="1394" spans="1:22" x14ac:dyDescent="0.25">
      <c r="A1394" s="11"/>
      <c r="B1394" s="5"/>
      <c r="C1394" s="6" t="str">
        <f>IFERROR(INDEX(Ejecutivos!$B$2:$B$100,MATCH(B1394,Ejecutivos!$A$2:$A$100,0)),"")</f>
        <v/>
      </c>
      <c r="D1394" s="12"/>
      <c r="E1394" s="12"/>
      <c r="F1394" s="12"/>
      <c r="G1394" s="12"/>
      <c r="H1394" s="5"/>
      <c r="I1394" s="5"/>
      <c r="J1394" s="5"/>
      <c r="K1394" s="5"/>
      <c r="L1394" s="18">
        <v>0</v>
      </c>
      <c r="M1394" t="str">
        <f t="shared" si="87"/>
        <v/>
      </c>
      <c r="N1394" t="str">
        <f>IF(OR($D1394="",$S1394=""),"",IFERROR(MAX(0,ROUND(($D1394-INDEX(Config!$C$15:$C$18,MATCH($S1394,Config!$B$15:$B$18,0)))*24*60,0)),""))</f>
        <v/>
      </c>
      <c r="O1394" t="str">
        <f t="shared" si="88"/>
        <v/>
      </c>
      <c r="P1394" t="str">
        <f t="shared" si="89"/>
        <v/>
      </c>
      <c r="Q1394" t="str">
        <f>IF(OR($P1394="",$S1394=""),"",IFERROR($P1394-INDEX(Config!$E$15:$E$18,MATCH($S1394,Config!$B$15:$B$18,0)),""))</f>
        <v/>
      </c>
      <c r="R1394" t="str">
        <f t="shared" si="90"/>
        <v/>
      </c>
      <c r="S1394" s="6" t="str">
        <f>IF(OR($A1394="",$C1394=""),"",IFERROR(INDEX(Turno!$C$3:$V$32,MATCH($C1394,Turno!$B$3:$B$32,0),MATCH(DAY($A1394),Turno!$C$1:$V$1,0)),""))</f>
        <v/>
      </c>
      <c r="T1394" t="str">
        <f>IF(OR($E1394="",$S1394=""),"",IFERROR(MAX(0,ROUND((INDEX(Config!$D$15:$D$18,MATCH($S1394,Config!$B$15:$B$18,0))-$E1394)*1440,0)),""))</f>
        <v/>
      </c>
      <c r="U1394" s="13" t="str">
        <f>IF(OR($N1394="",$T1394=""),"",IFERROR(MAX(0,1-($N1394+$T1394+MAX(0,N($Q1394)))/ROUND((INDEX(Config!$D$15:$D$18,MATCH($S1394,Config!$B$15:$B$18,0))-INDEX(Config!$C$15:$C$18,MATCH($S1394,Config!$B$15:$B$18,0)))*1440,0)),""))</f>
        <v/>
      </c>
      <c r="V1394" s="5"/>
    </row>
    <row r="1395" spans="1:22" x14ac:dyDescent="0.25">
      <c r="A1395" s="11"/>
      <c r="B1395" s="5"/>
      <c r="C1395" s="6" t="str">
        <f>IFERROR(INDEX(Ejecutivos!$B$2:$B$100,MATCH(B1395,Ejecutivos!$A$2:$A$100,0)),"")</f>
        <v/>
      </c>
      <c r="D1395" s="12"/>
      <c r="E1395" s="12"/>
      <c r="F1395" s="12"/>
      <c r="G1395" s="12"/>
      <c r="H1395" s="5"/>
      <c r="I1395" s="5"/>
      <c r="J1395" s="5"/>
      <c r="K1395" s="5"/>
      <c r="L1395" s="18">
        <v>0</v>
      </c>
      <c r="M1395" t="str">
        <f t="shared" si="87"/>
        <v/>
      </c>
      <c r="N1395" t="str">
        <f>IF(OR($D1395="",$S1395=""),"",IFERROR(MAX(0,ROUND(($D1395-INDEX(Config!$C$15:$C$18,MATCH($S1395,Config!$B$15:$B$18,0)))*24*60,0)),""))</f>
        <v/>
      </c>
      <c r="O1395" t="str">
        <f t="shared" si="88"/>
        <v/>
      </c>
      <c r="P1395" t="str">
        <f t="shared" si="89"/>
        <v/>
      </c>
      <c r="Q1395" t="str">
        <f>IF(OR($P1395="",$S1395=""),"",IFERROR($P1395-INDEX(Config!$E$15:$E$18,MATCH($S1395,Config!$B$15:$B$18,0)),""))</f>
        <v/>
      </c>
      <c r="R1395" t="str">
        <f t="shared" si="90"/>
        <v/>
      </c>
      <c r="S1395" s="6" t="str">
        <f>IF(OR($A1395="",$C1395=""),"",IFERROR(INDEX(Turno!$C$3:$V$32,MATCH($C1395,Turno!$B$3:$B$32,0),MATCH(DAY($A1395),Turno!$C$1:$V$1,0)),""))</f>
        <v/>
      </c>
      <c r="T1395" t="str">
        <f>IF(OR($E1395="",$S1395=""),"",IFERROR(MAX(0,ROUND((INDEX(Config!$D$15:$D$18,MATCH($S1395,Config!$B$15:$B$18,0))-$E1395)*1440,0)),""))</f>
        <v/>
      </c>
      <c r="U1395" s="13" t="str">
        <f>IF(OR($N1395="",$T1395=""),"",IFERROR(MAX(0,1-($N1395+$T1395+MAX(0,N($Q1395)))/ROUND((INDEX(Config!$D$15:$D$18,MATCH($S1395,Config!$B$15:$B$18,0))-INDEX(Config!$C$15:$C$18,MATCH($S1395,Config!$B$15:$B$18,0)))*1440,0)),""))</f>
        <v/>
      </c>
      <c r="V1395" s="5"/>
    </row>
    <row r="1396" spans="1:22" x14ac:dyDescent="0.25">
      <c r="A1396" s="11"/>
      <c r="B1396" s="5"/>
      <c r="C1396" s="6" t="str">
        <f>IFERROR(INDEX(Ejecutivos!$B$2:$B$100,MATCH(B1396,Ejecutivos!$A$2:$A$100,0)),"")</f>
        <v/>
      </c>
      <c r="D1396" s="12"/>
      <c r="E1396" s="12"/>
      <c r="F1396" s="12"/>
      <c r="G1396" s="12"/>
      <c r="H1396" s="5"/>
      <c r="I1396" s="5"/>
      <c r="J1396" s="5"/>
      <c r="K1396" s="5"/>
      <c r="L1396" s="18">
        <v>0</v>
      </c>
      <c r="M1396" t="str">
        <f t="shared" si="87"/>
        <v/>
      </c>
      <c r="N1396" t="str">
        <f>IF(OR($D1396="",$S1396=""),"",IFERROR(MAX(0,ROUND(($D1396-INDEX(Config!$C$15:$C$18,MATCH($S1396,Config!$B$15:$B$18,0)))*24*60,0)),""))</f>
        <v/>
      </c>
      <c r="O1396" t="str">
        <f t="shared" si="88"/>
        <v/>
      </c>
      <c r="P1396" t="str">
        <f t="shared" si="89"/>
        <v/>
      </c>
      <c r="Q1396" t="str">
        <f>IF(OR($P1396="",$S1396=""),"",IFERROR($P1396-INDEX(Config!$E$15:$E$18,MATCH($S1396,Config!$B$15:$B$18,0)),""))</f>
        <v/>
      </c>
      <c r="R1396" t="str">
        <f t="shared" si="90"/>
        <v/>
      </c>
      <c r="S1396" s="6" t="str">
        <f>IF(OR($A1396="",$C1396=""),"",IFERROR(INDEX(Turno!$C$3:$V$32,MATCH($C1396,Turno!$B$3:$B$32,0),MATCH(DAY($A1396),Turno!$C$1:$V$1,0)),""))</f>
        <v/>
      </c>
      <c r="T1396" t="str">
        <f>IF(OR($E1396="",$S1396=""),"",IFERROR(MAX(0,ROUND((INDEX(Config!$D$15:$D$18,MATCH($S1396,Config!$B$15:$B$18,0))-$E1396)*1440,0)),""))</f>
        <v/>
      </c>
      <c r="U1396" s="13" t="str">
        <f>IF(OR($N1396="",$T1396=""),"",IFERROR(MAX(0,1-($N1396+$T1396+MAX(0,N($Q1396)))/ROUND((INDEX(Config!$D$15:$D$18,MATCH($S1396,Config!$B$15:$B$18,0))-INDEX(Config!$C$15:$C$18,MATCH($S1396,Config!$B$15:$B$18,0)))*1440,0)),""))</f>
        <v/>
      </c>
      <c r="V1396" s="5"/>
    </row>
    <row r="1397" spans="1:22" x14ac:dyDescent="0.25">
      <c r="A1397" s="11"/>
      <c r="B1397" s="5"/>
      <c r="C1397" s="6" t="str">
        <f>IFERROR(INDEX(Ejecutivos!$B$2:$B$100,MATCH(B1397,Ejecutivos!$A$2:$A$100,0)),"")</f>
        <v/>
      </c>
      <c r="D1397" s="12"/>
      <c r="E1397" s="12"/>
      <c r="F1397" s="12"/>
      <c r="G1397" s="12"/>
      <c r="H1397" s="5"/>
      <c r="I1397" s="5"/>
      <c r="J1397" s="5"/>
      <c r="K1397" s="5"/>
      <c r="L1397" s="18">
        <v>0</v>
      </c>
      <c r="M1397" t="str">
        <f t="shared" ref="M1397:M1460" si="91">IF(OR(D1397="",E1397=""),"",ROUND(((E1397-D1397)*24)-((G1397-F1397)*24)-((H1397+I1397)/60),2))</f>
        <v/>
      </c>
      <c r="N1397" t="str">
        <f>IF(OR($D1397="",$S1397=""),"",IFERROR(MAX(0,ROUND(($D1397-INDEX(Config!$C$15:$C$18,MATCH($S1397,Config!$B$15:$B$18,0)))*24*60,0)),""))</f>
        <v/>
      </c>
      <c r="O1397" t="str">
        <f t="shared" ref="O1397:O1460" si="92">IF(OR(F1397="",G1397=""),"",ROUND((G1397-F1397)*24*60,0))</f>
        <v/>
      </c>
      <c r="P1397" t="str">
        <f t="shared" ref="P1397:P1460" si="93">IF(O1397="","",O1397+H1397+I1397)</f>
        <v/>
      </c>
      <c r="Q1397" t="str">
        <f>IF(OR($P1397="",$S1397=""),"",IFERROR($P1397-INDEX(Config!$E$15:$E$18,MATCH($S1397,Config!$B$15:$B$18,0)),""))</f>
        <v/>
      </c>
      <c r="R1397" t="str">
        <f t="shared" ref="R1397:R1460" si="94">IF($A1397="","",IF($D1397="","Ausente",IF($N1397="","",IF($N1397&gt;0,"Atrasado","Puntual"))))</f>
        <v/>
      </c>
      <c r="S1397" s="6" t="str">
        <f>IF(OR($A1397="",$C1397=""),"",IFERROR(INDEX(Turno!$C$3:$V$32,MATCH($C1397,Turno!$B$3:$B$32,0),MATCH(DAY($A1397),Turno!$C$1:$V$1,0)),""))</f>
        <v/>
      </c>
      <c r="T1397" t="str">
        <f>IF(OR($E1397="",$S1397=""),"",IFERROR(MAX(0,ROUND((INDEX(Config!$D$15:$D$18,MATCH($S1397,Config!$B$15:$B$18,0))-$E1397)*1440,0)),""))</f>
        <v/>
      </c>
      <c r="U1397" s="13" t="str">
        <f>IF(OR($N1397="",$T1397=""),"",IFERROR(MAX(0,1-($N1397+$T1397+MAX(0,N($Q1397)))/ROUND((INDEX(Config!$D$15:$D$18,MATCH($S1397,Config!$B$15:$B$18,0))-INDEX(Config!$C$15:$C$18,MATCH($S1397,Config!$B$15:$B$18,0)))*1440,0)),""))</f>
        <v/>
      </c>
      <c r="V1397" s="5"/>
    </row>
    <row r="1398" spans="1:22" x14ac:dyDescent="0.25">
      <c r="A1398" s="11"/>
      <c r="B1398" s="5"/>
      <c r="C1398" s="6" t="str">
        <f>IFERROR(INDEX(Ejecutivos!$B$2:$B$100,MATCH(B1398,Ejecutivos!$A$2:$A$100,0)),"")</f>
        <v/>
      </c>
      <c r="D1398" s="12"/>
      <c r="E1398" s="12"/>
      <c r="F1398" s="12"/>
      <c r="G1398" s="12"/>
      <c r="H1398" s="5"/>
      <c r="I1398" s="5"/>
      <c r="J1398" s="5"/>
      <c r="K1398" s="5"/>
      <c r="L1398" s="18">
        <v>0</v>
      </c>
      <c r="M1398" t="str">
        <f t="shared" si="91"/>
        <v/>
      </c>
      <c r="N1398" t="str">
        <f>IF(OR($D1398="",$S1398=""),"",IFERROR(MAX(0,ROUND(($D1398-INDEX(Config!$C$15:$C$18,MATCH($S1398,Config!$B$15:$B$18,0)))*24*60,0)),""))</f>
        <v/>
      </c>
      <c r="O1398" t="str">
        <f t="shared" si="92"/>
        <v/>
      </c>
      <c r="P1398" t="str">
        <f t="shared" si="93"/>
        <v/>
      </c>
      <c r="Q1398" t="str">
        <f>IF(OR($P1398="",$S1398=""),"",IFERROR($P1398-INDEX(Config!$E$15:$E$18,MATCH($S1398,Config!$B$15:$B$18,0)),""))</f>
        <v/>
      </c>
      <c r="R1398" t="str">
        <f t="shared" si="94"/>
        <v/>
      </c>
      <c r="S1398" s="6" t="str">
        <f>IF(OR($A1398="",$C1398=""),"",IFERROR(INDEX(Turno!$C$3:$V$32,MATCH($C1398,Turno!$B$3:$B$32,0),MATCH(DAY($A1398),Turno!$C$1:$V$1,0)),""))</f>
        <v/>
      </c>
      <c r="T1398" t="str">
        <f>IF(OR($E1398="",$S1398=""),"",IFERROR(MAX(0,ROUND((INDEX(Config!$D$15:$D$18,MATCH($S1398,Config!$B$15:$B$18,0))-$E1398)*1440,0)),""))</f>
        <v/>
      </c>
      <c r="U1398" s="13" t="str">
        <f>IF(OR($N1398="",$T1398=""),"",IFERROR(MAX(0,1-($N1398+$T1398+MAX(0,N($Q1398)))/ROUND((INDEX(Config!$D$15:$D$18,MATCH($S1398,Config!$B$15:$B$18,0))-INDEX(Config!$C$15:$C$18,MATCH($S1398,Config!$B$15:$B$18,0)))*1440,0)),""))</f>
        <v/>
      </c>
      <c r="V1398" s="5"/>
    </row>
    <row r="1399" spans="1:22" x14ac:dyDescent="0.25">
      <c r="A1399" s="11"/>
      <c r="B1399" s="5"/>
      <c r="C1399" s="6" t="str">
        <f>IFERROR(INDEX(Ejecutivos!$B$2:$B$100,MATCH(B1399,Ejecutivos!$A$2:$A$100,0)),"")</f>
        <v/>
      </c>
      <c r="D1399" s="12"/>
      <c r="E1399" s="12"/>
      <c r="F1399" s="12"/>
      <c r="G1399" s="12"/>
      <c r="H1399" s="5"/>
      <c r="I1399" s="5"/>
      <c r="J1399" s="5"/>
      <c r="K1399" s="5"/>
      <c r="L1399" s="18">
        <v>0</v>
      </c>
      <c r="M1399" t="str">
        <f t="shared" si="91"/>
        <v/>
      </c>
      <c r="N1399" t="str">
        <f>IF(OR($D1399="",$S1399=""),"",IFERROR(MAX(0,ROUND(($D1399-INDEX(Config!$C$15:$C$18,MATCH($S1399,Config!$B$15:$B$18,0)))*24*60,0)),""))</f>
        <v/>
      </c>
      <c r="O1399" t="str">
        <f t="shared" si="92"/>
        <v/>
      </c>
      <c r="P1399" t="str">
        <f t="shared" si="93"/>
        <v/>
      </c>
      <c r="Q1399" t="str">
        <f>IF(OR($P1399="",$S1399=""),"",IFERROR($P1399-INDEX(Config!$E$15:$E$18,MATCH($S1399,Config!$B$15:$B$18,0)),""))</f>
        <v/>
      </c>
      <c r="R1399" t="str">
        <f t="shared" si="94"/>
        <v/>
      </c>
      <c r="S1399" s="6" t="str">
        <f>IF(OR($A1399="",$C1399=""),"",IFERROR(INDEX(Turno!$C$3:$V$32,MATCH($C1399,Turno!$B$3:$B$32,0),MATCH(DAY($A1399),Turno!$C$1:$V$1,0)),""))</f>
        <v/>
      </c>
      <c r="T1399" t="str">
        <f>IF(OR($E1399="",$S1399=""),"",IFERROR(MAX(0,ROUND((INDEX(Config!$D$15:$D$18,MATCH($S1399,Config!$B$15:$B$18,0))-$E1399)*1440,0)),""))</f>
        <v/>
      </c>
      <c r="U1399" s="13" t="str">
        <f>IF(OR($N1399="",$T1399=""),"",IFERROR(MAX(0,1-($N1399+$T1399+MAX(0,N($Q1399)))/ROUND((INDEX(Config!$D$15:$D$18,MATCH($S1399,Config!$B$15:$B$18,0))-INDEX(Config!$C$15:$C$18,MATCH($S1399,Config!$B$15:$B$18,0)))*1440,0)),""))</f>
        <v/>
      </c>
      <c r="V1399" s="5"/>
    </row>
    <row r="1400" spans="1:22" x14ac:dyDescent="0.25">
      <c r="A1400" s="11"/>
      <c r="B1400" s="5"/>
      <c r="C1400" s="6" t="str">
        <f>IFERROR(INDEX(Ejecutivos!$B$2:$B$100,MATCH(B1400,Ejecutivos!$A$2:$A$100,0)),"")</f>
        <v/>
      </c>
      <c r="D1400" s="12"/>
      <c r="E1400" s="12"/>
      <c r="F1400" s="12"/>
      <c r="G1400" s="12"/>
      <c r="H1400" s="5"/>
      <c r="I1400" s="5"/>
      <c r="J1400" s="5"/>
      <c r="K1400" s="5"/>
      <c r="L1400" s="18">
        <v>0</v>
      </c>
      <c r="M1400" t="str">
        <f t="shared" si="91"/>
        <v/>
      </c>
      <c r="N1400" t="str">
        <f>IF(OR($D1400="",$S1400=""),"",IFERROR(MAX(0,ROUND(($D1400-INDEX(Config!$C$15:$C$18,MATCH($S1400,Config!$B$15:$B$18,0)))*24*60,0)),""))</f>
        <v/>
      </c>
      <c r="O1400" t="str">
        <f t="shared" si="92"/>
        <v/>
      </c>
      <c r="P1400" t="str">
        <f t="shared" si="93"/>
        <v/>
      </c>
      <c r="Q1400" t="str">
        <f>IF(OR($P1400="",$S1400=""),"",IFERROR($P1400-INDEX(Config!$E$15:$E$18,MATCH($S1400,Config!$B$15:$B$18,0)),""))</f>
        <v/>
      </c>
      <c r="R1400" t="str">
        <f t="shared" si="94"/>
        <v/>
      </c>
      <c r="S1400" s="6" t="str">
        <f>IF(OR($A1400="",$C1400=""),"",IFERROR(INDEX(Turno!$C$3:$V$32,MATCH($C1400,Turno!$B$3:$B$32,0),MATCH(DAY($A1400),Turno!$C$1:$V$1,0)),""))</f>
        <v/>
      </c>
      <c r="T1400" t="str">
        <f>IF(OR($E1400="",$S1400=""),"",IFERROR(MAX(0,ROUND((INDEX(Config!$D$15:$D$18,MATCH($S1400,Config!$B$15:$B$18,0))-$E1400)*1440,0)),""))</f>
        <v/>
      </c>
      <c r="U1400" s="13" t="str">
        <f>IF(OR($N1400="",$T1400=""),"",IFERROR(MAX(0,1-($N1400+$T1400+MAX(0,N($Q1400)))/ROUND((INDEX(Config!$D$15:$D$18,MATCH($S1400,Config!$B$15:$B$18,0))-INDEX(Config!$C$15:$C$18,MATCH($S1400,Config!$B$15:$B$18,0)))*1440,0)),""))</f>
        <v/>
      </c>
      <c r="V1400" s="5"/>
    </row>
    <row r="1401" spans="1:22" x14ac:dyDescent="0.25">
      <c r="A1401" s="11"/>
      <c r="B1401" s="5"/>
      <c r="C1401" s="6" t="str">
        <f>IFERROR(INDEX(Ejecutivos!$B$2:$B$100,MATCH(B1401,Ejecutivos!$A$2:$A$100,0)),"")</f>
        <v/>
      </c>
      <c r="D1401" s="12"/>
      <c r="E1401" s="12"/>
      <c r="F1401" s="12"/>
      <c r="G1401" s="12"/>
      <c r="H1401" s="5"/>
      <c r="I1401" s="5"/>
      <c r="J1401" s="5"/>
      <c r="K1401" s="5"/>
      <c r="L1401" s="18">
        <v>0</v>
      </c>
      <c r="M1401" t="str">
        <f t="shared" si="91"/>
        <v/>
      </c>
      <c r="N1401" t="str">
        <f>IF(OR($D1401="",$S1401=""),"",IFERROR(MAX(0,ROUND(($D1401-INDEX(Config!$C$15:$C$18,MATCH($S1401,Config!$B$15:$B$18,0)))*24*60,0)),""))</f>
        <v/>
      </c>
      <c r="O1401" t="str">
        <f t="shared" si="92"/>
        <v/>
      </c>
      <c r="P1401" t="str">
        <f t="shared" si="93"/>
        <v/>
      </c>
      <c r="Q1401" t="str">
        <f>IF(OR($P1401="",$S1401=""),"",IFERROR($P1401-INDEX(Config!$E$15:$E$18,MATCH($S1401,Config!$B$15:$B$18,0)),""))</f>
        <v/>
      </c>
      <c r="R1401" t="str">
        <f t="shared" si="94"/>
        <v/>
      </c>
      <c r="S1401" s="6" t="str">
        <f>IF(OR($A1401="",$C1401=""),"",IFERROR(INDEX(Turno!$C$3:$V$32,MATCH($C1401,Turno!$B$3:$B$32,0),MATCH(DAY($A1401),Turno!$C$1:$V$1,0)),""))</f>
        <v/>
      </c>
      <c r="T1401" t="str">
        <f>IF(OR($E1401="",$S1401=""),"",IFERROR(MAX(0,ROUND((INDEX(Config!$D$15:$D$18,MATCH($S1401,Config!$B$15:$B$18,0))-$E1401)*1440,0)),""))</f>
        <v/>
      </c>
      <c r="U1401" s="13" t="str">
        <f>IF(OR($N1401="",$T1401=""),"",IFERROR(MAX(0,1-($N1401+$T1401+MAX(0,N($Q1401)))/ROUND((INDEX(Config!$D$15:$D$18,MATCH($S1401,Config!$B$15:$B$18,0))-INDEX(Config!$C$15:$C$18,MATCH($S1401,Config!$B$15:$B$18,0)))*1440,0)),""))</f>
        <v/>
      </c>
      <c r="V1401" s="5"/>
    </row>
    <row r="1402" spans="1:22" x14ac:dyDescent="0.25">
      <c r="A1402" s="11"/>
      <c r="B1402" s="5"/>
      <c r="C1402" s="6" t="str">
        <f>IFERROR(INDEX(Ejecutivos!$B$2:$B$100,MATCH(B1402,Ejecutivos!$A$2:$A$100,0)),"")</f>
        <v/>
      </c>
      <c r="D1402" s="12"/>
      <c r="E1402" s="12"/>
      <c r="F1402" s="12"/>
      <c r="G1402" s="12"/>
      <c r="H1402" s="5"/>
      <c r="I1402" s="5"/>
      <c r="J1402" s="5"/>
      <c r="K1402" s="5"/>
      <c r="L1402" s="18">
        <v>0</v>
      </c>
      <c r="M1402" t="str">
        <f t="shared" si="91"/>
        <v/>
      </c>
      <c r="N1402" t="str">
        <f>IF(OR($D1402="",$S1402=""),"",IFERROR(MAX(0,ROUND(($D1402-INDEX(Config!$C$15:$C$18,MATCH($S1402,Config!$B$15:$B$18,0)))*24*60,0)),""))</f>
        <v/>
      </c>
      <c r="O1402" t="str">
        <f t="shared" si="92"/>
        <v/>
      </c>
      <c r="P1402" t="str">
        <f t="shared" si="93"/>
        <v/>
      </c>
      <c r="Q1402" t="str">
        <f>IF(OR($P1402="",$S1402=""),"",IFERROR($P1402-INDEX(Config!$E$15:$E$18,MATCH($S1402,Config!$B$15:$B$18,0)),""))</f>
        <v/>
      </c>
      <c r="R1402" t="str">
        <f t="shared" si="94"/>
        <v/>
      </c>
      <c r="S1402" s="6" t="str">
        <f>IF(OR($A1402="",$C1402=""),"",IFERROR(INDEX(Turno!$C$3:$V$32,MATCH($C1402,Turno!$B$3:$B$32,0),MATCH(DAY($A1402),Turno!$C$1:$V$1,0)),""))</f>
        <v/>
      </c>
      <c r="T1402" t="str">
        <f>IF(OR($E1402="",$S1402=""),"",IFERROR(MAX(0,ROUND((INDEX(Config!$D$15:$D$18,MATCH($S1402,Config!$B$15:$B$18,0))-$E1402)*1440,0)),""))</f>
        <v/>
      </c>
      <c r="U1402" s="13" t="str">
        <f>IF(OR($N1402="",$T1402=""),"",IFERROR(MAX(0,1-($N1402+$T1402+MAX(0,N($Q1402)))/ROUND((INDEX(Config!$D$15:$D$18,MATCH($S1402,Config!$B$15:$B$18,0))-INDEX(Config!$C$15:$C$18,MATCH($S1402,Config!$B$15:$B$18,0)))*1440,0)),""))</f>
        <v/>
      </c>
      <c r="V1402" s="5"/>
    </row>
    <row r="1403" spans="1:22" x14ac:dyDescent="0.25">
      <c r="A1403" s="11"/>
      <c r="B1403" s="5"/>
      <c r="C1403" s="6" t="str">
        <f>IFERROR(INDEX(Ejecutivos!$B$2:$B$100,MATCH(B1403,Ejecutivos!$A$2:$A$100,0)),"")</f>
        <v/>
      </c>
      <c r="D1403" s="12"/>
      <c r="E1403" s="12"/>
      <c r="F1403" s="12"/>
      <c r="G1403" s="12"/>
      <c r="H1403" s="5"/>
      <c r="I1403" s="5"/>
      <c r="J1403" s="5"/>
      <c r="K1403" s="5"/>
      <c r="L1403" s="18">
        <v>0</v>
      </c>
      <c r="M1403" t="str">
        <f t="shared" si="91"/>
        <v/>
      </c>
      <c r="N1403" t="str">
        <f>IF(OR($D1403="",$S1403=""),"",IFERROR(MAX(0,ROUND(($D1403-INDEX(Config!$C$15:$C$18,MATCH($S1403,Config!$B$15:$B$18,0)))*24*60,0)),""))</f>
        <v/>
      </c>
      <c r="O1403" t="str">
        <f t="shared" si="92"/>
        <v/>
      </c>
      <c r="P1403" t="str">
        <f t="shared" si="93"/>
        <v/>
      </c>
      <c r="Q1403" t="str">
        <f>IF(OR($P1403="",$S1403=""),"",IFERROR($P1403-INDEX(Config!$E$15:$E$18,MATCH($S1403,Config!$B$15:$B$18,0)),""))</f>
        <v/>
      </c>
      <c r="R1403" t="str">
        <f t="shared" si="94"/>
        <v/>
      </c>
      <c r="S1403" s="6" t="str">
        <f>IF(OR($A1403="",$C1403=""),"",IFERROR(INDEX(Turno!$C$3:$V$32,MATCH($C1403,Turno!$B$3:$B$32,0),MATCH(DAY($A1403),Turno!$C$1:$V$1,0)),""))</f>
        <v/>
      </c>
      <c r="T1403" t="str">
        <f>IF(OR($E1403="",$S1403=""),"",IFERROR(MAX(0,ROUND((INDEX(Config!$D$15:$D$18,MATCH($S1403,Config!$B$15:$B$18,0))-$E1403)*1440,0)),""))</f>
        <v/>
      </c>
      <c r="U1403" s="13" t="str">
        <f>IF(OR($N1403="",$T1403=""),"",IFERROR(MAX(0,1-($N1403+$T1403+MAX(0,N($Q1403)))/ROUND((INDEX(Config!$D$15:$D$18,MATCH($S1403,Config!$B$15:$B$18,0))-INDEX(Config!$C$15:$C$18,MATCH($S1403,Config!$B$15:$B$18,0)))*1440,0)),""))</f>
        <v/>
      </c>
      <c r="V1403" s="5"/>
    </row>
    <row r="1404" spans="1:22" x14ac:dyDescent="0.25">
      <c r="A1404" s="11"/>
      <c r="B1404" s="5"/>
      <c r="C1404" s="6" t="str">
        <f>IFERROR(INDEX(Ejecutivos!$B$2:$B$100,MATCH(B1404,Ejecutivos!$A$2:$A$100,0)),"")</f>
        <v/>
      </c>
      <c r="D1404" s="12"/>
      <c r="E1404" s="12"/>
      <c r="F1404" s="12"/>
      <c r="G1404" s="12"/>
      <c r="H1404" s="5"/>
      <c r="I1404" s="5"/>
      <c r="J1404" s="5"/>
      <c r="K1404" s="5"/>
      <c r="L1404" s="18">
        <v>0</v>
      </c>
      <c r="M1404" t="str">
        <f t="shared" si="91"/>
        <v/>
      </c>
      <c r="N1404" t="str">
        <f>IF(OR($D1404="",$S1404=""),"",IFERROR(MAX(0,ROUND(($D1404-INDEX(Config!$C$15:$C$18,MATCH($S1404,Config!$B$15:$B$18,0)))*24*60,0)),""))</f>
        <v/>
      </c>
      <c r="O1404" t="str">
        <f t="shared" si="92"/>
        <v/>
      </c>
      <c r="P1404" t="str">
        <f t="shared" si="93"/>
        <v/>
      </c>
      <c r="Q1404" t="str">
        <f>IF(OR($P1404="",$S1404=""),"",IFERROR($P1404-INDEX(Config!$E$15:$E$18,MATCH($S1404,Config!$B$15:$B$18,0)),""))</f>
        <v/>
      </c>
      <c r="R1404" t="str">
        <f t="shared" si="94"/>
        <v/>
      </c>
      <c r="S1404" s="6" t="str">
        <f>IF(OR($A1404="",$C1404=""),"",IFERROR(INDEX(Turno!$C$3:$V$32,MATCH($C1404,Turno!$B$3:$B$32,0),MATCH(DAY($A1404),Turno!$C$1:$V$1,0)),""))</f>
        <v/>
      </c>
      <c r="T1404" t="str">
        <f>IF(OR($E1404="",$S1404=""),"",IFERROR(MAX(0,ROUND((INDEX(Config!$D$15:$D$18,MATCH($S1404,Config!$B$15:$B$18,0))-$E1404)*1440,0)),""))</f>
        <v/>
      </c>
      <c r="U1404" s="13" t="str">
        <f>IF(OR($N1404="",$T1404=""),"",IFERROR(MAX(0,1-($N1404+$T1404+MAX(0,N($Q1404)))/ROUND((INDEX(Config!$D$15:$D$18,MATCH($S1404,Config!$B$15:$B$18,0))-INDEX(Config!$C$15:$C$18,MATCH($S1404,Config!$B$15:$B$18,0)))*1440,0)),""))</f>
        <v/>
      </c>
      <c r="V1404" s="5"/>
    </row>
    <row r="1405" spans="1:22" x14ac:dyDescent="0.25">
      <c r="A1405" s="11"/>
      <c r="B1405" s="5"/>
      <c r="C1405" s="6" t="str">
        <f>IFERROR(INDEX(Ejecutivos!$B$2:$B$100,MATCH(B1405,Ejecutivos!$A$2:$A$100,0)),"")</f>
        <v/>
      </c>
      <c r="D1405" s="12"/>
      <c r="E1405" s="12"/>
      <c r="F1405" s="12"/>
      <c r="G1405" s="12"/>
      <c r="H1405" s="5"/>
      <c r="I1405" s="5"/>
      <c r="J1405" s="5"/>
      <c r="K1405" s="5"/>
      <c r="L1405" s="18">
        <v>0</v>
      </c>
      <c r="M1405" t="str">
        <f t="shared" si="91"/>
        <v/>
      </c>
      <c r="N1405" t="str">
        <f>IF(OR($D1405="",$S1405=""),"",IFERROR(MAX(0,ROUND(($D1405-INDEX(Config!$C$15:$C$18,MATCH($S1405,Config!$B$15:$B$18,0)))*24*60,0)),""))</f>
        <v/>
      </c>
      <c r="O1405" t="str">
        <f t="shared" si="92"/>
        <v/>
      </c>
      <c r="P1405" t="str">
        <f t="shared" si="93"/>
        <v/>
      </c>
      <c r="Q1405" t="str">
        <f>IF(OR($P1405="",$S1405=""),"",IFERROR($P1405-INDEX(Config!$E$15:$E$18,MATCH($S1405,Config!$B$15:$B$18,0)),""))</f>
        <v/>
      </c>
      <c r="R1405" t="str">
        <f t="shared" si="94"/>
        <v/>
      </c>
      <c r="S1405" s="6" t="str">
        <f>IF(OR($A1405="",$C1405=""),"",IFERROR(INDEX(Turno!$C$3:$V$32,MATCH($C1405,Turno!$B$3:$B$32,0),MATCH(DAY($A1405),Turno!$C$1:$V$1,0)),""))</f>
        <v/>
      </c>
      <c r="T1405" t="str">
        <f>IF(OR($E1405="",$S1405=""),"",IFERROR(MAX(0,ROUND((INDEX(Config!$D$15:$D$18,MATCH($S1405,Config!$B$15:$B$18,0))-$E1405)*1440,0)),""))</f>
        <v/>
      </c>
      <c r="U1405" s="13" t="str">
        <f>IF(OR($N1405="",$T1405=""),"",IFERROR(MAX(0,1-($N1405+$T1405+MAX(0,N($Q1405)))/ROUND((INDEX(Config!$D$15:$D$18,MATCH($S1405,Config!$B$15:$B$18,0))-INDEX(Config!$C$15:$C$18,MATCH($S1405,Config!$B$15:$B$18,0)))*1440,0)),""))</f>
        <v/>
      </c>
      <c r="V1405" s="5"/>
    </row>
    <row r="1406" spans="1:22" x14ac:dyDescent="0.25">
      <c r="A1406" s="11"/>
      <c r="B1406" s="5"/>
      <c r="C1406" s="6" t="str">
        <f>IFERROR(INDEX(Ejecutivos!$B$2:$B$100,MATCH(B1406,Ejecutivos!$A$2:$A$100,0)),"")</f>
        <v/>
      </c>
      <c r="D1406" s="12"/>
      <c r="E1406" s="12"/>
      <c r="F1406" s="12"/>
      <c r="G1406" s="12"/>
      <c r="H1406" s="5"/>
      <c r="I1406" s="5"/>
      <c r="J1406" s="5"/>
      <c r="K1406" s="5"/>
      <c r="L1406" s="18">
        <v>0</v>
      </c>
      <c r="M1406" t="str">
        <f t="shared" si="91"/>
        <v/>
      </c>
      <c r="N1406" t="str">
        <f>IF(OR($D1406="",$S1406=""),"",IFERROR(MAX(0,ROUND(($D1406-INDEX(Config!$C$15:$C$18,MATCH($S1406,Config!$B$15:$B$18,0)))*24*60,0)),""))</f>
        <v/>
      </c>
      <c r="O1406" t="str">
        <f t="shared" si="92"/>
        <v/>
      </c>
      <c r="P1406" t="str">
        <f t="shared" si="93"/>
        <v/>
      </c>
      <c r="Q1406" t="str">
        <f>IF(OR($P1406="",$S1406=""),"",IFERROR($P1406-INDEX(Config!$E$15:$E$18,MATCH($S1406,Config!$B$15:$B$18,0)),""))</f>
        <v/>
      </c>
      <c r="R1406" t="str">
        <f t="shared" si="94"/>
        <v/>
      </c>
      <c r="S1406" s="6" t="str">
        <f>IF(OR($A1406="",$C1406=""),"",IFERROR(INDEX(Turno!$C$3:$V$32,MATCH($C1406,Turno!$B$3:$B$32,0),MATCH(DAY($A1406),Turno!$C$1:$V$1,0)),""))</f>
        <v/>
      </c>
      <c r="T1406" t="str">
        <f>IF(OR($E1406="",$S1406=""),"",IFERROR(MAX(0,ROUND((INDEX(Config!$D$15:$D$18,MATCH($S1406,Config!$B$15:$B$18,0))-$E1406)*1440,0)),""))</f>
        <v/>
      </c>
      <c r="U1406" s="13" t="str">
        <f>IF(OR($N1406="",$T1406=""),"",IFERROR(MAX(0,1-($N1406+$T1406+MAX(0,N($Q1406)))/ROUND((INDEX(Config!$D$15:$D$18,MATCH($S1406,Config!$B$15:$B$18,0))-INDEX(Config!$C$15:$C$18,MATCH($S1406,Config!$B$15:$B$18,0)))*1440,0)),""))</f>
        <v/>
      </c>
      <c r="V1406" s="5"/>
    </row>
    <row r="1407" spans="1:22" x14ac:dyDescent="0.25">
      <c r="A1407" s="11"/>
      <c r="B1407" s="5"/>
      <c r="C1407" s="6" t="str">
        <f>IFERROR(INDEX(Ejecutivos!$B$2:$B$100,MATCH(B1407,Ejecutivos!$A$2:$A$100,0)),"")</f>
        <v/>
      </c>
      <c r="D1407" s="12"/>
      <c r="E1407" s="12"/>
      <c r="F1407" s="12"/>
      <c r="G1407" s="12"/>
      <c r="H1407" s="5"/>
      <c r="I1407" s="5"/>
      <c r="J1407" s="5"/>
      <c r="K1407" s="5"/>
      <c r="L1407" s="18">
        <v>0</v>
      </c>
      <c r="M1407" t="str">
        <f t="shared" si="91"/>
        <v/>
      </c>
      <c r="N1407" t="str">
        <f>IF(OR($D1407="",$S1407=""),"",IFERROR(MAX(0,ROUND(($D1407-INDEX(Config!$C$15:$C$18,MATCH($S1407,Config!$B$15:$B$18,0)))*24*60,0)),""))</f>
        <v/>
      </c>
      <c r="O1407" t="str">
        <f t="shared" si="92"/>
        <v/>
      </c>
      <c r="P1407" t="str">
        <f t="shared" si="93"/>
        <v/>
      </c>
      <c r="Q1407" t="str">
        <f>IF(OR($P1407="",$S1407=""),"",IFERROR($P1407-INDEX(Config!$E$15:$E$18,MATCH($S1407,Config!$B$15:$B$18,0)),""))</f>
        <v/>
      </c>
      <c r="R1407" t="str">
        <f t="shared" si="94"/>
        <v/>
      </c>
      <c r="S1407" s="6" t="str">
        <f>IF(OR($A1407="",$C1407=""),"",IFERROR(INDEX(Turno!$C$3:$V$32,MATCH($C1407,Turno!$B$3:$B$32,0),MATCH(DAY($A1407),Turno!$C$1:$V$1,0)),""))</f>
        <v/>
      </c>
      <c r="T1407" t="str">
        <f>IF(OR($E1407="",$S1407=""),"",IFERROR(MAX(0,ROUND((INDEX(Config!$D$15:$D$18,MATCH($S1407,Config!$B$15:$B$18,0))-$E1407)*1440,0)),""))</f>
        <v/>
      </c>
      <c r="U1407" s="13" t="str">
        <f>IF(OR($N1407="",$T1407=""),"",IFERROR(MAX(0,1-($N1407+$T1407+MAX(0,N($Q1407)))/ROUND((INDEX(Config!$D$15:$D$18,MATCH($S1407,Config!$B$15:$B$18,0))-INDEX(Config!$C$15:$C$18,MATCH($S1407,Config!$B$15:$B$18,0)))*1440,0)),""))</f>
        <v/>
      </c>
      <c r="V1407" s="5"/>
    </row>
    <row r="1408" spans="1:22" x14ac:dyDescent="0.25">
      <c r="A1408" s="11"/>
      <c r="B1408" s="5"/>
      <c r="C1408" s="6" t="str">
        <f>IFERROR(INDEX(Ejecutivos!$B$2:$B$100,MATCH(B1408,Ejecutivos!$A$2:$A$100,0)),"")</f>
        <v/>
      </c>
      <c r="D1408" s="12"/>
      <c r="E1408" s="12"/>
      <c r="F1408" s="12"/>
      <c r="G1408" s="12"/>
      <c r="H1408" s="5"/>
      <c r="I1408" s="5"/>
      <c r="J1408" s="5"/>
      <c r="K1408" s="5"/>
      <c r="L1408" s="18">
        <v>0</v>
      </c>
      <c r="M1408" t="str">
        <f t="shared" si="91"/>
        <v/>
      </c>
      <c r="N1408" t="str">
        <f>IF(OR($D1408="",$S1408=""),"",IFERROR(MAX(0,ROUND(($D1408-INDEX(Config!$C$15:$C$18,MATCH($S1408,Config!$B$15:$B$18,0)))*24*60,0)),""))</f>
        <v/>
      </c>
      <c r="O1408" t="str">
        <f t="shared" si="92"/>
        <v/>
      </c>
      <c r="P1408" t="str">
        <f t="shared" si="93"/>
        <v/>
      </c>
      <c r="Q1408" t="str">
        <f>IF(OR($P1408="",$S1408=""),"",IFERROR($P1408-INDEX(Config!$E$15:$E$18,MATCH($S1408,Config!$B$15:$B$18,0)),""))</f>
        <v/>
      </c>
      <c r="R1408" t="str">
        <f t="shared" si="94"/>
        <v/>
      </c>
      <c r="S1408" s="6" t="str">
        <f>IF(OR($A1408="",$C1408=""),"",IFERROR(INDEX(Turno!$C$3:$V$32,MATCH($C1408,Turno!$B$3:$B$32,0),MATCH(DAY($A1408),Turno!$C$1:$V$1,0)),""))</f>
        <v/>
      </c>
      <c r="T1408" t="str">
        <f>IF(OR($E1408="",$S1408=""),"",IFERROR(MAX(0,ROUND((INDEX(Config!$D$15:$D$18,MATCH($S1408,Config!$B$15:$B$18,0))-$E1408)*1440,0)),""))</f>
        <v/>
      </c>
      <c r="U1408" s="13" t="str">
        <f>IF(OR($N1408="",$T1408=""),"",IFERROR(MAX(0,1-($N1408+$T1408+MAX(0,N($Q1408)))/ROUND((INDEX(Config!$D$15:$D$18,MATCH($S1408,Config!$B$15:$B$18,0))-INDEX(Config!$C$15:$C$18,MATCH($S1408,Config!$B$15:$B$18,0)))*1440,0)),""))</f>
        <v/>
      </c>
      <c r="V1408" s="5"/>
    </row>
    <row r="1409" spans="1:22" x14ac:dyDescent="0.25">
      <c r="A1409" s="11"/>
      <c r="B1409" s="5"/>
      <c r="C1409" s="6" t="str">
        <f>IFERROR(INDEX(Ejecutivos!$B$2:$B$100,MATCH(B1409,Ejecutivos!$A$2:$A$100,0)),"")</f>
        <v/>
      </c>
      <c r="D1409" s="12"/>
      <c r="E1409" s="12"/>
      <c r="F1409" s="12"/>
      <c r="G1409" s="12"/>
      <c r="H1409" s="5"/>
      <c r="I1409" s="5"/>
      <c r="J1409" s="5"/>
      <c r="K1409" s="5"/>
      <c r="L1409" s="18">
        <v>0</v>
      </c>
      <c r="M1409" t="str">
        <f t="shared" si="91"/>
        <v/>
      </c>
      <c r="N1409" t="str">
        <f>IF(OR($D1409="",$S1409=""),"",IFERROR(MAX(0,ROUND(($D1409-INDEX(Config!$C$15:$C$18,MATCH($S1409,Config!$B$15:$B$18,0)))*24*60,0)),""))</f>
        <v/>
      </c>
      <c r="O1409" t="str">
        <f t="shared" si="92"/>
        <v/>
      </c>
      <c r="P1409" t="str">
        <f t="shared" si="93"/>
        <v/>
      </c>
      <c r="Q1409" t="str">
        <f>IF(OR($P1409="",$S1409=""),"",IFERROR($P1409-INDEX(Config!$E$15:$E$18,MATCH($S1409,Config!$B$15:$B$18,0)),""))</f>
        <v/>
      </c>
      <c r="R1409" t="str">
        <f t="shared" si="94"/>
        <v/>
      </c>
      <c r="S1409" s="6" t="str">
        <f>IF(OR($A1409="",$C1409=""),"",IFERROR(INDEX(Turno!$C$3:$V$32,MATCH($C1409,Turno!$B$3:$B$32,0),MATCH(DAY($A1409),Turno!$C$1:$V$1,0)),""))</f>
        <v/>
      </c>
      <c r="T1409" t="str">
        <f>IF(OR($E1409="",$S1409=""),"",IFERROR(MAX(0,ROUND((INDEX(Config!$D$15:$D$18,MATCH($S1409,Config!$B$15:$B$18,0))-$E1409)*1440,0)),""))</f>
        <v/>
      </c>
      <c r="U1409" s="13" t="str">
        <f>IF(OR($N1409="",$T1409=""),"",IFERROR(MAX(0,1-($N1409+$T1409+MAX(0,N($Q1409)))/ROUND((INDEX(Config!$D$15:$D$18,MATCH($S1409,Config!$B$15:$B$18,0))-INDEX(Config!$C$15:$C$18,MATCH($S1409,Config!$B$15:$B$18,0)))*1440,0)),""))</f>
        <v/>
      </c>
      <c r="V1409" s="5"/>
    </row>
    <row r="1410" spans="1:22" x14ac:dyDescent="0.25">
      <c r="A1410" s="11"/>
      <c r="B1410" s="5"/>
      <c r="C1410" s="6" t="str">
        <f>IFERROR(INDEX(Ejecutivos!$B$2:$B$100,MATCH(B1410,Ejecutivos!$A$2:$A$100,0)),"")</f>
        <v/>
      </c>
      <c r="D1410" s="12"/>
      <c r="E1410" s="12"/>
      <c r="F1410" s="12"/>
      <c r="G1410" s="12"/>
      <c r="H1410" s="5"/>
      <c r="I1410" s="5"/>
      <c r="J1410" s="5"/>
      <c r="K1410" s="5"/>
      <c r="L1410" s="18">
        <v>0</v>
      </c>
      <c r="M1410" t="str">
        <f t="shared" si="91"/>
        <v/>
      </c>
      <c r="N1410" t="str">
        <f>IF(OR($D1410="",$S1410=""),"",IFERROR(MAX(0,ROUND(($D1410-INDEX(Config!$C$15:$C$18,MATCH($S1410,Config!$B$15:$B$18,0)))*24*60,0)),""))</f>
        <v/>
      </c>
      <c r="O1410" t="str">
        <f t="shared" si="92"/>
        <v/>
      </c>
      <c r="P1410" t="str">
        <f t="shared" si="93"/>
        <v/>
      </c>
      <c r="Q1410" t="str">
        <f>IF(OR($P1410="",$S1410=""),"",IFERROR($P1410-INDEX(Config!$E$15:$E$18,MATCH($S1410,Config!$B$15:$B$18,0)),""))</f>
        <v/>
      </c>
      <c r="R1410" t="str">
        <f t="shared" si="94"/>
        <v/>
      </c>
      <c r="S1410" s="6" t="str">
        <f>IF(OR($A1410="",$C1410=""),"",IFERROR(INDEX(Turno!$C$3:$V$32,MATCH($C1410,Turno!$B$3:$B$32,0),MATCH(DAY($A1410),Turno!$C$1:$V$1,0)),""))</f>
        <v/>
      </c>
      <c r="T1410" t="str">
        <f>IF(OR($E1410="",$S1410=""),"",IFERROR(MAX(0,ROUND((INDEX(Config!$D$15:$D$18,MATCH($S1410,Config!$B$15:$B$18,0))-$E1410)*1440,0)),""))</f>
        <v/>
      </c>
      <c r="U1410" s="13" t="str">
        <f>IF(OR($N1410="",$T1410=""),"",IFERROR(MAX(0,1-($N1410+$T1410+MAX(0,N($Q1410)))/ROUND((INDEX(Config!$D$15:$D$18,MATCH($S1410,Config!$B$15:$B$18,0))-INDEX(Config!$C$15:$C$18,MATCH($S1410,Config!$B$15:$B$18,0)))*1440,0)),""))</f>
        <v/>
      </c>
      <c r="V1410" s="5"/>
    </row>
    <row r="1411" spans="1:22" x14ac:dyDescent="0.25">
      <c r="A1411" s="11"/>
      <c r="B1411" s="5"/>
      <c r="C1411" s="6" t="str">
        <f>IFERROR(INDEX(Ejecutivos!$B$2:$B$100,MATCH(B1411,Ejecutivos!$A$2:$A$100,0)),"")</f>
        <v/>
      </c>
      <c r="D1411" s="12"/>
      <c r="E1411" s="12"/>
      <c r="F1411" s="12"/>
      <c r="G1411" s="12"/>
      <c r="H1411" s="5"/>
      <c r="I1411" s="5"/>
      <c r="J1411" s="5"/>
      <c r="K1411" s="5"/>
      <c r="L1411" s="18">
        <v>0</v>
      </c>
      <c r="M1411" t="str">
        <f t="shared" si="91"/>
        <v/>
      </c>
      <c r="N1411" t="str">
        <f>IF(OR($D1411="",$S1411=""),"",IFERROR(MAX(0,ROUND(($D1411-INDEX(Config!$C$15:$C$18,MATCH($S1411,Config!$B$15:$B$18,0)))*24*60,0)),""))</f>
        <v/>
      </c>
      <c r="O1411" t="str">
        <f t="shared" si="92"/>
        <v/>
      </c>
      <c r="P1411" t="str">
        <f t="shared" si="93"/>
        <v/>
      </c>
      <c r="Q1411" t="str">
        <f>IF(OR($P1411="",$S1411=""),"",IFERROR($P1411-INDEX(Config!$E$15:$E$18,MATCH($S1411,Config!$B$15:$B$18,0)),""))</f>
        <v/>
      </c>
      <c r="R1411" t="str">
        <f t="shared" si="94"/>
        <v/>
      </c>
      <c r="S1411" s="6" t="str">
        <f>IF(OR($A1411="",$C1411=""),"",IFERROR(INDEX(Turno!$C$3:$V$32,MATCH($C1411,Turno!$B$3:$B$32,0),MATCH(DAY($A1411),Turno!$C$1:$V$1,0)),""))</f>
        <v/>
      </c>
      <c r="T1411" t="str">
        <f>IF(OR($E1411="",$S1411=""),"",IFERROR(MAX(0,ROUND((INDEX(Config!$D$15:$D$18,MATCH($S1411,Config!$B$15:$B$18,0))-$E1411)*1440,0)),""))</f>
        <v/>
      </c>
      <c r="U1411" s="13" t="str">
        <f>IF(OR($N1411="",$T1411=""),"",IFERROR(MAX(0,1-($N1411+$T1411+MAX(0,N($Q1411)))/ROUND((INDEX(Config!$D$15:$D$18,MATCH($S1411,Config!$B$15:$B$18,0))-INDEX(Config!$C$15:$C$18,MATCH($S1411,Config!$B$15:$B$18,0)))*1440,0)),""))</f>
        <v/>
      </c>
      <c r="V1411" s="5"/>
    </row>
    <row r="1412" spans="1:22" x14ac:dyDescent="0.25">
      <c r="A1412" s="11"/>
      <c r="B1412" s="5"/>
      <c r="C1412" s="6" t="str">
        <f>IFERROR(INDEX(Ejecutivos!$B$2:$B$100,MATCH(B1412,Ejecutivos!$A$2:$A$100,0)),"")</f>
        <v/>
      </c>
      <c r="D1412" s="12"/>
      <c r="E1412" s="12"/>
      <c r="F1412" s="12"/>
      <c r="G1412" s="12"/>
      <c r="H1412" s="5"/>
      <c r="I1412" s="5"/>
      <c r="J1412" s="5"/>
      <c r="K1412" s="5"/>
      <c r="L1412" s="18">
        <v>0</v>
      </c>
      <c r="M1412" t="str">
        <f t="shared" si="91"/>
        <v/>
      </c>
      <c r="N1412" t="str">
        <f>IF(OR($D1412="",$S1412=""),"",IFERROR(MAX(0,ROUND(($D1412-INDEX(Config!$C$15:$C$18,MATCH($S1412,Config!$B$15:$B$18,0)))*24*60,0)),""))</f>
        <v/>
      </c>
      <c r="O1412" t="str">
        <f t="shared" si="92"/>
        <v/>
      </c>
      <c r="P1412" t="str">
        <f t="shared" si="93"/>
        <v/>
      </c>
      <c r="Q1412" t="str">
        <f>IF(OR($P1412="",$S1412=""),"",IFERROR($P1412-INDEX(Config!$E$15:$E$18,MATCH($S1412,Config!$B$15:$B$18,0)),""))</f>
        <v/>
      </c>
      <c r="R1412" t="str">
        <f t="shared" si="94"/>
        <v/>
      </c>
      <c r="S1412" s="6" t="str">
        <f>IF(OR($A1412="",$C1412=""),"",IFERROR(INDEX(Turno!$C$3:$V$32,MATCH($C1412,Turno!$B$3:$B$32,0),MATCH(DAY($A1412),Turno!$C$1:$V$1,0)),""))</f>
        <v/>
      </c>
      <c r="T1412" t="str">
        <f>IF(OR($E1412="",$S1412=""),"",IFERROR(MAX(0,ROUND((INDEX(Config!$D$15:$D$18,MATCH($S1412,Config!$B$15:$B$18,0))-$E1412)*1440,0)),""))</f>
        <v/>
      </c>
      <c r="U1412" s="13" t="str">
        <f>IF(OR($N1412="",$T1412=""),"",IFERROR(MAX(0,1-($N1412+$T1412+MAX(0,N($Q1412)))/ROUND((INDEX(Config!$D$15:$D$18,MATCH($S1412,Config!$B$15:$B$18,0))-INDEX(Config!$C$15:$C$18,MATCH($S1412,Config!$B$15:$B$18,0)))*1440,0)),""))</f>
        <v/>
      </c>
      <c r="V1412" s="5"/>
    </row>
    <row r="1413" spans="1:22" x14ac:dyDescent="0.25">
      <c r="A1413" s="11"/>
      <c r="B1413" s="5"/>
      <c r="C1413" s="6" t="str">
        <f>IFERROR(INDEX(Ejecutivos!$B$2:$B$100,MATCH(B1413,Ejecutivos!$A$2:$A$100,0)),"")</f>
        <v/>
      </c>
      <c r="D1413" s="12"/>
      <c r="E1413" s="12"/>
      <c r="F1413" s="12"/>
      <c r="G1413" s="12"/>
      <c r="H1413" s="5"/>
      <c r="I1413" s="5"/>
      <c r="J1413" s="5"/>
      <c r="K1413" s="5"/>
      <c r="L1413" s="18">
        <v>0</v>
      </c>
      <c r="M1413" t="str">
        <f t="shared" si="91"/>
        <v/>
      </c>
      <c r="N1413" t="str">
        <f>IF(OR($D1413="",$S1413=""),"",IFERROR(MAX(0,ROUND(($D1413-INDEX(Config!$C$15:$C$18,MATCH($S1413,Config!$B$15:$B$18,0)))*24*60,0)),""))</f>
        <v/>
      </c>
      <c r="O1413" t="str">
        <f t="shared" si="92"/>
        <v/>
      </c>
      <c r="P1413" t="str">
        <f t="shared" si="93"/>
        <v/>
      </c>
      <c r="Q1413" t="str">
        <f>IF(OR($P1413="",$S1413=""),"",IFERROR($P1413-INDEX(Config!$E$15:$E$18,MATCH($S1413,Config!$B$15:$B$18,0)),""))</f>
        <v/>
      </c>
      <c r="R1413" t="str">
        <f t="shared" si="94"/>
        <v/>
      </c>
      <c r="S1413" s="6" t="str">
        <f>IF(OR($A1413="",$C1413=""),"",IFERROR(INDEX(Turno!$C$3:$V$32,MATCH($C1413,Turno!$B$3:$B$32,0),MATCH(DAY($A1413),Turno!$C$1:$V$1,0)),""))</f>
        <v/>
      </c>
      <c r="T1413" t="str">
        <f>IF(OR($E1413="",$S1413=""),"",IFERROR(MAX(0,ROUND((INDEX(Config!$D$15:$D$18,MATCH($S1413,Config!$B$15:$B$18,0))-$E1413)*1440,0)),""))</f>
        <v/>
      </c>
      <c r="U1413" s="13" t="str">
        <f>IF(OR($N1413="",$T1413=""),"",IFERROR(MAX(0,1-($N1413+$T1413+MAX(0,N($Q1413)))/ROUND((INDEX(Config!$D$15:$D$18,MATCH($S1413,Config!$B$15:$B$18,0))-INDEX(Config!$C$15:$C$18,MATCH($S1413,Config!$B$15:$B$18,0)))*1440,0)),""))</f>
        <v/>
      </c>
      <c r="V1413" s="5"/>
    </row>
    <row r="1414" spans="1:22" x14ac:dyDescent="0.25">
      <c r="A1414" s="11"/>
      <c r="B1414" s="5"/>
      <c r="C1414" s="6" t="str">
        <f>IFERROR(INDEX(Ejecutivos!$B$2:$B$100,MATCH(B1414,Ejecutivos!$A$2:$A$100,0)),"")</f>
        <v/>
      </c>
      <c r="D1414" s="12"/>
      <c r="E1414" s="12"/>
      <c r="F1414" s="12"/>
      <c r="G1414" s="12"/>
      <c r="H1414" s="5"/>
      <c r="I1414" s="5"/>
      <c r="J1414" s="5"/>
      <c r="K1414" s="5"/>
      <c r="L1414" s="18">
        <v>0</v>
      </c>
      <c r="M1414" t="str">
        <f t="shared" si="91"/>
        <v/>
      </c>
      <c r="N1414" t="str">
        <f>IF(OR($D1414="",$S1414=""),"",IFERROR(MAX(0,ROUND(($D1414-INDEX(Config!$C$15:$C$18,MATCH($S1414,Config!$B$15:$B$18,0)))*24*60,0)),""))</f>
        <v/>
      </c>
      <c r="O1414" t="str">
        <f t="shared" si="92"/>
        <v/>
      </c>
      <c r="P1414" t="str">
        <f t="shared" si="93"/>
        <v/>
      </c>
      <c r="Q1414" t="str">
        <f>IF(OR($P1414="",$S1414=""),"",IFERROR($P1414-INDEX(Config!$E$15:$E$18,MATCH($S1414,Config!$B$15:$B$18,0)),""))</f>
        <v/>
      </c>
      <c r="R1414" t="str">
        <f t="shared" si="94"/>
        <v/>
      </c>
      <c r="S1414" s="6" t="str">
        <f>IF(OR($A1414="",$C1414=""),"",IFERROR(INDEX(Turno!$C$3:$V$32,MATCH($C1414,Turno!$B$3:$B$32,0),MATCH(DAY($A1414),Turno!$C$1:$V$1,0)),""))</f>
        <v/>
      </c>
      <c r="T1414" t="str">
        <f>IF(OR($E1414="",$S1414=""),"",IFERROR(MAX(0,ROUND((INDEX(Config!$D$15:$D$18,MATCH($S1414,Config!$B$15:$B$18,0))-$E1414)*1440,0)),""))</f>
        <v/>
      </c>
      <c r="U1414" s="13" t="str">
        <f>IF(OR($N1414="",$T1414=""),"",IFERROR(MAX(0,1-($N1414+$T1414+MAX(0,N($Q1414)))/ROUND((INDEX(Config!$D$15:$D$18,MATCH($S1414,Config!$B$15:$B$18,0))-INDEX(Config!$C$15:$C$18,MATCH($S1414,Config!$B$15:$B$18,0)))*1440,0)),""))</f>
        <v/>
      </c>
      <c r="V1414" s="5"/>
    </row>
    <row r="1415" spans="1:22" x14ac:dyDescent="0.25">
      <c r="A1415" s="11"/>
      <c r="B1415" s="5"/>
      <c r="C1415" s="6" t="str">
        <f>IFERROR(INDEX(Ejecutivos!$B$2:$B$100,MATCH(B1415,Ejecutivos!$A$2:$A$100,0)),"")</f>
        <v/>
      </c>
      <c r="D1415" s="12"/>
      <c r="E1415" s="12"/>
      <c r="F1415" s="12"/>
      <c r="G1415" s="12"/>
      <c r="H1415" s="5"/>
      <c r="I1415" s="5"/>
      <c r="J1415" s="5"/>
      <c r="K1415" s="5"/>
      <c r="L1415" s="18">
        <v>0</v>
      </c>
      <c r="M1415" t="str">
        <f t="shared" si="91"/>
        <v/>
      </c>
      <c r="N1415" t="str">
        <f>IF(OR($D1415="",$S1415=""),"",IFERROR(MAX(0,ROUND(($D1415-INDEX(Config!$C$15:$C$18,MATCH($S1415,Config!$B$15:$B$18,0)))*24*60,0)),""))</f>
        <v/>
      </c>
      <c r="O1415" t="str">
        <f t="shared" si="92"/>
        <v/>
      </c>
      <c r="P1415" t="str">
        <f t="shared" si="93"/>
        <v/>
      </c>
      <c r="Q1415" t="str">
        <f>IF(OR($P1415="",$S1415=""),"",IFERROR($P1415-INDEX(Config!$E$15:$E$18,MATCH($S1415,Config!$B$15:$B$18,0)),""))</f>
        <v/>
      </c>
      <c r="R1415" t="str">
        <f t="shared" si="94"/>
        <v/>
      </c>
      <c r="S1415" s="6" t="str">
        <f>IF(OR($A1415="",$C1415=""),"",IFERROR(INDEX(Turno!$C$3:$V$32,MATCH($C1415,Turno!$B$3:$B$32,0),MATCH(DAY($A1415),Turno!$C$1:$V$1,0)),""))</f>
        <v/>
      </c>
      <c r="T1415" t="str">
        <f>IF(OR($E1415="",$S1415=""),"",IFERROR(MAX(0,ROUND((INDEX(Config!$D$15:$D$18,MATCH($S1415,Config!$B$15:$B$18,0))-$E1415)*1440,0)),""))</f>
        <v/>
      </c>
      <c r="U1415" s="13" t="str">
        <f>IF(OR($N1415="",$T1415=""),"",IFERROR(MAX(0,1-($N1415+$T1415+MAX(0,N($Q1415)))/ROUND((INDEX(Config!$D$15:$D$18,MATCH($S1415,Config!$B$15:$B$18,0))-INDEX(Config!$C$15:$C$18,MATCH($S1415,Config!$B$15:$B$18,0)))*1440,0)),""))</f>
        <v/>
      </c>
      <c r="V1415" s="5"/>
    </row>
    <row r="1416" spans="1:22" x14ac:dyDescent="0.25">
      <c r="A1416" s="11"/>
      <c r="B1416" s="5"/>
      <c r="C1416" s="6" t="str">
        <f>IFERROR(INDEX(Ejecutivos!$B$2:$B$100,MATCH(B1416,Ejecutivos!$A$2:$A$100,0)),"")</f>
        <v/>
      </c>
      <c r="D1416" s="12"/>
      <c r="E1416" s="12"/>
      <c r="F1416" s="12"/>
      <c r="G1416" s="12"/>
      <c r="H1416" s="5"/>
      <c r="I1416" s="5"/>
      <c r="J1416" s="5"/>
      <c r="K1416" s="5"/>
      <c r="L1416" s="18">
        <v>0</v>
      </c>
      <c r="M1416" t="str">
        <f t="shared" si="91"/>
        <v/>
      </c>
      <c r="N1416" t="str">
        <f>IF(OR($D1416="",$S1416=""),"",IFERROR(MAX(0,ROUND(($D1416-INDEX(Config!$C$15:$C$18,MATCH($S1416,Config!$B$15:$B$18,0)))*24*60,0)),""))</f>
        <v/>
      </c>
      <c r="O1416" t="str">
        <f t="shared" si="92"/>
        <v/>
      </c>
      <c r="P1416" t="str">
        <f t="shared" si="93"/>
        <v/>
      </c>
      <c r="Q1416" t="str">
        <f>IF(OR($P1416="",$S1416=""),"",IFERROR($P1416-INDEX(Config!$E$15:$E$18,MATCH($S1416,Config!$B$15:$B$18,0)),""))</f>
        <v/>
      </c>
      <c r="R1416" t="str">
        <f t="shared" si="94"/>
        <v/>
      </c>
      <c r="S1416" s="6" t="str">
        <f>IF(OR($A1416="",$C1416=""),"",IFERROR(INDEX(Turno!$C$3:$V$32,MATCH($C1416,Turno!$B$3:$B$32,0),MATCH(DAY($A1416),Turno!$C$1:$V$1,0)),""))</f>
        <v/>
      </c>
      <c r="T1416" t="str">
        <f>IF(OR($E1416="",$S1416=""),"",IFERROR(MAX(0,ROUND((INDEX(Config!$D$15:$D$18,MATCH($S1416,Config!$B$15:$B$18,0))-$E1416)*1440,0)),""))</f>
        <v/>
      </c>
      <c r="U1416" s="13" t="str">
        <f>IF(OR($N1416="",$T1416=""),"",IFERROR(MAX(0,1-($N1416+$T1416+MAX(0,N($Q1416)))/ROUND((INDEX(Config!$D$15:$D$18,MATCH($S1416,Config!$B$15:$B$18,0))-INDEX(Config!$C$15:$C$18,MATCH($S1416,Config!$B$15:$B$18,0)))*1440,0)),""))</f>
        <v/>
      </c>
      <c r="V1416" s="5"/>
    </row>
    <row r="1417" spans="1:22" x14ac:dyDescent="0.25">
      <c r="A1417" s="11"/>
      <c r="B1417" s="5"/>
      <c r="C1417" s="6" t="str">
        <f>IFERROR(INDEX(Ejecutivos!$B$2:$B$100,MATCH(B1417,Ejecutivos!$A$2:$A$100,0)),"")</f>
        <v/>
      </c>
      <c r="D1417" s="12"/>
      <c r="E1417" s="12"/>
      <c r="F1417" s="12"/>
      <c r="G1417" s="12"/>
      <c r="H1417" s="5"/>
      <c r="I1417" s="5"/>
      <c r="J1417" s="5"/>
      <c r="K1417" s="5"/>
      <c r="L1417" s="18">
        <v>0</v>
      </c>
      <c r="M1417" t="str">
        <f t="shared" si="91"/>
        <v/>
      </c>
      <c r="N1417" t="str">
        <f>IF(OR($D1417="",$S1417=""),"",IFERROR(MAX(0,ROUND(($D1417-INDEX(Config!$C$15:$C$18,MATCH($S1417,Config!$B$15:$B$18,0)))*24*60,0)),""))</f>
        <v/>
      </c>
      <c r="O1417" t="str">
        <f t="shared" si="92"/>
        <v/>
      </c>
      <c r="P1417" t="str">
        <f t="shared" si="93"/>
        <v/>
      </c>
      <c r="Q1417" t="str">
        <f>IF(OR($P1417="",$S1417=""),"",IFERROR($P1417-INDEX(Config!$E$15:$E$18,MATCH($S1417,Config!$B$15:$B$18,0)),""))</f>
        <v/>
      </c>
      <c r="R1417" t="str">
        <f t="shared" si="94"/>
        <v/>
      </c>
      <c r="S1417" s="6" t="str">
        <f>IF(OR($A1417="",$C1417=""),"",IFERROR(INDEX(Turno!$C$3:$V$32,MATCH($C1417,Turno!$B$3:$B$32,0),MATCH(DAY($A1417),Turno!$C$1:$V$1,0)),""))</f>
        <v/>
      </c>
      <c r="T1417" t="str">
        <f>IF(OR($E1417="",$S1417=""),"",IFERROR(MAX(0,ROUND((INDEX(Config!$D$15:$D$18,MATCH($S1417,Config!$B$15:$B$18,0))-$E1417)*1440,0)),""))</f>
        <v/>
      </c>
      <c r="U1417" s="13" t="str">
        <f>IF(OR($N1417="",$T1417=""),"",IFERROR(MAX(0,1-($N1417+$T1417+MAX(0,N($Q1417)))/ROUND((INDEX(Config!$D$15:$D$18,MATCH($S1417,Config!$B$15:$B$18,0))-INDEX(Config!$C$15:$C$18,MATCH($S1417,Config!$B$15:$B$18,0)))*1440,0)),""))</f>
        <v/>
      </c>
      <c r="V1417" s="5"/>
    </row>
    <row r="1418" spans="1:22" x14ac:dyDescent="0.25">
      <c r="A1418" s="11"/>
      <c r="B1418" s="5"/>
      <c r="C1418" s="6" t="str">
        <f>IFERROR(INDEX(Ejecutivos!$B$2:$B$100,MATCH(B1418,Ejecutivos!$A$2:$A$100,0)),"")</f>
        <v/>
      </c>
      <c r="D1418" s="12"/>
      <c r="E1418" s="12"/>
      <c r="F1418" s="12"/>
      <c r="G1418" s="12"/>
      <c r="H1418" s="5"/>
      <c r="I1418" s="5"/>
      <c r="J1418" s="5"/>
      <c r="K1418" s="5"/>
      <c r="L1418" s="18">
        <v>0</v>
      </c>
      <c r="M1418" t="str">
        <f t="shared" si="91"/>
        <v/>
      </c>
      <c r="N1418" t="str">
        <f>IF(OR($D1418="",$S1418=""),"",IFERROR(MAX(0,ROUND(($D1418-INDEX(Config!$C$15:$C$18,MATCH($S1418,Config!$B$15:$B$18,0)))*24*60,0)),""))</f>
        <v/>
      </c>
      <c r="O1418" t="str">
        <f t="shared" si="92"/>
        <v/>
      </c>
      <c r="P1418" t="str">
        <f t="shared" si="93"/>
        <v/>
      </c>
      <c r="Q1418" t="str">
        <f>IF(OR($P1418="",$S1418=""),"",IFERROR($P1418-INDEX(Config!$E$15:$E$18,MATCH($S1418,Config!$B$15:$B$18,0)),""))</f>
        <v/>
      </c>
      <c r="R1418" t="str">
        <f t="shared" si="94"/>
        <v/>
      </c>
      <c r="S1418" s="6" t="str">
        <f>IF(OR($A1418="",$C1418=""),"",IFERROR(INDEX(Turno!$C$3:$V$32,MATCH($C1418,Turno!$B$3:$B$32,0),MATCH(DAY($A1418),Turno!$C$1:$V$1,0)),""))</f>
        <v/>
      </c>
      <c r="T1418" t="str">
        <f>IF(OR($E1418="",$S1418=""),"",IFERROR(MAX(0,ROUND((INDEX(Config!$D$15:$D$18,MATCH($S1418,Config!$B$15:$B$18,0))-$E1418)*1440,0)),""))</f>
        <v/>
      </c>
      <c r="U1418" s="13" t="str">
        <f>IF(OR($N1418="",$T1418=""),"",IFERROR(MAX(0,1-($N1418+$T1418+MAX(0,N($Q1418)))/ROUND((INDEX(Config!$D$15:$D$18,MATCH($S1418,Config!$B$15:$B$18,0))-INDEX(Config!$C$15:$C$18,MATCH($S1418,Config!$B$15:$B$18,0)))*1440,0)),""))</f>
        <v/>
      </c>
      <c r="V1418" s="5"/>
    </row>
    <row r="1419" spans="1:22" x14ac:dyDescent="0.25">
      <c r="A1419" s="11"/>
      <c r="B1419" s="5"/>
      <c r="C1419" s="6" t="str">
        <f>IFERROR(INDEX(Ejecutivos!$B$2:$B$100,MATCH(B1419,Ejecutivos!$A$2:$A$100,0)),"")</f>
        <v/>
      </c>
      <c r="D1419" s="12"/>
      <c r="E1419" s="12"/>
      <c r="F1419" s="12"/>
      <c r="G1419" s="12"/>
      <c r="H1419" s="5"/>
      <c r="I1419" s="5"/>
      <c r="J1419" s="5"/>
      <c r="K1419" s="5"/>
      <c r="L1419" s="18">
        <v>0</v>
      </c>
      <c r="M1419" t="str">
        <f t="shared" si="91"/>
        <v/>
      </c>
      <c r="N1419" t="str">
        <f>IF(OR($D1419="",$S1419=""),"",IFERROR(MAX(0,ROUND(($D1419-INDEX(Config!$C$15:$C$18,MATCH($S1419,Config!$B$15:$B$18,0)))*24*60,0)),""))</f>
        <v/>
      </c>
      <c r="O1419" t="str">
        <f t="shared" si="92"/>
        <v/>
      </c>
      <c r="P1419" t="str">
        <f t="shared" si="93"/>
        <v/>
      </c>
      <c r="Q1419" t="str">
        <f>IF(OR($P1419="",$S1419=""),"",IFERROR($P1419-INDEX(Config!$E$15:$E$18,MATCH($S1419,Config!$B$15:$B$18,0)),""))</f>
        <v/>
      </c>
      <c r="R1419" t="str">
        <f t="shared" si="94"/>
        <v/>
      </c>
      <c r="S1419" s="6" t="str">
        <f>IF(OR($A1419="",$C1419=""),"",IFERROR(INDEX(Turno!$C$3:$V$32,MATCH($C1419,Turno!$B$3:$B$32,0),MATCH(DAY($A1419),Turno!$C$1:$V$1,0)),""))</f>
        <v/>
      </c>
      <c r="T1419" t="str">
        <f>IF(OR($E1419="",$S1419=""),"",IFERROR(MAX(0,ROUND((INDEX(Config!$D$15:$D$18,MATCH($S1419,Config!$B$15:$B$18,0))-$E1419)*1440,0)),""))</f>
        <v/>
      </c>
      <c r="U1419" s="13" t="str">
        <f>IF(OR($N1419="",$T1419=""),"",IFERROR(MAX(0,1-($N1419+$T1419+MAX(0,N($Q1419)))/ROUND((INDEX(Config!$D$15:$D$18,MATCH($S1419,Config!$B$15:$B$18,0))-INDEX(Config!$C$15:$C$18,MATCH($S1419,Config!$B$15:$B$18,0)))*1440,0)),""))</f>
        <v/>
      </c>
      <c r="V1419" s="5"/>
    </row>
    <row r="1420" spans="1:22" x14ac:dyDescent="0.25">
      <c r="A1420" s="11"/>
      <c r="B1420" s="5"/>
      <c r="C1420" s="6" t="str">
        <f>IFERROR(INDEX(Ejecutivos!$B$2:$B$100,MATCH(B1420,Ejecutivos!$A$2:$A$100,0)),"")</f>
        <v/>
      </c>
      <c r="D1420" s="12"/>
      <c r="E1420" s="12"/>
      <c r="F1420" s="12"/>
      <c r="G1420" s="12"/>
      <c r="H1420" s="5"/>
      <c r="I1420" s="5"/>
      <c r="J1420" s="5"/>
      <c r="K1420" s="5"/>
      <c r="L1420" s="18">
        <v>0</v>
      </c>
      <c r="M1420" t="str">
        <f t="shared" si="91"/>
        <v/>
      </c>
      <c r="N1420" t="str">
        <f>IF(OR($D1420="",$S1420=""),"",IFERROR(MAX(0,ROUND(($D1420-INDEX(Config!$C$15:$C$18,MATCH($S1420,Config!$B$15:$B$18,0)))*24*60,0)),""))</f>
        <v/>
      </c>
      <c r="O1420" t="str">
        <f t="shared" si="92"/>
        <v/>
      </c>
      <c r="P1420" t="str">
        <f t="shared" si="93"/>
        <v/>
      </c>
      <c r="Q1420" t="str">
        <f>IF(OR($P1420="",$S1420=""),"",IFERROR($P1420-INDEX(Config!$E$15:$E$18,MATCH($S1420,Config!$B$15:$B$18,0)),""))</f>
        <v/>
      </c>
      <c r="R1420" t="str">
        <f t="shared" si="94"/>
        <v/>
      </c>
      <c r="S1420" s="6" t="str">
        <f>IF(OR($A1420="",$C1420=""),"",IFERROR(INDEX(Turno!$C$3:$V$32,MATCH($C1420,Turno!$B$3:$B$32,0),MATCH(DAY($A1420),Turno!$C$1:$V$1,0)),""))</f>
        <v/>
      </c>
      <c r="T1420" t="str">
        <f>IF(OR($E1420="",$S1420=""),"",IFERROR(MAX(0,ROUND((INDEX(Config!$D$15:$D$18,MATCH($S1420,Config!$B$15:$B$18,0))-$E1420)*1440,0)),""))</f>
        <v/>
      </c>
      <c r="U1420" s="13" t="str">
        <f>IF(OR($N1420="",$T1420=""),"",IFERROR(MAX(0,1-($N1420+$T1420+MAX(0,N($Q1420)))/ROUND((INDEX(Config!$D$15:$D$18,MATCH($S1420,Config!$B$15:$B$18,0))-INDEX(Config!$C$15:$C$18,MATCH($S1420,Config!$B$15:$B$18,0)))*1440,0)),""))</f>
        <v/>
      </c>
      <c r="V1420" s="5"/>
    </row>
    <row r="1421" spans="1:22" x14ac:dyDescent="0.25">
      <c r="A1421" s="11"/>
      <c r="B1421" s="5"/>
      <c r="C1421" s="6" t="str">
        <f>IFERROR(INDEX(Ejecutivos!$B$2:$B$100,MATCH(B1421,Ejecutivos!$A$2:$A$100,0)),"")</f>
        <v/>
      </c>
      <c r="D1421" s="12"/>
      <c r="E1421" s="12"/>
      <c r="F1421" s="12"/>
      <c r="G1421" s="12"/>
      <c r="H1421" s="5"/>
      <c r="I1421" s="5"/>
      <c r="J1421" s="5"/>
      <c r="K1421" s="5"/>
      <c r="L1421" s="18">
        <v>0</v>
      </c>
      <c r="M1421" t="str">
        <f t="shared" si="91"/>
        <v/>
      </c>
      <c r="N1421" t="str">
        <f>IF(OR($D1421="",$S1421=""),"",IFERROR(MAX(0,ROUND(($D1421-INDEX(Config!$C$15:$C$18,MATCH($S1421,Config!$B$15:$B$18,0)))*24*60,0)),""))</f>
        <v/>
      </c>
      <c r="O1421" t="str">
        <f t="shared" si="92"/>
        <v/>
      </c>
      <c r="P1421" t="str">
        <f t="shared" si="93"/>
        <v/>
      </c>
      <c r="Q1421" t="str">
        <f>IF(OR($P1421="",$S1421=""),"",IFERROR($P1421-INDEX(Config!$E$15:$E$18,MATCH($S1421,Config!$B$15:$B$18,0)),""))</f>
        <v/>
      </c>
      <c r="R1421" t="str">
        <f t="shared" si="94"/>
        <v/>
      </c>
      <c r="S1421" s="6" t="str">
        <f>IF(OR($A1421="",$C1421=""),"",IFERROR(INDEX(Turno!$C$3:$V$32,MATCH($C1421,Turno!$B$3:$B$32,0),MATCH(DAY($A1421),Turno!$C$1:$V$1,0)),""))</f>
        <v/>
      </c>
      <c r="T1421" t="str">
        <f>IF(OR($E1421="",$S1421=""),"",IFERROR(MAX(0,ROUND((INDEX(Config!$D$15:$D$18,MATCH($S1421,Config!$B$15:$B$18,0))-$E1421)*1440,0)),""))</f>
        <v/>
      </c>
      <c r="U1421" s="13" t="str">
        <f>IF(OR($N1421="",$T1421=""),"",IFERROR(MAX(0,1-($N1421+$T1421+MAX(0,N($Q1421)))/ROUND((INDEX(Config!$D$15:$D$18,MATCH($S1421,Config!$B$15:$B$18,0))-INDEX(Config!$C$15:$C$18,MATCH($S1421,Config!$B$15:$B$18,0)))*1440,0)),""))</f>
        <v/>
      </c>
      <c r="V1421" s="5"/>
    </row>
    <row r="1422" spans="1:22" x14ac:dyDescent="0.25">
      <c r="A1422" s="11"/>
      <c r="B1422" s="5"/>
      <c r="C1422" s="6" t="str">
        <f>IFERROR(INDEX(Ejecutivos!$B$2:$B$100,MATCH(B1422,Ejecutivos!$A$2:$A$100,0)),"")</f>
        <v/>
      </c>
      <c r="D1422" s="12"/>
      <c r="E1422" s="12"/>
      <c r="F1422" s="12"/>
      <c r="G1422" s="12"/>
      <c r="H1422" s="5"/>
      <c r="I1422" s="5"/>
      <c r="J1422" s="5"/>
      <c r="K1422" s="5"/>
      <c r="L1422" s="18">
        <v>0</v>
      </c>
      <c r="M1422" t="str">
        <f t="shared" si="91"/>
        <v/>
      </c>
      <c r="N1422" t="str">
        <f>IF(OR($D1422="",$S1422=""),"",IFERROR(MAX(0,ROUND(($D1422-INDEX(Config!$C$15:$C$18,MATCH($S1422,Config!$B$15:$B$18,0)))*24*60,0)),""))</f>
        <v/>
      </c>
      <c r="O1422" t="str">
        <f t="shared" si="92"/>
        <v/>
      </c>
      <c r="P1422" t="str">
        <f t="shared" si="93"/>
        <v/>
      </c>
      <c r="Q1422" t="str">
        <f>IF(OR($P1422="",$S1422=""),"",IFERROR($P1422-INDEX(Config!$E$15:$E$18,MATCH($S1422,Config!$B$15:$B$18,0)),""))</f>
        <v/>
      </c>
      <c r="R1422" t="str">
        <f t="shared" si="94"/>
        <v/>
      </c>
      <c r="S1422" s="6" t="str">
        <f>IF(OR($A1422="",$C1422=""),"",IFERROR(INDEX(Turno!$C$3:$V$32,MATCH($C1422,Turno!$B$3:$B$32,0),MATCH(DAY($A1422),Turno!$C$1:$V$1,0)),""))</f>
        <v/>
      </c>
      <c r="T1422" t="str">
        <f>IF(OR($E1422="",$S1422=""),"",IFERROR(MAX(0,ROUND((INDEX(Config!$D$15:$D$18,MATCH($S1422,Config!$B$15:$B$18,0))-$E1422)*1440,0)),""))</f>
        <v/>
      </c>
      <c r="U1422" s="13" t="str">
        <f>IF(OR($N1422="",$T1422=""),"",IFERROR(MAX(0,1-($N1422+$T1422+MAX(0,N($Q1422)))/ROUND((INDEX(Config!$D$15:$D$18,MATCH($S1422,Config!$B$15:$B$18,0))-INDEX(Config!$C$15:$C$18,MATCH($S1422,Config!$B$15:$B$18,0)))*1440,0)),""))</f>
        <v/>
      </c>
      <c r="V1422" s="5"/>
    </row>
    <row r="1423" spans="1:22" x14ac:dyDescent="0.25">
      <c r="A1423" s="11"/>
      <c r="B1423" s="5"/>
      <c r="C1423" s="6" t="str">
        <f>IFERROR(INDEX(Ejecutivos!$B$2:$B$100,MATCH(B1423,Ejecutivos!$A$2:$A$100,0)),"")</f>
        <v/>
      </c>
      <c r="D1423" s="12"/>
      <c r="E1423" s="12"/>
      <c r="F1423" s="12"/>
      <c r="G1423" s="12"/>
      <c r="H1423" s="5"/>
      <c r="I1423" s="5"/>
      <c r="J1423" s="5"/>
      <c r="K1423" s="5"/>
      <c r="L1423" s="18">
        <v>0</v>
      </c>
      <c r="M1423" t="str">
        <f t="shared" si="91"/>
        <v/>
      </c>
      <c r="N1423" t="str">
        <f>IF(OR($D1423="",$S1423=""),"",IFERROR(MAX(0,ROUND(($D1423-INDEX(Config!$C$15:$C$18,MATCH($S1423,Config!$B$15:$B$18,0)))*24*60,0)),""))</f>
        <v/>
      </c>
      <c r="O1423" t="str">
        <f t="shared" si="92"/>
        <v/>
      </c>
      <c r="P1423" t="str">
        <f t="shared" si="93"/>
        <v/>
      </c>
      <c r="Q1423" t="str">
        <f>IF(OR($P1423="",$S1423=""),"",IFERROR($P1423-INDEX(Config!$E$15:$E$18,MATCH($S1423,Config!$B$15:$B$18,0)),""))</f>
        <v/>
      </c>
      <c r="R1423" t="str">
        <f t="shared" si="94"/>
        <v/>
      </c>
      <c r="S1423" s="6" t="str">
        <f>IF(OR($A1423="",$C1423=""),"",IFERROR(INDEX(Turno!$C$3:$V$32,MATCH($C1423,Turno!$B$3:$B$32,0),MATCH(DAY($A1423),Turno!$C$1:$V$1,0)),""))</f>
        <v/>
      </c>
      <c r="T1423" t="str">
        <f>IF(OR($E1423="",$S1423=""),"",IFERROR(MAX(0,ROUND((INDEX(Config!$D$15:$D$18,MATCH($S1423,Config!$B$15:$B$18,0))-$E1423)*1440,0)),""))</f>
        <v/>
      </c>
      <c r="U1423" s="13" t="str">
        <f>IF(OR($N1423="",$T1423=""),"",IFERROR(MAX(0,1-($N1423+$T1423+MAX(0,N($Q1423)))/ROUND((INDEX(Config!$D$15:$D$18,MATCH($S1423,Config!$B$15:$B$18,0))-INDEX(Config!$C$15:$C$18,MATCH($S1423,Config!$B$15:$B$18,0)))*1440,0)),""))</f>
        <v/>
      </c>
      <c r="V1423" s="5"/>
    </row>
    <row r="1424" spans="1:22" x14ac:dyDescent="0.25">
      <c r="A1424" s="11"/>
      <c r="B1424" s="5"/>
      <c r="C1424" s="6" t="str">
        <f>IFERROR(INDEX(Ejecutivos!$B$2:$B$100,MATCH(B1424,Ejecutivos!$A$2:$A$100,0)),"")</f>
        <v/>
      </c>
      <c r="D1424" s="12"/>
      <c r="E1424" s="12"/>
      <c r="F1424" s="12"/>
      <c r="G1424" s="12"/>
      <c r="H1424" s="5"/>
      <c r="I1424" s="5"/>
      <c r="J1424" s="5"/>
      <c r="K1424" s="5"/>
      <c r="L1424" s="18">
        <v>0</v>
      </c>
      <c r="M1424" t="str">
        <f t="shared" si="91"/>
        <v/>
      </c>
      <c r="N1424" t="str">
        <f>IF(OR($D1424="",$S1424=""),"",IFERROR(MAX(0,ROUND(($D1424-INDEX(Config!$C$15:$C$18,MATCH($S1424,Config!$B$15:$B$18,0)))*24*60,0)),""))</f>
        <v/>
      </c>
      <c r="O1424" t="str">
        <f t="shared" si="92"/>
        <v/>
      </c>
      <c r="P1424" t="str">
        <f t="shared" si="93"/>
        <v/>
      </c>
      <c r="Q1424" t="str">
        <f>IF(OR($P1424="",$S1424=""),"",IFERROR($P1424-INDEX(Config!$E$15:$E$18,MATCH($S1424,Config!$B$15:$B$18,0)),""))</f>
        <v/>
      </c>
      <c r="R1424" t="str">
        <f t="shared" si="94"/>
        <v/>
      </c>
      <c r="S1424" s="6" t="str">
        <f>IF(OR($A1424="",$C1424=""),"",IFERROR(INDEX(Turno!$C$3:$V$32,MATCH($C1424,Turno!$B$3:$B$32,0),MATCH(DAY($A1424),Turno!$C$1:$V$1,0)),""))</f>
        <v/>
      </c>
      <c r="T1424" t="str">
        <f>IF(OR($E1424="",$S1424=""),"",IFERROR(MAX(0,ROUND((INDEX(Config!$D$15:$D$18,MATCH($S1424,Config!$B$15:$B$18,0))-$E1424)*1440,0)),""))</f>
        <v/>
      </c>
      <c r="U1424" s="13" t="str">
        <f>IF(OR($N1424="",$T1424=""),"",IFERROR(MAX(0,1-($N1424+$T1424+MAX(0,N($Q1424)))/ROUND((INDEX(Config!$D$15:$D$18,MATCH($S1424,Config!$B$15:$B$18,0))-INDEX(Config!$C$15:$C$18,MATCH($S1424,Config!$B$15:$B$18,0)))*1440,0)),""))</f>
        <v/>
      </c>
      <c r="V1424" s="5"/>
    </row>
    <row r="1425" spans="1:22" x14ac:dyDescent="0.25">
      <c r="A1425" s="11"/>
      <c r="B1425" s="5"/>
      <c r="C1425" s="6" t="str">
        <f>IFERROR(INDEX(Ejecutivos!$B$2:$B$100,MATCH(B1425,Ejecutivos!$A$2:$A$100,0)),"")</f>
        <v/>
      </c>
      <c r="D1425" s="12"/>
      <c r="E1425" s="12"/>
      <c r="F1425" s="12"/>
      <c r="G1425" s="12"/>
      <c r="H1425" s="5"/>
      <c r="I1425" s="5"/>
      <c r="J1425" s="5"/>
      <c r="K1425" s="5"/>
      <c r="L1425" s="18">
        <v>0</v>
      </c>
      <c r="M1425" t="str">
        <f t="shared" si="91"/>
        <v/>
      </c>
      <c r="N1425" t="str">
        <f>IF(OR($D1425="",$S1425=""),"",IFERROR(MAX(0,ROUND(($D1425-INDEX(Config!$C$15:$C$18,MATCH($S1425,Config!$B$15:$B$18,0)))*24*60,0)),""))</f>
        <v/>
      </c>
      <c r="O1425" t="str">
        <f t="shared" si="92"/>
        <v/>
      </c>
      <c r="P1425" t="str">
        <f t="shared" si="93"/>
        <v/>
      </c>
      <c r="Q1425" t="str">
        <f>IF(OR($P1425="",$S1425=""),"",IFERROR($P1425-INDEX(Config!$E$15:$E$18,MATCH($S1425,Config!$B$15:$B$18,0)),""))</f>
        <v/>
      </c>
      <c r="R1425" t="str">
        <f t="shared" si="94"/>
        <v/>
      </c>
      <c r="S1425" s="6" t="str">
        <f>IF(OR($A1425="",$C1425=""),"",IFERROR(INDEX(Turno!$C$3:$V$32,MATCH($C1425,Turno!$B$3:$B$32,0),MATCH(DAY($A1425),Turno!$C$1:$V$1,0)),""))</f>
        <v/>
      </c>
      <c r="T1425" t="str">
        <f>IF(OR($E1425="",$S1425=""),"",IFERROR(MAX(0,ROUND((INDEX(Config!$D$15:$D$18,MATCH($S1425,Config!$B$15:$B$18,0))-$E1425)*1440,0)),""))</f>
        <v/>
      </c>
      <c r="U1425" s="13" t="str">
        <f>IF(OR($N1425="",$T1425=""),"",IFERROR(MAX(0,1-($N1425+$T1425+MAX(0,N($Q1425)))/ROUND((INDEX(Config!$D$15:$D$18,MATCH($S1425,Config!$B$15:$B$18,0))-INDEX(Config!$C$15:$C$18,MATCH($S1425,Config!$B$15:$B$18,0)))*1440,0)),""))</f>
        <v/>
      </c>
      <c r="V1425" s="5"/>
    </row>
    <row r="1426" spans="1:22" x14ac:dyDescent="0.25">
      <c r="A1426" s="11"/>
      <c r="B1426" s="5"/>
      <c r="C1426" s="6" t="str">
        <f>IFERROR(INDEX(Ejecutivos!$B$2:$B$100,MATCH(B1426,Ejecutivos!$A$2:$A$100,0)),"")</f>
        <v/>
      </c>
      <c r="D1426" s="12"/>
      <c r="E1426" s="12"/>
      <c r="F1426" s="12"/>
      <c r="G1426" s="12"/>
      <c r="H1426" s="5"/>
      <c r="I1426" s="5"/>
      <c r="J1426" s="5"/>
      <c r="K1426" s="5"/>
      <c r="L1426" s="18">
        <v>0</v>
      </c>
      <c r="M1426" t="str">
        <f t="shared" si="91"/>
        <v/>
      </c>
      <c r="N1426" t="str">
        <f>IF(OR($D1426="",$S1426=""),"",IFERROR(MAX(0,ROUND(($D1426-INDEX(Config!$C$15:$C$18,MATCH($S1426,Config!$B$15:$B$18,0)))*24*60,0)),""))</f>
        <v/>
      </c>
      <c r="O1426" t="str">
        <f t="shared" si="92"/>
        <v/>
      </c>
      <c r="P1426" t="str">
        <f t="shared" si="93"/>
        <v/>
      </c>
      <c r="Q1426" t="str">
        <f>IF(OR($P1426="",$S1426=""),"",IFERROR($P1426-INDEX(Config!$E$15:$E$18,MATCH($S1426,Config!$B$15:$B$18,0)),""))</f>
        <v/>
      </c>
      <c r="R1426" t="str">
        <f t="shared" si="94"/>
        <v/>
      </c>
      <c r="S1426" s="6" t="str">
        <f>IF(OR($A1426="",$C1426=""),"",IFERROR(INDEX(Turno!$C$3:$V$32,MATCH($C1426,Turno!$B$3:$B$32,0),MATCH(DAY($A1426),Turno!$C$1:$V$1,0)),""))</f>
        <v/>
      </c>
      <c r="T1426" t="str">
        <f>IF(OR($E1426="",$S1426=""),"",IFERROR(MAX(0,ROUND((INDEX(Config!$D$15:$D$18,MATCH($S1426,Config!$B$15:$B$18,0))-$E1426)*1440,0)),""))</f>
        <v/>
      </c>
      <c r="U1426" s="13" t="str">
        <f>IF(OR($N1426="",$T1426=""),"",IFERROR(MAX(0,1-($N1426+$T1426+MAX(0,N($Q1426)))/ROUND((INDEX(Config!$D$15:$D$18,MATCH($S1426,Config!$B$15:$B$18,0))-INDEX(Config!$C$15:$C$18,MATCH($S1426,Config!$B$15:$B$18,0)))*1440,0)),""))</f>
        <v/>
      </c>
      <c r="V1426" s="5"/>
    </row>
    <row r="1427" spans="1:22" x14ac:dyDescent="0.25">
      <c r="A1427" s="11"/>
      <c r="B1427" s="5"/>
      <c r="C1427" s="6" t="str">
        <f>IFERROR(INDEX(Ejecutivos!$B$2:$B$100,MATCH(B1427,Ejecutivos!$A$2:$A$100,0)),"")</f>
        <v/>
      </c>
      <c r="D1427" s="12"/>
      <c r="E1427" s="12"/>
      <c r="F1427" s="12"/>
      <c r="G1427" s="12"/>
      <c r="H1427" s="5"/>
      <c r="I1427" s="5"/>
      <c r="J1427" s="5"/>
      <c r="K1427" s="5"/>
      <c r="L1427" s="18">
        <v>0</v>
      </c>
      <c r="M1427" t="str">
        <f t="shared" si="91"/>
        <v/>
      </c>
      <c r="N1427" t="str">
        <f>IF(OR($D1427="",$S1427=""),"",IFERROR(MAX(0,ROUND(($D1427-INDEX(Config!$C$15:$C$18,MATCH($S1427,Config!$B$15:$B$18,0)))*24*60,0)),""))</f>
        <v/>
      </c>
      <c r="O1427" t="str">
        <f t="shared" si="92"/>
        <v/>
      </c>
      <c r="P1427" t="str">
        <f t="shared" si="93"/>
        <v/>
      </c>
      <c r="Q1427" t="str">
        <f>IF(OR($P1427="",$S1427=""),"",IFERROR($P1427-INDEX(Config!$E$15:$E$18,MATCH($S1427,Config!$B$15:$B$18,0)),""))</f>
        <v/>
      </c>
      <c r="R1427" t="str">
        <f t="shared" si="94"/>
        <v/>
      </c>
      <c r="S1427" s="6" t="str">
        <f>IF(OR($A1427="",$C1427=""),"",IFERROR(INDEX(Turno!$C$3:$V$32,MATCH($C1427,Turno!$B$3:$B$32,0),MATCH(DAY($A1427),Turno!$C$1:$V$1,0)),""))</f>
        <v/>
      </c>
      <c r="T1427" t="str">
        <f>IF(OR($E1427="",$S1427=""),"",IFERROR(MAX(0,ROUND((INDEX(Config!$D$15:$D$18,MATCH($S1427,Config!$B$15:$B$18,0))-$E1427)*1440,0)),""))</f>
        <v/>
      </c>
      <c r="U1427" s="13" t="str">
        <f>IF(OR($N1427="",$T1427=""),"",IFERROR(MAX(0,1-($N1427+$T1427+MAX(0,N($Q1427)))/ROUND((INDEX(Config!$D$15:$D$18,MATCH($S1427,Config!$B$15:$B$18,0))-INDEX(Config!$C$15:$C$18,MATCH($S1427,Config!$B$15:$B$18,0)))*1440,0)),""))</f>
        <v/>
      </c>
      <c r="V1427" s="5"/>
    </row>
    <row r="1428" spans="1:22" x14ac:dyDescent="0.25">
      <c r="A1428" s="11"/>
      <c r="B1428" s="5"/>
      <c r="C1428" s="6" t="str">
        <f>IFERROR(INDEX(Ejecutivos!$B$2:$B$100,MATCH(B1428,Ejecutivos!$A$2:$A$100,0)),"")</f>
        <v/>
      </c>
      <c r="D1428" s="12"/>
      <c r="E1428" s="12"/>
      <c r="F1428" s="12"/>
      <c r="G1428" s="12"/>
      <c r="H1428" s="5"/>
      <c r="I1428" s="5"/>
      <c r="J1428" s="5"/>
      <c r="K1428" s="5"/>
      <c r="L1428" s="18">
        <v>0</v>
      </c>
      <c r="M1428" t="str">
        <f t="shared" si="91"/>
        <v/>
      </c>
      <c r="N1428" t="str">
        <f>IF(OR($D1428="",$S1428=""),"",IFERROR(MAX(0,ROUND(($D1428-INDEX(Config!$C$15:$C$18,MATCH($S1428,Config!$B$15:$B$18,0)))*24*60,0)),""))</f>
        <v/>
      </c>
      <c r="O1428" t="str">
        <f t="shared" si="92"/>
        <v/>
      </c>
      <c r="P1428" t="str">
        <f t="shared" si="93"/>
        <v/>
      </c>
      <c r="Q1428" t="str">
        <f>IF(OR($P1428="",$S1428=""),"",IFERROR($P1428-INDEX(Config!$E$15:$E$18,MATCH($S1428,Config!$B$15:$B$18,0)),""))</f>
        <v/>
      </c>
      <c r="R1428" t="str">
        <f t="shared" si="94"/>
        <v/>
      </c>
      <c r="S1428" s="6" t="str">
        <f>IF(OR($A1428="",$C1428=""),"",IFERROR(INDEX(Turno!$C$3:$V$32,MATCH($C1428,Turno!$B$3:$B$32,0),MATCH(DAY($A1428),Turno!$C$1:$V$1,0)),""))</f>
        <v/>
      </c>
      <c r="T1428" t="str">
        <f>IF(OR($E1428="",$S1428=""),"",IFERROR(MAX(0,ROUND((INDEX(Config!$D$15:$D$18,MATCH($S1428,Config!$B$15:$B$18,0))-$E1428)*1440,0)),""))</f>
        <v/>
      </c>
      <c r="U1428" s="13" t="str">
        <f>IF(OR($N1428="",$T1428=""),"",IFERROR(MAX(0,1-($N1428+$T1428+MAX(0,N($Q1428)))/ROUND((INDEX(Config!$D$15:$D$18,MATCH($S1428,Config!$B$15:$B$18,0))-INDEX(Config!$C$15:$C$18,MATCH($S1428,Config!$B$15:$B$18,0)))*1440,0)),""))</f>
        <v/>
      </c>
      <c r="V1428" s="5"/>
    </row>
    <row r="1429" spans="1:22" x14ac:dyDescent="0.25">
      <c r="A1429" s="11"/>
      <c r="B1429" s="5"/>
      <c r="C1429" s="6" t="str">
        <f>IFERROR(INDEX(Ejecutivos!$B$2:$B$100,MATCH(B1429,Ejecutivos!$A$2:$A$100,0)),"")</f>
        <v/>
      </c>
      <c r="D1429" s="12"/>
      <c r="E1429" s="12"/>
      <c r="F1429" s="12"/>
      <c r="G1429" s="12"/>
      <c r="H1429" s="5"/>
      <c r="I1429" s="5"/>
      <c r="J1429" s="5"/>
      <c r="K1429" s="5"/>
      <c r="L1429" s="18">
        <v>0</v>
      </c>
      <c r="M1429" t="str">
        <f t="shared" si="91"/>
        <v/>
      </c>
      <c r="N1429" t="str">
        <f>IF(OR($D1429="",$S1429=""),"",IFERROR(MAX(0,ROUND(($D1429-INDEX(Config!$C$15:$C$18,MATCH($S1429,Config!$B$15:$B$18,0)))*24*60,0)),""))</f>
        <v/>
      </c>
      <c r="O1429" t="str">
        <f t="shared" si="92"/>
        <v/>
      </c>
      <c r="P1429" t="str">
        <f t="shared" si="93"/>
        <v/>
      </c>
      <c r="Q1429" t="str">
        <f>IF(OR($P1429="",$S1429=""),"",IFERROR($P1429-INDEX(Config!$E$15:$E$18,MATCH($S1429,Config!$B$15:$B$18,0)),""))</f>
        <v/>
      </c>
      <c r="R1429" t="str">
        <f t="shared" si="94"/>
        <v/>
      </c>
      <c r="S1429" s="6" t="str">
        <f>IF(OR($A1429="",$C1429=""),"",IFERROR(INDEX(Turno!$C$3:$V$32,MATCH($C1429,Turno!$B$3:$B$32,0),MATCH(DAY($A1429),Turno!$C$1:$V$1,0)),""))</f>
        <v/>
      </c>
      <c r="T1429" t="str">
        <f>IF(OR($E1429="",$S1429=""),"",IFERROR(MAX(0,ROUND((INDEX(Config!$D$15:$D$18,MATCH($S1429,Config!$B$15:$B$18,0))-$E1429)*1440,0)),""))</f>
        <v/>
      </c>
      <c r="U1429" s="13" t="str">
        <f>IF(OR($N1429="",$T1429=""),"",IFERROR(MAX(0,1-($N1429+$T1429+MAX(0,N($Q1429)))/ROUND((INDEX(Config!$D$15:$D$18,MATCH($S1429,Config!$B$15:$B$18,0))-INDEX(Config!$C$15:$C$18,MATCH($S1429,Config!$B$15:$B$18,0)))*1440,0)),""))</f>
        <v/>
      </c>
      <c r="V1429" s="5"/>
    </row>
    <row r="1430" spans="1:22" x14ac:dyDescent="0.25">
      <c r="A1430" s="11"/>
      <c r="B1430" s="5"/>
      <c r="C1430" s="6" t="str">
        <f>IFERROR(INDEX(Ejecutivos!$B$2:$B$100,MATCH(B1430,Ejecutivos!$A$2:$A$100,0)),"")</f>
        <v/>
      </c>
      <c r="D1430" s="12"/>
      <c r="E1430" s="12"/>
      <c r="F1430" s="12"/>
      <c r="G1430" s="12"/>
      <c r="H1430" s="5"/>
      <c r="I1430" s="5"/>
      <c r="J1430" s="5"/>
      <c r="K1430" s="5"/>
      <c r="L1430" s="18">
        <v>0</v>
      </c>
      <c r="M1430" t="str">
        <f t="shared" si="91"/>
        <v/>
      </c>
      <c r="N1430" t="str">
        <f>IF(OR($D1430="",$S1430=""),"",IFERROR(MAX(0,ROUND(($D1430-INDEX(Config!$C$15:$C$18,MATCH($S1430,Config!$B$15:$B$18,0)))*24*60,0)),""))</f>
        <v/>
      </c>
      <c r="O1430" t="str">
        <f t="shared" si="92"/>
        <v/>
      </c>
      <c r="P1430" t="str">
        <f t="shared" si="93"/>
        <v/>
      </c>
      <c r="Q1430" t="str">
        <f>IF(OR($P1430="",$S1430=""),"",IFERROR($P1430-INDEX(Config!$E$15:$E$18,MATCH($S1430,Config!$B$15:$B$18,0)),""))</f>
        <v/>
      </c>
      <c r="R1430" t="str">
        <f t="shared" si="94"/>
        <v/>
      </c>
      <c r="S1430" s="6" t="str">
        <f>IF(OR($A1430="",$C1430=""),"",IFERROR(INDEX(Turno!$C$3:$V$32,MATCH($C1430,Turno!$B$3:$B$32,0),MATCH(DAY($A1430),Turno!$C$1:$V$1,0)),""))</f>
        <v/>
      </c>
      <c r="T1430" t="str">
        <f>IF(OR($E1430="",$S1430=""),"",IFERROR(MAX(0,ROUND((INDEX(Config!$D$15:$D$18,MATCH($S1430,Config!$B$15:$B$18,0))-$E1430)*1440,0)),""))</f>
        <v/>
      </c>
      <c r="U1430" s="13" t="str">
        <f>IF(OR($N1430="",$T1430=""),"",IFERROR(MAX(0,1-($N1430+$T1430+MAX(0,N($Q1430)))/ROUND((INDEX(Config!$D$15:$D$18,MATCH($S1430,Config!$B$15:$B$18,0))-INDEX(Config!$C$15:$C$18,MATCH($S1430,Config!$B$15:$B$18,0)))*1440,0)),""))</f>
        <v/>
      </c>
      <c r="V1430" s="5"/>
    </row>
    <row r="1431" spans="1:22" x14ac:dyDescent="0.25">
      <c r="A1431" s="11"/>
      <c r="B1431" s="5"/>
      <c r="C1431" s="6" t="str">
        <f>IFERROR(INDEX(Ejecutivos!$B$2:$B$100,MATCH(B1431,Ejecutivos!$A$2:$A$100,0)),"")</f>
        <v/>
      </c>
      <c r="D1431" s="12"/>
      <c r="E1431" s="12"/>
      <c r="F1431" s="12"/>
      <c r="G1431" s="12"/>
      <c r="H1431" s="5"/>
      <c r="I1431" s="5"/>
      <c r="J1431" s="5"/>
      <c r="K1431" s="5"/>
      <c r="L1431" s="18">
        <v>0</v>
      </c>
      <c r="M1431" t="str">
        <f t="shared" si="91"/>
        <v/>
      </c>
      <c r="N1431" t="str">
        <f>IF(OR($D1431="",$S1431=""),"",IFERROR(MAX(0,ROUND(($D1431-INDEX(Config!$C$15:$C$18,MATCH($S1431,Config!$B$15:$B$18,0)))*24*60,0)),""))</f>
        <v/>
      </c>
      <c r="O1431" t="str">
        <f t="shared" si="92"/>
        <v/>
      </c>
      <c r="P1431" t="str">
        <f t="shared" si="93"/>
        <v/>
      </c>
      <c r="Q1431" t="str">
        <f>IF(OR($P1431="",$S1431=""),"",IFERROR($P1431-INDEX(Config!$E$15:$E$18,MATCH($S1431,Config!$B$15:$B$18,0)),""))</f>
        <v/>
      </c>
      <c r="R1431" t="str">
        <f t="shared" si="94"/>
        <v/>
      </c>
      <c r="S1431" s="6" t="str">
        <f>IF(OR($A1431="",$C1431=""),"",IFERROR(INDEX(Turno!$C$3:$V$32,MATCH($C1431,Turno!$B$3:$B$32,0),MATCH(DAY($A1431),Turno!$C$1:$V$1,0)),""))</f>
        <v/>
      </c>
      <c r="T1431" t="str">
        <f>IF(OR($E1431="",$S1431=""),"",IFERROR(MAX(0,ROUND((INDEX(Config!$D$15:$D$18,MATCH($S1431,Config!$B$15:$B$18,0))-$E1431)*1440,0)),""))</f>
        <v/>
      </c>
      <c r="U1431" s="13" t="str">
        <f>IF(OR($N1431="",$T1431=""),"",IFERROR(MAX(0,1-($N1431+$T1431+MAX(0,N($Q1431)))/ROUND((INDEX(Config!$D$15:$D$18,MATCH($S1431,Config!$B$15:$B$18,0))-INDEX(Config!$C$15:$C$18,MATCH($S1431,Config!$B$15:$B$18,0)))*1440,0)),""))</f>
        <v/>
      </c>
      <c r="V1431" s="5"/>
    </row>
    <row r="1432" spans="1:22" x14ac:dyDescent="0.25">
      <c r="A1432" s="11"/>
      <c r="B1432" s="5"/>
      <c r="C1432" s="6" t="str">
        <f>IFERROR(INDEX(Ejecutivos!$B$2:$B$100,MATCH(B1432,Ejecutivos!$A$2:$A$100,0)),"")</f>
        <v/>
      </c>
      <c r="D1432" s="12"/>
      <c r="E1432" s="12"/>
      <c r="F1432" s="12"/>
      <c r="G1432" s="12"/>
      <c r="H1432" s="5"/>
      <c r="I1432" s="5"/>
      <c r="J1432" s="5"/>
      <c r="K1432" s="5"/>
      <c r="L1432" s="18">
        <v>0</v>
      </c>
      <c r="M1432" t="str">
        <f t="shared" si="91"/>
        <v/>
      </c>
      <c r="N1432" t="str">
        <f>IF(OR($D1432="",$S1432=""),"",IFERROR(MAX(0,ROUND(($D1432-INDEX(Config!$C$15:$C$18,MATCH($S1432,Config!$B$15:$B$18,0)))*24*60,0)),""))</f>
        <v/>
      </c>
      <c r="O1432" t="str">
        <f t="shared" si="92"/>
        <v/>
      </c>
      <c r="P1432" t="str">
        <f t="shared" si="93"/>
        <v/>
      </c>
      <c r="Q1432" t="str">
        <f>IF(OR($P1432="",$S1432=""),"",IFERROR($P1432-INDEX(Config!$E$15:$E$18,MATCH($S1432,Config!$B$15:$B$18,0)),""))</f>
        <v/>
      </c>
      <c r="R1432" t="str">
        <f t="shared" si="94"/>
        <v/>
      </c>
      <c r="S1432" s="6" t="str">
        <f>IF(OR($A1432="",$C1432=""),"",IFERROR(INDEX(Turno!$C$3:$V$32,MATCH($C1432,Turno!$B$3:$B$32,0),MATCH(DAY($A1432),Turno!$C$1:$V$1,0)),""))</f>
        <v/>
      </c>
      <c r="T1432" t="str">
        <f>IF(OR($E1432="",$S1432=""),"",IFERROR(MAX(0,ROUND((INDEX(Config!$D$15:$D$18,MATCH($S1432,Config!$B$15:$B$18,0))-$E1432)*1440,0)),""))</f>
        <v/>
      </c>
      <c r="U1432" s="13" t="str">
        <f>IF(OR($N1432="",$T1432=""),"",IFERROR(MAX(0,1-($N1432+$T1432+MAX(0,N($Q1432)))/ROUND((INDEX(Config!$D$15:$D$18,MATCH($S1432,Config!$B$15:$B$18,0))-INDEX(Config!$C$15:$C$18,MATCH($S1432,Config!$B$15:$B$18,0)))*1440,0)),""))</f>
        <v/>
      </c>
      <c r="V1432" s="5"/>
    </row>
    <row r="1433" spans="1:22" x14ac:dyDescent="0.25">
      <c r="A1433" s="11"/>
      <c r="B1433" s="5"/>
      <c r="C1433" s="6" t="str">
        <f>IFERROR(INDEX(Ejecutivos!$B$2:$B$100,MATCH(B1433,Ejecutivos!$A$2:$A$100,0)),"")</f>
        <v/>
      </c>
      <c r="D1433" s="12"/>
      <c r="E1433" s="12"/>
      <c r="F1433" s="12"/>
      <c r="G1433" s="12"/>
      <c r="H1433" s="5"/>
      <c r="I1433" s="5"/>
      <c r="J1433" s="5"/>
      <c r="K1433" s="5"/>
      <c r="L1433" s="18">
        <v>0</v>
      </c>
      <c r="M1433" t="str">
        <f t="shared" si="91"/>
        <v/>
      </c>
      <c r="N1433" t="str">
        <f>IF(OR($D1433="",$S1433=""),"",IFERROR(MAX(0,ROUND(($D1433-INDEX(Config!$C$15:$C$18,MATCH($S1433,Config!$B$15:$B$18,0)))*24*60,0)),""))</f>
        <v/>
      </c>
      <c r="O1433" t="str">
        <f t="shared" si="92"/>
        <v/>
      </c>
      <c r="P1433" t="str">
        <f t="shared" si="93"/>
        <v/>
      </c>
      <c r="Q1433" t="str">
        <f>IF(OR($P1433="",$S1433=""),"",IFERROR($P1433-INDEX(Config!$E$15:$E$18,MATCH($S1433,Config!$B$15:$B$18,0)),""))</f>
        <v/>
      </c>
      <c r="R1433" t="str">
        <f t="shared" si="94"/>
        <v/>
      </c>
      <c r="S1433" s="6" t="str">
        <f>IF(OR($A1433="",$C1433=""),"",IFERROR(INDEX(Turno!$C$3:$V$32,MATCH($C1433,Turno!$B$3:$B$32,0),MATCH(DAY($A1433),Turno!$C$1:$V$1,0)),""))</f>
        <v/>
      </c>
      <c r="T1433" t="str">
        <f>IF(OR($E1433="",$S1433=""),"",IFERROR(MAX(0,ROUND((INDEX(Config!$D$15:$D$18,MATCH($S1433,Config!$B$15:$B$18,0))-$E1433)*1440,0)),""))</f>
        <v/>
      </c>
      <c r="U1433" s="13" t="str">
        <f>IF(OR($N1433="",$T1433=""),"",IFERROR(MAX(0,1-($N1433+$T1433+MAX(0,N($Q1433)))/ROUND((INDEX(Config!$D$15:$D$18,MATCH($S1433,Config!$B$15:$B$18,0))-INDEX(Config!$C$15:$C$18,MATCH($S1433,Config!$B$15:$B$18,0)))*1440,0)),""))</f>
        <v/>
      </c>
      <c r="V1433" s="5"/>
    </row>
    <row r="1434" spans="1:22" x14ac:dyDescent="0.25">
      <c r="A1434" s="11"/>
      <c r="B1434" s="5"/>
      <c r="C1434" s="6" t="str">
        <f>IFERROR(INDEX(Ejecutivos!$B$2:$B$100,MATCH(B1434,Ejecutivos!$A$2:$A$100,0)),"")</f>
        <v/>
      </c>
      <c r="D1434" s="12"/>
      <c r="E1434" s="12"/>
      <c r="F1434" s="12"/>
      <c r="G1434" s="12"/>
      <c r="H1434" s="5"/>
      <c r="I1434" s="5"/>
      <c r="J1434" s="5"/>
      <c r="K1434" s="5"/>
      <c r="L1434" s="18">
        <v>0</v>
      </c>
      <c r="M1434" t="str">
        <f t="shared" si="91"/>
        <v/>
      </c>
      <c r="N1434" t="str">
        <f>IF(OR($D1434="",$S1434=""),"",IFERROR(MAX(0,ROUND(($D1434-INDEX(Config!$C$15:$C$18,MATCH($S1434,Config!$B$15:$B$18,0)))*24*60,0)),""))</f>
        <v/>
      </c>
      <c r="O1434" t="str">
        <f t="shared" si="92"/>
        <v/>
      </c>
      <c r="P1434" t="str">
        <f t="shared" si="93"/>
        <v/>
      </c>
      <c r="Q1434" t="str">
        <f>IF(OR($P1434="",$S1434=""),"",IFERROR($P1434-INDEX(Config!$E$15:$E$18,MATCH($S1434,Config!$B$15:$B$18,0)),""))</f>
        <v/>
      </c>
      <c r="R1434" t="str">
        <f t="shared" si="94"/>
        <v/>
      </c>
      <c r="S1434" s="6" t="str">
        <f>IF(OR($A1434="",$C1434=""),"",IFERROR(INDEX(Turno!$C$3:$V$32,MATCH($C1434,Turno!$B$3:$B$32,0),MATCH(DAY($A1434),Turno!$C$1:$V$1,0)),""))</f>
        <v/>
      </c>
      <c r="T1434" t="str">
        <f>IF(OR($E1434="",$S1434=""),"",IFERROR(MAX(0,ROUND((INDEX(Config!$D$15:$D$18,MATCH($S1434,Config!$B$15:$B$18,0))-$E1434)*1440,0)),""))</f>
        <v/>
      </c>
      <c r="U1434" s="13" t="str">
        <f>IF(OR($N1434="",$T1434=""),"",IFERROR(MAX(0,1-($N1434+$T1434+MAX(0,N($Q1434)))/ROUND((INDEX(Config!$D$15:$D$18,MATCH($S1434,Config!$B$15:$B$18,0))-INDEX(Config!$C$15:$C$18,MATCH($S1434,Config!$B$15:$B$18,0)))*1440,0)),""))</f>
        <v/>
      </c>
      <c r="V1434" s="5"/>
    </row>
    <row r="1435" spans="1:22" x14ac:dyDescent="0.25">
      <c r="A1435" s="11"/>
      <c r="B1435" s="5"/>
      <c r="C1435" s="6" t="str">
        <f>IFERROR(INDEX(Ejecutivos!$B$2:$B$100,MATCH(B1435,Ejecutivos!$A$2:$A$100,0)),"")</f>
        <v/>
      </c>
      <c r="D1435" s="12"/>
      <c r="E1435" s="12"/>
      <c r="F1435" s="12"/>
      <c r="G1435" s="12"/>
      <c r="H1435" s="5"/>
      <c r="I1435" s="5"/>
      <c r="J1435" s="5"/>
      <c r="K1435" s="5"/>
      <c r="L1435" s="18">
        <v>0</v>
      </c>
      <c r="M1435" t="str">
        <f t="shared" si="91"/>
        <v/>
      </c>
      <c r="N1435" t="str">
        <f>IF(OR($D1435="",$S1435=""),"",IFERROR(MAX(0,ROUND(($D1435-INDEX(Config!$C$15:$C$18,MATCH($S1435,Config!$B$15:$B$18,0)))*24*60,0)),""))</f>
        <v/>
      </c>
      <c r="O1435" t="str">
        <f t="shared" si="92"/>
        <v/>
      </c>
      <c r="P1435" t="str">
        <f t="shared" si="93"/>
        <v/>
      </c>
      <c r="Q1435" t="str">
        <f>IF(OR($P1435="",$S1435=""),"",IFERROR($P1435-INDEX(Config!$E$15:$E$18,MATCH($S1435,Config!$B$15:$B$18,0)),""))</f>
        <v/>
      </c>
      <c r="R1435" t="str">
        <f t="shared" si="94"/>
        <v/>
      </c>
      <c r="S1435" s="6" t="str">
        <f>IF(OR($A1435="",$C1435=""),"",IFERROR(INDEX(Turno!$C$3:$V$32,MATCH($C1435,Turno!$B$3:$B$32,0),MATCH(DAY($A1435),Turno!$C$1:$V$1,0)),""))</f>
        <v/>
      </c>
      <c r="T1435" t="str">
        <f>IF(OR($E1435="",$S1435=""),"",IFERROR(MAX(0,ROUND((INDEX(Config!$D$15:$D$18,MATCH($S1435,Config!$B$15:$B$18,0))-$E1435)*1440,0)),""))</f>
        <v/>
      </c>
      <c r="U1435" s="13" t="str">
        <f>IF(OR($N1435="",$T1435=""),"",IFERROR(MAX(0,1-($N1435+$T1435+MAX(0,N($Q1435)))/ROUND((INDEX(Config!$D$15:$D$18,MATCH($S1435,Config!$B$15:$B$18,0))-INDEX(Config!$C$15:$C$18,MATCH($S1435,Config!$B$15:$B$18,0)))*1440,0)),""))</f>
        <v/>
      </c>
      <c r="V1435" s="5"/>
    </row>
    <row r="1436" spans="1:22" x14ac:dyDescent="0.25">
      <c r="A1436" s="11"/>
      <c r="B1436" s="5"/>
      <c r="C1436" s="6" t="str">
        <f>IFERROR(INDEX(Ejecutivos!$B$2:$B$100,MATCH(B1436,Ejecutivos!$A$2:$A$100,0)),"")</f>
        <v/>
      </c>
      <c r="D1436" s="12"/>
      <c r="E1436" s="12"/>
      <c r="F1436" s="12"/>
      <c r="G1436" s="12"/>
      <c r="H1436" s="5"/>
      <c r="I1436" s="5"/>
      <c r="J1436" s="5"/>
      <c r="K1436" s="5"/>
      <c r="L1436" s="18">
        <v>0</v>
      </c>
      <c r="M1436" t="str">
        <f t="shared" si="91"/>
        <v/>
      </c>
      <c r="N1436" t="str">
        <f>IF(OR($D1436="",$S1436=""),"",IFERROR(MAX(0,ROUND(($D1436-INDEX(Config!$C$15:$C$18,MATCH($S1436,Config!$B$15:$B$18,0)))*24*60,0)),""))</f>
        <v/>
      </c>
      <c r="O1436" t="str">
        <f t="shared" si="92"/>
        <v/>
      </c>
      <c r="P1436" t="str">
        <f t="shared" si="93"/>
        <v/>
      </c>
      <c r="Q1436" t="str">
        <f>IF(OR($P1436="",$S1436=""),"",IFERROR($P1436-INDEX(Config!$E$15:$E$18,MATCH($S1436,Config!$B$15:$B$18,0)),""))</f>
        <v/>
      </c>
      <c r="R1436" t="str">
        <f t="shared" si="94"/>
        <v/>
      </c>
      <c r="S1436" s="6" t="str">
        <f>IF(OR($A1436="",$C1436=""),"",IFERROR(INDEX(Turno!$C$3:$V$32,MATCH($C1436,Turno!$B$3:$B$32,0),MATCH(DAY($A1436),Turno!$C$1:$V$1,0)),""))</f>
        <v/>
      </c>
      <c r="T1436" t="str">
        <f>IF(OR($E1436="",$S1436=""),"",IFERROR(MAX(0,ROUND((INDEX(Config!$D$15:$D$18,MATCH($S1436,Config!$B$15:$B$18,0))-$E1436)*1440,0)),""))</f>
        <v/>
      </c>
      <c r="U1436" s="13" t="str">
        <f>IF(OR($N1436="",$T1436=""),"",IFERROR(MAX(0,1-($N1436+$T1436+MAX(0,N($Q1436)))/ROUND((INDEX(Config!$D$15:$D$18,MATCH($S1436,Config!$B$15:$B$18,0))-INDEX(Config!$C$15:$C$18,MATCH($S1436,Config!$B$15:$B$18,0)))*1440,0)),""))</f>
        <v/>
      </c>
      <c r="V1436" s="5"/>
    </row>
    <row r="1437" spans="1:22" x14ac:dyDescent="0.25">
      <c r="A1437" s="11"/>
      <c r="B1437" s="5"/>
      <c r="C1437" s="6" t="str">
        <f>IFERROR(INDEX(Ejecutivos!$B$2:$B$100,MATCH(B1437,Ejecutivos!$A$2:$A$100,0)),"")</f>
        <v/>
      </c>
      <c r="D1437" s="12"/>
      <c r="E1437" s="12"/>
      <c r="F1437" s="12"/>
      <c r="G1437" s="12"/>
      <c r="H1437" s="5"/>
      <c r="I1437" s="5"/>
      <c r="J1437" s="5"/>
      <c r="K1437" s="5"/>
      <c r="L1437" s="18">
        <v>0</v>
      </c>
      <c r="M1437" t="str">
        <f t="shared" si="91"/>
        <v/>
      </c>
      <c r="N1437" t="str">
        <f>IF(OR($D1437="",$S1437=""),"",IFERROR(MAX(0,ROUND(($D1437-INDEX(Config!$C$15:$C$18,MATCH($S1437,Config!$B$15:$B$18,0)))*24*60,0)),""))</f>
        <v/>
      </c>
      <c r="O1437" t="str">
        <f t="shared" si="92"/>
        <v/>
      </c>
      <c r="P1437" t="str">
        <f t="shared" si="93"/>
        <v/>
      </c>
      <c r="Q1437" t="str">
        <f>IF(OR($P1437="",$S1437=""),"",IFERROR($P1437-INDEX(Config!$E$15:$E$18,MATCH($S1437,Config!$B$15:$B$18,0)),""))</f>
        <v/>
      </c>
      <c r="R1437" t="str">
        <f t="shared" si="94"/>
        <v/>
      </c>
      <c r="S1437" s="6" t="str">
        <f>IF(OR($A1437="",$C1437=""),"",IFERROR(INDEX(Turno!$C$3:$V$32,MATCH($C1437,Turno!$B$3:$B$32,0),MATCH(DAY($A1437),Turno!$C$1:$V$1,0)),""))</f>
        <v/>
      </c>
      <c r="T1437" t="str">
        <f>IF(OR($E1437="",$S1437=""),"",IFERROR(MAX(0,ROUND((INDEX(Config!$D$15:$D$18,MATCH($S1437,Config!$B$15:$B$18,0))-$E1437)*1440,0)),""))</f>
        <v/>
      </c>
      <c r="U1437" s="13" t="str">
        <f>IF(OR($N1437="",$T1437=""),"",IFERROR(MAX(0,1-($N1437+$T1437+MAX(0,N($Q1437)))/ROUND((INDEX(Config!$D$15:$D$18,MATCH($S1437,Config!$B$15:$B$18,0))-INDEX(Config!$C$15:$C$18,MATCH($S1437,Config!$B$15:$B$18,0)))*1440,0)),""))</f>
        <v/>
      </c>
      <c r="V1437" s="5"/>
    </row>
    <row r="1438" spans="1:22" x14ac:dyDescent="0.25">
      <c r="A1438" s="11"/>
      <c r="B1438" s="5"/>
      <c r="C1438" s="6" t="str">
        <f>IFERROR(INDEX(Ejecutivos!$B$2:$B$100,MATCH(B1438,Ejecutivos!$A$2:$A$100,0)),"")</f>
        <v/>
      </c>
      <c r="D1438" s="12"/>
      <c r="E1438" s="12"/>
      <c r="F1438" s="12"/>
      <c r="G1438" s="12"/>
      <c r="H1438" s="5"/>
      <c r="I1438" s="5"/>
      <c r="J1438" s="5"/>
      <c r="K1438" s="5"/>
      <c r="L1438" s="18">
        <v>0</v>
      </c>
      <c r="M1438" t="str">
        <f t="shared" si="91"/>
        <v/>
      </c>
      <c r="N1438" t="str">
        <f>IF(OR($D1438="",$S1438=""),"",IFERROR(MAX(0,ROUND(($D1438-INDEX(Config!$C$15:$C$18,MATCH($S1438,Config!$B$15:$B$18,0)))*24*60,0)),""))</f>
        <v/>
      </c>
      <c r="O1438" t="str">
        <f t="shared" si="92"/>
        <v/>
      </c>
      <c r="P1438" t="str">
        <f t="shared" si="93"/>
        <v/>
      </c>
      <c r="Q1438" t="str">
        <f>IF(OR($P1438="",$S1438=""),"",IFERROR($P1438-INDEX(Config!$E$15:$E$18,MATCH($S1438,Config!$B$15:$B$18,0)),""))</f>
        <v/>
      </c>
      <c r="R1438" t="str">
        <f t="shared" si="94"/>
        <v/>
      </c>
      <c r="S1438" s="6" t="str">
        <f>IF(OR($A1438="",$C1438=""),"",IFERROR(INDEX(Turno!$C$3:$V$32,MATCH($C1438,Turno!$B$3:$B$32,0),MATCH(DAY($A1438),Turno!$C$1:$V$1,0)),""))</f>
        <v/>
      </c>
      <c r="T1438" t="str">
        <f>IF(OR($E1438="",$S1438=""),"",IFERROR(MAX(0,ROUND((INDEX(Config!$D$15:$D$18,MATCH($S1438,Config!$B$15:$B$18,0))-$E1438)*1440,0)),""))</f>
        <v/>
      </c>
      <c r="U1438" s="13" t="str">
        <f>IF(OR($N1438="",$T1438=""),"",IFERROR(MAX(0,1-($N1438+$T1438+MAX(0,N($Q1438)))/ROUND((INDEX(Config!$D$15:$D$18,MATCH($S1438,Config!$B$15:$B$18,0))-INDEX(Config!$C$15:$C$18,MATCH($S1438,Config!$B$15:$B$18,0)))*1440,0)),""))</f>
        <v/>
      </c>
      <c r="V1438" s="5"/>
    </row>
    <row r="1439" spans="1:22" x14ac:dyDescent="0.25">
      <c r="A1439" s="11"/>
      <c r="B1439" s="5"/>
      <c r="C1439" s="6" t="str">
        <f>IFERROR(INDEX(Ejecutivos!$B$2:$B$100,MATCH(B1439,Ejecutivos!$A$2:$A$100,0)),"")</f>
        <v/>
      </c>
      <c r="D1439" s="12"/>
      <c r="E1439" s="12"/>
      <c r="F1439" s="12"/>
      <c r="G1439" s="12"/>
      <c r="H1439" s="5"/>
      <c r="I1439" s="5"/>
      <c r="J1439" s="5"/>
      <c r="K1439" s="5"/>
      <c r="L1439" s="18">
        <v>0</v>
      </c>
      <c r="M1439" t="str">
        <f t="shared" si="91"/>
        <v/>
      </c>
      <c r="N1439" t="str">
        <f>IF(OR($D1439="",$S1439=""),"",IFERROR(MAX(0,ROUND(($D1439-INDEX(Config!$C$15:$C$18,MATCH($S1439,Config!$B$15:$B$18,0)))*24*60,0)),""))</f>
        <v/>
      </c>
      <c r="O1439" t="str">
        <f t="shared" si="92"/>
        <v/>
      </c>
      <c r="P1439" t="str">
        <f t="shared" si="93"/>
        <v/>
      </c>
      <c r="Q1439" t="str">
        <f>IF(OR($P1439="",$S1439=""),"",IFERROR($P1439-INDEX(Config!$E$15:$E$18,MATCH($S1439,Config!$B$15:$B$18,0)),""))</f>
        <v/>
      </c>
      <c r="R1439" t="str">
        <f t="shared" si="94"/>
        <v/>
      </c>
      <c r="S1439" s="6" t="str">
        <f>IF(OR($A1439="",$C1439=""),"",IFERROR(INDEX(Turno!$C$3:$V$32,MATCH($C1439,Turno!$B$3:$B$32,0),MATCH(DAY($A1439),Turno!$C$1:$V$1,0)),""))</f>
        <v/>
      </c>
      <c r="T1439" t="str">
        <f>IF(OR($E1439="",$S1439=""),"",IFERROR(MAX(0,ROUND((INDEX(Config!$D$15:$D$18,MATCH($S1439,Config!$B$15:$B$18,0))-$E1439)*1440,0)),""))</f>
        <v/>
      </c>
      <c r="U1439" s="13" t="str">
        <f>IF(OR($N1439="",$T1439=""),"",IFERROR(MAX(0,1-($N1439+$T1439+MAX(0,N($Q1439)))/ROUND((INDEX(Config!$D$15:$D$18,MATCH($S1439,Config!$B$15:$B$18,0))-INDEX(Config!$C$15:$C$18,MATCH($S1439,Config!$B$15:$B$18,0)))*1440,0)),""))</f>
        <v/>
      </c>
      <c r="V1439" s="5"/>
    </row>
    <row r="1440" spans="1:22" x14ac:dyDescent="0.25">
      <c r="A1440" s="11"/>
      <c r="B1440" s="5"/>
      <c r="C1440" s="6" t="str">
        <f>IFERROR(INDEX(Ejecutivos!$B$2:$B$100,MATCH(B1440,Ejecutivos!$A$2:$A$100,0)),"")</f>
        <v/>
      </c>
      <c r="D1440" s="12"/>
      <c r="E1440" s="12"/>
      <c r="F1440" s="12"/>
      <c r="G1440" s="12"/>
      <c r="H1440" s="5"/>
      <c r="I1440" s="5"/>
      <c r="J1440" s="5"/>
      <c r="K1440" s="5"/>
      <c r="L1440" s="18">
        <v>0</v>
      </c>
      <c r="M1440" t="str">
        <f t="shared" si="91"/>
        <v/>
      </c>
      <c r="N1440" t="str">
        <f>IF(OR($D1440="",$S1440=""),"",IFERROR(MAX(0,ROUND(($D1440-INDEX(Config!$C$15:$C$18,MATCH($S1440,Config!$B$15:$B$18,0)))*24*60,0)),""))</f>
        <v/>
      </c>
      <c r="O1440" t="str">
        <f t="shared" si="92"/>
        <v/>
      </c>
      <c r="P1440" t="str">
        <f t="shared" si="93"/>
        <v/>
      </c>
      <c r="Q1440" t="str">
        <f>IF(OR($P1440="",$S1440=""),"",IFERROR($P1440-INDEX(Config!$E$15:$E$18,MATCH($S1440,Config!$B$15:$B$18,0)),""))</f>
        <v/>
      </c>
      <c r="R1440" t="str">
        <f t="shared" si="94"/>
        <v/>
      </c>
      <c r="S1440" s="6" t="str">
        <f>IF(OR($A1440="",$C1440=""),"",IFERROR(INDEX(Turno!$C$3:$V$32,MATCH($C1440,Turno!$B$3:$B$32,0),MATCH(DAY($A1440),Turno!$C$1:$V$1,0)),""))</f>
        <v/>
      </c>
      <c r="T1440" t="str">
        <f>IF(OR($E1440="",$S1440=""),"",IFERROR(MAX(0,ROUND((INDEX(Config!$D$15:$D$18,MATCH($S1440,Config!$B$15:$B$18,0))-$E1440)*1440,0)),""))</f>
        <v/>
      </c>
      <c r="U1440" s="13" t="str">
        <f>IF(OR($N1440="",$T1440=""),"",IFERROR(MAX(0,1-($N1440+$T1440+MAX(0,N($Q1440)))/ROUND((INDEX(Config!$D$15:$D$18,MATCH($S1440,Config!$B$15:$B$18,0))-INDEX(Config!$C$15:$C$18,MATCH($S1440,Config!$B$15:$B$18,0)))*1440,0)),""))</f>
        <v/>
      </c>
      <c r="V1440" s="5"/>
    </row>
    <row r="1441" spans="1:22" x14ac:dyDescent="0.25">
      <c r="A1441" s="11"/>
      <c r="B1441" s="5"/>
      <c r="C1441" s="6" t="str">
        <f>IFERROR(INDEX(Ejecutivos!$B$2:$B$100,MATCH(B1441,Ejecutivos!$A$2:$A$100,0)),"")</f>
        <v/>
      </c>
      <c r="D1441" s="12"/>
      <c r="E1441" s="12"/>
      <c r="F1441" s="12"/>
      <c r="G1441" s="12"/>
      <c r="H1441" s="5"/>
      <c r="I1441" s="5"/>
      <c r="J1441" s="5"/>
      <c r="K1441" s="5"/>
      <c r="L1441" s="18">
        <v>0</v>
      </c>
      <c r="M1441" t="str">
        <f t="shared" si="91"/>
        <v/>
      </c>
      <c r="N1441" t="str">
        <f>IF(OR($D1441="",$S1441=""),"",IFERROR(MAX(0,ROUND(($D1441-INDEX(Config!$C$15:$C$18,MATCH($S1441,Config!$B$15:$B$18,0)))*24*60,0)),""))</f>
        <v/>
      </c>
      <c r="O1441" t="str">
        <f t="shared" si="92"/>
        <v/>
      </c>
      <c r="P1441" t="str">
        <f t="shared" si="93"/>
        <v/>
      </c>
      <c r="Q1441" t="str">
        <f>IF(OR($P1441="",$S1441=""),"",IFERROR($P1441-INDEX(Config!$E$15:$E$18,MATCH($S1441,Config!$B$15:$B$18,0)),""))</f>
        <v/>
      </c>
      <c r="R1441" t="str">
        <f t="shared" si="94"/>
        <v/>
      </c>
      <c r="S1441" s="6" t="str">
        <f>IF(OR($A1441="",$C1441=""),"",IFERROR(INDEX(Turno!$C$3:$V$32,MATCH($C1441,Turno!$B$3:$B$32,0),MATCH(DAY($A1441),Turno!$C$1:$V$1,0)),""))</f>
        <v/>
      </c>
      <c r="T1441" t="str">
        <f>IF(OR($E1441="",$S1441=""),"",IFERROR(MAX(0,ROUND((INDEX(Config!$D$15:$D$18,MATCH($S1441,Config!$B$15:$B$18,0))-$E1441)*1440,0)),""))</f>
        <v/>
      </c>
      <c r="U1441" s="13" t="str">
        <f>IF(OR($N1441="",$T1441=""),"",IFERROR(MAX(0,1-($N1441+$T1441+MAX(0,N($Q1441)))/ROUND((INDEX(Config!$D$15:$D$18,MATCH($S1441,Config!$B$15:$B$18,0))-INDEX(Config!$C$15:$C$18,MATCH($S1441,Config!$B$15:$B$18,0)))*1440,0)),""))</f>
        <v/>
      </c>
      <c r="V1441" s="5"/>
    </row>
    <row r="1442" spans="1:22" x14ac:dyDescent="0.25">
      <c r="A1442" s="11"/>
      <c r="B1442" s="5"/>
      <c r="C1442" s="6" t="str">
        <f>IFERROR(INDEX(Ejecutivos!$B$2:$B$100,MATCH(B1442,Ejecutivos!$A$2:$A$100,0)),"")</f>
        <v/>
      </c>
      <c r="D1442" s="12"/>
      <c r="E1442" s="12"/>
      <c r="F1442" s="12"/>
      <c r="G1442" s="12"/>
      <c r="H1442" s="5"/>
      <c r="I1442" s="5"/>
      <c r="J1442" s="5"/>
      <c r="K1442" s="5"/>
      <c r="L1442" s="18">
        <v>0</v>
      </c>
      <c r="M1442" t="str">
        <f t="shared" si="91"/>
        <v/>
      </c>
      <c r="N1442" t="str">
        <f>IF(OR($D1442="",$S1442=""),"",IFERROR(MAX(0,ROUND(($D1442-INDEX(Config!$C$15:$C$18,MATCH($S1442,Config!$B$15:$B$18,0)))*24*60,0)),""))</f>
        <v/>
      </c>
      <c r="O1442" t="str">
        <f t="shared" si="92"/>
        <v/>
      </c>
      <c r="P1442" t="str">
        <f t="shared" si="93"/>
        <v/>
      </c>
      <c r="Q1442" t="str">
        <f>IF(OR($P1442="",$S1442=""),"",IFERROR($P1442-INDEX(Config!$E$15:$E$18,MATCH($S1442,Config!$B$15:$B$18,0)),""))</f>
        <v/>
      </c>
      <c r="R1442" t="str">
        <f t="shared" si="94"/>
        <v/>
      </c>
      <c r="S1442" s="6" t="str">
        <f>IF(OR($A1442="",$C1442=""),"",IFERROR(INDEX(Turno!$C$3:$V$32,MATCH($C1442,Turno!$B$3:$B$32,0),MATCH(DAY($A1442),Turno!$C$1:$V$1,0)),""))</f>
        <v/>
      </c>
      <c r="T1442" t="str">
        <f>IF(OR($E1442="",$S1442=""),"",IFERROR(MAX(0,ROUND((INDEX(Config!$D$15:$D$18,MATCH($S1442,Config!$B$15:$B$18,0))-$E1442)*1440,0)),""))</f>
        <v/>
      </c>
      <c r="U1442" s="13" t="str">
        <f>IF(OR($N1442="",$T1442=""),"",IFERROR(MAX(0,1-($N1442+$T1442+MAX(0,N($Q1442)))/ROUND((INDEX(Config!$D$15:$D$18,MATCH($S1442,Config!$B$15:$B$18,0))-INDEX(Config!$C$15:$C$18,MATCH($S1442,Config!$B$15:$B$18,0)))*1440,0)),""))</f>
        <v/>
      </c>
      <c r="V1442" s="5"/>
    </row>
    <row r="1443" spans="1:22" x14ac:dyDescent="0.25">
      <c r="A1443" s="11"/>
      <c r="B1443" s="5"/>
      <c r="C1443" s="6" t="str">
        <f>IFERROR(INDEX(Ejecutivos!$B$2:$B$100,MATCH(B1443,Ejecutivos!$A$2:$A$100,0)),"")</f>
        <v/>
      </c>
      <c r="D1443" s="12"/>
      <c r="E1443" s="12"/>
      <c r="F1443" s="12"/>
      <c r="G1443" s="12"/>
      <c r="H1443" s="5"/>
      <c r="I1443" s="5"/>
      <c r="J1443" s="5"/>
      <c r="K1443" s="5"/>
      <c r="L1443" s="18">
        <v>0</v>
      </c>
      <c r="M1443" t="str">
        <f t="shared" si="91"/>
        <v/>
      </c>
      <c r="N1443" t="str">
        <f>IF(OR($D1443="",$S1443=""),"",IFERROR(MAX(0,ROUND(($D1443-INDEX(Config!$C$15:$C$18,MATCH($S1443,Config!$B$15:$B$18,0)))*24*60,0)),""))</f>
        <v/>
      </c>
      <c r="O1443" t="str">
        <f t="shared" si="92"/>
        <v/>
      </c>
      <c r="P1443" t="str">
        <f t="shared" si="93"/>
        <v/>
      </c>
      <c r="Q1443" t="str">
        <f>IF(OR($P1443="",$S1443=""),"",IFERROR($P1443-INDEX(Config!$E$15:$E$18,MATCH($S1443,Config!$B$15:$B$18,0)),""))</f>
        <v/>
      </c>
      <c r="R1443" t="str">
        <f t="shared" si="94"/>
        <v/>
      </c>
      <c r="S1443" s="6" t="str">
        <f>IF(OR($A1443="",$C1443=""),"",IFERROR(INDEX(Turno!$C$3:$V$32,MATCH($C1443,Turno!$B$3:$B$32,0),MATCH(DAY($A1443),Turno!$C$1:$V$1,0)),""))</f>
        <v/>
      </c>
      <c r="T1443" t="str">
        <f>IF(OR($E1443="",$S1443=""),"",IFERROR(MAX(0,ROUND((INDEX(Config!$D$15:$D$18,MATCH($S1443,Config!$B$15:$B$18,0))-$E1443)*1440,0)),""))</f>
        <v/>
      </c>
      <c r="U1443" s="13" t="str">
        <f>IF(OR($N1443="",$T1443=""),"",IFERROR(MAX(0,1-($N1443+$T1443+MAX(0,N($Q1443)))/ROUND((INDEX(Config!$D$15:$D$18,MATCH($S1443,Config!$B$15:$B$18,0))-INDEX(Config!$C$15:$C$18,MATCH($S1443,Config!$B$15:$B$18,0)))*1440,0)),""))</f>
        <v/>
      </c>
      <c r="V1443" s="5"/>
    </row>
    <row r="1444" spans="1:22" x14ac:dyDescent="0.25">
      <c r="A1444" s="11"/>
      <c r="B1444" s="5"/>
      <c r="C1444" s="6" t="str">
        <f>IFERROR(INDEX(Ejecutivos!$B$2:$B$100,MATCH(B1444,Ejecutivos!$A$2:$A$100,0)),"")</f>
        <v/>
      </c>
      <c r="D1444" s="12"/>
      <c r="E1444" s="12"/>
      <c r="F1444" s="12"/>
      <c r="G1444" s="12"/>
      <c r="H1444" s="5"/>
      <c r="I1444" s="5"/>
      <c r="J1444" s="5"/>
      <c r="K1444" s="5"/>
      <c r="L1444" s="18">
        <v>0</v>
      </c>
      <c r="M1444" t="str">
        <f t="shared" si="91"/>
        <v/>
      </c>
      <c r="N1444" t="str">
        <f>IF(OR($D1444="",$S1444=""),"",IFERROR(MAX(0,ROUND(($D1444-INDEX(Config!$C$15:$C$18,MATCH($S1444,Config!$B$15:$B$18,0)))*24*60,0)),""))</f>
        <v/>
      </c>
      <c r="O1444" t="str">
        <f t="shared" si="92"/>
        <v/>
      </c>
      <c r="P1444" t="str">
        <f t="shared" si="93"/>
        <v/>
      </c>
      <c r="Q1444" t="str">
        <f>IF(OR($P1444="",$S1444=""),"",IFERROR($P1444-INDEX(Config!$E$15:$E$18,MATCH($S1444,Config!$B$15:$B$18,0)),""))</f>
        <v/>
      </c>
      <c r="R1444" t="str">
        <f t="shared" si="94"/>
        <v/>
      </c>
      <c r="S1444" s="6" t="str">
        <f>IF(OR($A1444="",$C1444=""),"",IFERROR(INDEX(Turno!$C$3:$V$32,MATCH($C1444,Turno!$B$3:$B$32,0),MATCH(DAY($A1444),Turno!$C$1:$V$1,0)),""))</f>
        <v/>
      </c>
      <c r="T1444" t="str">
        <f>IF(OR($E1444="",$S1444=""),"",IFERROR(MAX(0,ROUND((INDEX(Config!$D$15:$D$18,MATCH($S1444,Config!$B$15:$B$18,0))-$E1444)*1440,0)),""))</f>
        <v/>
      </c>
      <c r="U1444" s="13" t="str">
        <f>IF(OR($N1444="",$T1444=""),"",IFERROR(MAX(0,1-($N1444+$T1444+MAX(0,N($Q1444)))/ROUND((INDEX(Config!$D$15:$D$18,MATCH($S1444,Config!$B$15:$B$18,0))-INDEX(Config!$C$15:$C$18,MATCH($S1444,Config!$B$15:$B$18,0)))*1440,0)),""))</f>
        <v/>
      </c>
      <c r="V1444" s="5"/>
    </row>
    <row r="1445" spans="1:22" x14ac:dyDescent="0.25">
      <c r="A1445" s="11"/>
      <c r="B1445" s="5"/>
      <c r="C1445" s="6" t="str">
        <f>IFERROR(INDEX(Ejecutivos!$B$2:$B$100,MATCH(B1445,Ejecutivos!$A$2:$A$100,0)),"")</f>
        <v/>
      </c>
      <c r="D1445" s="12"/>
      <c r="E1445" s="12"/>
      <c r="F1445" s="12"/>
      <c r="G1445" s="12"/>
      <c r="H1445" s="5"/>
      <c r="I1445" s="5"/>
      <c r="J1445" s="5"/>
      <c r="K1445" s="5"/>
      <c r="L1445" s="18">
        <v>0</v>
      </c>
      <c r="M1445" t="str">
        <f t="shared" si="91"/>
        <v/>
      </c>
      <c r="N1445" t="str">
        <f>IF(OR($D1445="",$S1445=""),"",IFERROR(MAX(0,ROUND(($D1445-INDEX(Config!$C$15:$C$18,MATCH($S1445,Config!$B$15:$B$18,0)))*24*60,0)),""))</f>
        <v/>
      </c>
      <c r="O1445" t="str">
        <f t="shared" si="92"/>
        <v/>
      </c>
      <c r="P1445" t="str">
        <f t="shared" si="93"/>
        <v/>
      </c>
      <c r="Q1445" t="str">
        <f>IF(OR($P1445="",$S1445=""),"",IFERROR($P1445-INDEX(Config!$E$15:$E$18,MATCH($S1445,Config!$B$15:$B$18,0)),""))</f>
        <v/>
      </c>
      <c r="R1445" t="str">
        <f t="shared" si="94"/>
        <v/>
      </c>
      <c r="S1445" s="6" t="str">
        <f>IF(OR($A1445="",$C1445=""),"",IFERROR(INDEX(Turno!$C$3:$V$32,MATCH($C1445,Turno!$B$3:$B$32,0),MATCH(DAY($A1445),Turno!$C$1:$V$1,0)),""))</f>
        <v/>
      </c>
      <c r="T1445" t="str">
        <f>IF(OR($E1445="",$S1445=""),"",IFERROR(MAX(0,ROUND((INDEX(Config!$D$15:$D$18,MATCH($S1445,Config!$B$15:$B$18,0))-$E1445)*1440,0)),""))</f>
        <v/>
      </c>
      <c r="U1445" s="13" t="str">
        <f>IF(OR($N1445="",$T1445=""),"",IFERROR(MAX(0,1-($N1445+$T1445+MAX(0,N($Q1445)))/ROUND((INDEX(Config!$D$15:$D$18,MATCH($S1445,Config!$B$15:$B$18,0))-INDEX(Config!$C$15:$C$18,MATCH($S1445,Config!$B$15:$B$18,0)))*1440,0)),""))</f>
        <v/>
      </c>
      <c r="V1445" s="5"/>
    </row>
    <row r="1446" spans="1:22" x14ac:dyDescent="0.25">
      <c r="A1446" s="11"/>
      <c r="B1446" s="5"/>
      <c r="C1446" s="6" t="str">
        <f>IFERROR(INDEX(Ejecutivos!$B$2:$B$100,MATCH(B1446,Ejecutivos!$A$2:$A$100,0)),"")</f>
        <v/>
      </c>
      <c r="D1446" s="12"/>
      <c r="E1446" s="12"/>
      <c r="F1446" s="12"/>
      <c r="G1446" s="12"/>
      <c r="H1446" s="5"/>
      <c r="I1446" s="5"/>
      <c r="J1446" s="5"/>
      <c r="K1446" s="5"/>
      <c r="L1446" s="18">
        <v>0</v>
      </c>
      <c r="M1446" t="str">
        <f t="shared" si="91"/>
        <v/>
      </c>
      <c r="N1446" t="str">
        <f>IF(OR($D1446="",$S1446=""),"",IFERROR(MAX(0,ROUND(($D1446-INDEX(Config!$C$15:$C$18,MATCH($S1446,Config!$B$15:$B$18,0)))*24*60,0)),""))</f>
        <v/>
      </c>
      <c r="O1446" t="str">
        <f t="shared" si="92"/>
        <v/>
      </c>
      <c r="P1446" t="str">
        <f t="shared" si="93"/>
        <v/>
      </c>
      <c r="Q1446" t="str">
        <f>IF(OR($P1446="",$S1446=""),"",IFERROR($P1446-INDEX(Config!$E$15:$E$18,MATCH($S1446,Config!$B$15:$B$18,0)),""))</f>
        <v/>
      </c>
      <c r="R1446" t="str">
        <f t="shared" si="94"/>
        <v/>
      </c>
      <c r="S1446" s="6" t="str">
        <f>IF(OR($A1446="",$C1446=""),"",IFERROR(INDEX(Turno!$C$3:$V$32,MATCH($C1446,Turno!$B$3:$B$32,0),MATCH(DAY($A1446),Turno!$C$1:$V$1,0)),""))</f>
        <v/>
      </c>
      <c r="T1446" t="str">
        <f>IF(OR($E1446="",$S1446=""),"",IFERROR(MAX(0,ROUND((INDEX(Config!$D$15:$D$18,MATCH($S1446,Config!$B$15:$B$18,0))-$E1446)*1440,0)),""))</f>
        <v/>
      </c>
      <c r="U1446" s="13" t="str">
        <f>IF(OR($N1446="",$T1446=""),"",IFERROR(MAX(0,1-($N1446+$T1446+MAX(0,N($Q1446)))/ROUND((INDEX(Config!$D$15:$D$18,MATCH($S1446,Config!$B$15:$B$18,0))-INDEX(Config!$C$15:$C$18,MATCH($S1446,Config!$B$15:$B$18,0)))*1440,0)),""))</f>
        <v/>
      </c>
      <c r="V1446" s="5"/>
    </row>
    <row r="1447" spans="1:22" x14ac:dyDescent="0.25">
      <c r="A1447" s="11"/>
      <c r="B1447" s="5"/>
      <c r="C1447" s="6" t="str">
        <f>IFERROR(INDEX(Ejecutivos!$B$2:$B$100,MATCH(B1447,Ejecutivos!$A$2:$A$100,0)),"")</f>
        <v/>
      </c>
      <c r="D1447" s="12"/>
      <c r="E1447" s="12"/>
      <c r="F1447" s="12"/>
      <c r="G1447" s="12"/>
      <c r="H1447" s="5"/>
      <c r="I1447" s="5"/>
      <c r="J1447" s="5"/>
      <c r="K1447" s="5"/>
      <c r="L1447" s="18">
        <v>0</v>
      </c>
      <c r="M1447" t="str">
        <f t="shared" si="91"/>
        <v/>
      </c>
      <c r="N1447" t="str">
        <f>IF(OR($D1447="",$S1447=""),"",IFERROR(MAX(0,ROUND(($D1447-INDEX(Config!$C$15:$C$18,MATCH($S1447,Config!$B$15:$B$18,0)))*24*60,0)),""))</f>
        <v/>
      </c>
      <c r="O1447" t="str">
        <f t="shared" si="92"/>
        <v/>
      </c>
      <c r="P1447" t="str">
        <f t="shared" si="93"/>
        <v/>
      </c>
      <c r="Q1447" t="str">
        <f>IF(OR($P1447="",$S1447=""),"",IFERROR($P1447-INDEX(Config!$E$15:$E$18,MATCH($S1447,Config!$B$15:$B$18,0)),""))</f>
        <v/>
      </c>
      <c r="R1447" t="str">
        <f t="shared" si="94"/>
        <v/>
      </c>
      <c r="S1447" s="6" t="str">
        <f>IF(OR($A1447="",$C1447=""),"",IFERROR(INDEX(Turno!$C$3:$V$32,MATCH($C1447,Turno!$B$3:$B$32,0),MATCH(DAY($A1447),Turno!$C$1:$V$1,0)),""))</f>
        <v/>
      </c>
      <c r="T1447" t="str">
        <f>IF(OR($E1447="",$S1447=""),"",IFERROR(MAX(0,ROUND((INDEX(Config!$D$15:$D$18,MATCH($S1447,Config!$B$15:$B$18,0))-$E1447)*1440,0)),""))</f>
        <v/>
      </c>
      <c r="U1447" s="13" t="str">
        <f>IF(OR($N1447="",$T1447=""),"",IFERROR(MAX(0,1-($N1447+$T1447+MAX(0,N($Q1447)))/ROUND((INDEX(Config!$D$15:$D$18,MATCH($S1447,Config!$B$15:$B$18,0))-INDEX(Config!$C$15:$C$18,MATCH($S1447,Config!$B$15:$B$18,0)))*1440,0)),""))</f>
        <v/>
      </c>
      <c r="V1447" s="5"/>
    </row>
    <row r="1448" spans="1:22" x14ac:dyDescent="0.25">
      <c r="A1448" s="11"/>
      <c r="B1448" s="5"/>
      <c r="C1448" s="6" t="str">
        <f>IFERROR(INDEX(Ejecutivos!$B$2:$B$100,MATCH(B1448,Ejecutivos!$A$2:$A$100,0)),"")</f>
        <v/>
      </c>
      <c r="D1448" s="12"/>
      <c r="E1448" s="12"/>
      <c r="F1448" s="12"/>
      <c r="G1448" s="12"/>
      <c r="H1448" s="5"/>
      <c r="I1448" s="5"/>
      <c r="J1448" s="5"/>
      <c r="K1448" s="5"/>
      <c r="L1448" s="18">
        <v>0</v>
      </c>
      <c r="M1448" t="str">
        <f t="shared" si="91"/>
        <v/>
      </c>
      <c r="N1448" t="str">
        <f>IF(OR($D1448="",$S1448=""),"",IFERROR(MAX(0,ROUND(($D1448-INDEX(Config!$C$15:$C$18,MATCH($S1448,Config!$B$15:$B$18,0)))*24*60,0)),""))</f>
        <v/>
      </c>
      <c r="O1448" t="str">
        <f t="shared" si="92"/>
        <v/>
      </c>
      <c r="P1448" t="str">
        <f t="shared" si="93"/>
        <v/>
      </c>
      <c r="Q1448" t="str">
        <f>IF(OR($P1448="",$S1448=""),"",IFERROR($P1448-INDEX(Config!$E$15:$E$18,MATCH($S1448,Config!$B$15:$B$18,0)),""))</f>
        <v/>
      </c>
      <c r="R1448" t="str">
        <f t="shared" si="94"/>
        <v/>
      </c>
      <c r="S1448" s="6" t="str">
        <f>IF(OR($A1448="",$C1448=""),"",IFERROR(INDEX(Turno!$C$3:$V$32,MATCH($C1448,Turno!$B$3:$B$32,0),MATCH(DAY($A1448),Turno!$C$1:$V$1,0)),""))</f>
        <v/>
      </c>
      <c r="T1448" t="str">
        <f>IF(OR($E1448="",$S1448=""),"",IFERROR(MAX(0,ROUND((INDEX(Config!$D$15:$D$18,MATCH($S1448,Config!$B$15:$B$18,0))-$E1448)*1440,0)),""))</f>
        <v/>
      </c>
      <c r="U1448" s="13" t="str">
        <f>IF(OR($N1448="",$T1448=""),"",IFERROR(MAX(0,1-($N1448+$T1448+MAX(0,N($Q1448)))/ROUND((INDEX(Config!$D$15:$D$18,MATCH($S1448,Config!$B$15:$B$18,0))-INDEX(Config!$C$15:$C$18,MATCH($S1448,Config!$B$15:$B$18,0)))*1440,0)),""))</f>
        <v/>
      </c>
      <c r="V1448" s="5"/>
    </row>
    <row r="1449" spans="1:22" x14ac:dyDescent="0.25">
      <c r="A1449" s="11"/>
      <c r="B1449" s="5"/>
      <c r="C1449" s="6" t="str">
        <f>IFERROR(INDEX(Ejecutivos!$B$2:$B$100,MATCH(B1449,Ejecutivos!$A$2:$A$100,0)),"")</f>
        <v/>
      </c>
      <c r="D1449" s="12"/>
      <c r="E1449" s="12"/>
      <c r="F1449" s="12"/>
      <c r="G1449" s="12"/>
      <c r="H1449" s="5"/>
      <c r="I1449" s="5"/>
      <c r="J1449" s="5"/>
      <c r="K1449" s="5"/>
      <c r="L1449" s="18">
        <v>0</v>
      </c>
      <c r="M1449" t="str">
        <f t="shared" si="91"/>
        <v/>
      </c>
      <c r="N1449" t="str">
        <f>IF(OR($D1449="",$S1449=""),"",IFERROR(MAX(0,ROUND(($D1449-INDEX(Config!$C$15:$C$18,MATCH($S1449,Config!$B$15:$B$18,0)))*24*60,0)),""))</f>
        <v/>
      </c>
      <c r="O1449" t="str">
        <f t="shared" si="92"/>
        <v/>
      </c>
      <c r="P1449" t="str">
        <f t="shared" si="93"/>
        <v/>
      </c>
      <c r="Q1449" t="str">
        <f>IF(OR($P1449="",$S1449=""),"",IFERROR($P1449-INDEX(Config!$E$15:$E$18,MATCH($S1449,Config!$B$15:$B$18,0)),""))</f>
        <v/>
      </c>
      <c r="R1449" t="str">
        <f t="shared" si="94"/>
        <v/>
      </c>
      <c r="S1449" s="6" t="str">
        <f>IF(OR($A1449="",$C1449=""),"",IFERROR(INDEX(Turno!$C$3:$V$32,MATCH($C1449,Turno!$B$3:$B$32,0),MATCH(DAY($A1449),Turno!$C$1:$V$1,0)),""))</f>
        <v/>
      </c>
      <c r="T1449" t="str">
        <f>IF(OR($E1449="",$S1449=""),"",IFERROR(MAX(0,ROUND((INDEX(Config!$D$15:$D$18,MATCH($S1449,Config!$B$15:$B$18,0))-$E1449)*1440,0)),""))</f>
        <v/>
      </c>
      <c r="U1449" s="13" t="str">
        <f>IF(OR($N1449="",$T1449=""),"",IFERROR(MAX(0,1-($N1449+$T1449+MAX(0,N($Q1449)))/ROUND((INDEX(Config!$D$15:$D$18,MATCH($S1449,Config!$B$15:$B$18,0))-INDEX(Config!$C$15:$C$18,MATCH($S1449,Config!$B$15:$B$18,0)))*1440,0)),""))</f>
        <v/>
      </c>
      <c r="V1449" s="5"/>
    </row>
    <row r="1450" spans="1:22" x14ac:dyDescent="0.25">
      <c r="A1450" s="11"/>
      <c r="B1450" s="5"/>
      <c r="C1450" s="6" t="str">
        <f>IFERROR(INDEX(Ejecutivos!$B$2:$B$100,MATCH(B1450,Ejecutivos!$A$2:$A$100,0)),"")</f>
        <v/>
      </c>
      <c r="D1450" s="12"/>
      <c r="E1450" s="12"/>
      <c r="F1450" s="12"/>
      <c r="G1450" s="12"/>
      <c r="H1450" s="5"/>
      <c r="I1450" s="5"/>
      <c r="J1450" s="5"/>
      <c r="K1450" s="5"/>
      <c r="L1450" s="18">
        <v>0</v>
      </c>
      <c r="M1450" t="str">
        <f t="shared" si="91"/>
        <v/>
      </c>
      <c r="N1450" t="str">
        <f>IF(OR($D1450="",$S1450=""),"",IFERROR(MAX(0,ROUND(($D1450-INDEX(Config!$C$15:$C$18,MATCH($S1450,Config!$B$15:$B$18,0)))*24*60,0)),""))</f>
        <v/>
      </c>
      <c r="O1450" t="str">
        <f t="shared" si="92"/>
        <v/>
      </c>
      <c r="P1450" t="str">
        <f t="shared" si="93"/>
        <v/>
      </c>
      <c r="Q1450" t="str">
        <f>IF(OR($P1450="",$S1450=""),"",IFERROR($P1450-INDEX(Config!$E$15:$E$18,MATCH($S1450,Config!$B$15:$B$18,0)),""))</f>
        <v/>
      </c>
      <c r="R1450" t="str">
        <f t="shared" si="94"/>
        <v/>
      </c>
      <c r="S1450" s="6" t="str">
        <f>IF(OR($A1450="",$C1450=""),"",IFERROR(INDEX(Turno!$C$3:$V$32,MATCH($C1450,Turno!$B$3:$B$32,0),MATCH(DAY($A1450),Turno!$C$1:$V$1,0)),""))</f>
        <v/>
      </c>
      <c r="T1450" t="str">
        <f>IF(OR($E1450="",$S1450=""),"",IFERROR(MAX(0,ROUND((INDEX(Config!$D$15:$D$18,MATCH($S1450,Config!$B$15:$B$18,0))-$E1450)*1440,0)),""))</f>
        <v/>
      </c>
      <c r="U1450" s="13" t="str">
        <f>IF(OR($N1450="",$T1450=""),"",IFERROR(MAX(0,1-($N1450+$T1450+MAX(0,N($Q1450)))/ROUND((INDEX(Config!$D$15:$D$18,MATCH($S1450,Config!$B$15:$B$18,0))-INDEX(Config!$C$15:$C$18,MATCH($S1450,Config!$B$15:$B$18,0)))*1440,0)),""))</f>
        <v/>
      </c>
      <c r="V1450" s="5"/>
    </row>
    <row r="1451" spans="1:22" x14ac:dyDescent="0.25">
      <c r="A1451" s="11"/>
      <c r="B1451" s="5"/>
      <c r="C1451" s="6" t="str">
        <f>IFERROR(INDEX(Ejecutivos!$B$2:$B$100,MATCH(B1451,Ejecutivos!$A$2:$A$100,0)),"")</f>
        <v/>
      </c>
      <c r="D1451" s="12"/>
      <c r="E1451" s="12"/>
      <c r="F1451" s="12"/>
      <c r="G1451" s="12"/>
      <c r="H1451" s="5"/>
      <c r="I1451" s="5"/>
      <c r="J1451" s="5"/>
      <c r="K1451" s="5"/>
      <c r="L1451" s="18">
        <v>0</v>
      </c>
      <c r="M1451" t="str">
        <f t="shared" si="91"/>
        <v/>
      </c>
      <c r="N1451" t="str">
        <f>IF(OR($D1451="",$S1451=""),"",IFERROR(MAX(0,ROUND(($D1451-INDEX(Config!$C$15:$C$18,MATCH($S1451,Config!$B$15:$B$18,0)))*24*60,0)),""))</f>
        <v/>
      </c>
      <c r="O1451" t="str">
        <f t="shared" si="92"/>
        <v/>
      </c>
      <c r="P1451" t="str">
        <f t="shared" si="93"/>
        <v/>
      </c>
      <c r="Q1451" t="str">
        <f>IF(OR($P1451="",$S1451=""),"",IFERROR($P1451-INDEX(Config!$E$15:$E$18,MATCH($S1451,Config!$B$15:$B$18,0)),""))</f>
        <v/>
      </c>
      <c r="R1451" t="str">
        <f t="shared" si="94"/>
        <v/>
      </c>
      <c r="S1451" s="6" t="str">
        <f>IF(OR($A1451="",$C1451=""),"",IFERROR(INDEX(Turno!$C$3:$V$32,MATCH($C1451,Turno!$B$3:$B$32,0),MATCH(DAY($A1451),Turno!$C$1:$V$1,0)),""))</f>
        <v/>
      </c>
      <c r="T1451" t="str">
        <f>IF(OR($E1451="",$S1451=""),"",IFERROR(MAX(0,ROUND((INDEX(Config!$D$15:$D$18,MATCH($S1451,Config!$B$15:$B$18,0))-$E1451)*1440,0)),""))</f>
        <v/>
      </c>
      <c r="U1451" s="13" t="str">
        <f>IF(OR($N1451="",$T1451=""),"",IFERROR(MAX(0,1-($N1451+$T1451+MAX(0,N($Q1451)))/ROUND((INDEX(Config!$D$15:$D$18,MATCH($S1451,Config!$B$15:$B$18,0))-INDEX(Config!$C$15:$C$18,MATCH($S1451,Config!$B$15:$B$18,0)))*1440,0)),""))</f>
        <v/>
      </c>
      <c r="V1451" s="5"/>
    </row>
    <row r="1452" spans="1:22" x14ac:dyDescent="0.25">
      <c r="A1452" s="11"/>
      <c r="B1452" s="5"/>
      <c r="C1452" s="6" t="str">
        <f>IFERROR(INDEX(Ejecutivos!$B$2:$B$100,MATCH(B1452,Ejecutivos!$A$2:$A$100,0)),"")</f>
        <v/>
      </c>
      <c r="D1452" s="12"/>
      <c r="E1452" s="12"/>
      <c r="F1452" s="12"/>
      <c r="G1452" s="12"/>
      <c r="H1452" s="5"/>
      <c r="I1452" s="5"/>
      <c r="J1452" s="5"/>
      <c r="K1452" s="5"/>
      <c r="L1452" s="18">
        <v>0</v>
      </c>
      <c r="M1452" t="str">
        <f t="shared" si="91"/>
        <v/>
      </c>
      <c r="N1452" t="str">
        <f>IF(OR($D1452="",$S1452=""),"",IFERROR(MAX(0,ROUND(($D1452-INDEX(Config!$C$15:$C$18,MATCH($S1452,Config!$B$15:$B$18,0)))*24*60,0)),""))</f>
        <v/>
      </c>
      <c r="O1452" t="str">
        <f t="shared" si="92"/>
        <v/>
      </c>
      <c r="P1452" t="str">
        <f t="shared" si="93"/>
        <v/>
      </c>
      <c r="Q1452" t="str">
        <f>IF(OR($P1452="",$S1452=""),"",IFERROR($P1452-INDEX(Config!$E$15:$E$18,MATCH($S1452,Config!$B$15:$B$18,0)),""))</f>
        <v/>
      </c>
      <c r="R1452" t="str">
        <f t="shared" si="94"/>
        <v/>
      </c>
      <c r="S1452" s="6" t="str">
        <f>IF(OR($A1452="",$C1452=""),"",IFERROR(INDEX(Turno!$C$3:$V$32,MATCH($C1452,Turno!$B$3:$B$32,0),MATCH(DAY($A1452),Turno!$C$1:$V$1,0)),""))</f>
        <v/>
      </c>
      <c r="T1452" t="str">
        <f>IF(OR($E1452="",$S1452=""),"",IFERROR(MAX(0,ROUND((INDEX(Config!$D$15:$D$18,MATCH($S1452,Config!$B$15:$B$18,0))-$E1452)*1440,0)),""))</f>
        <v/>
      </c>
      <c r="U1452" s="13" t="str">
        <f>IF(OR($N1452="",$T1452=""),"",IFERROR(MAX(0,1-($N1452+$T1452+MAX(0,N($Q1452)))/ROUND((INDEX(Config!$D$15:$D$18,MATCH($S1452,Config!$B$15:$B$18,0))-INDEX(Config!$C$15:$C$18,MATCH($S1452,Config!$B$15:$B$18,0)))*1440,0)),""))</f>
        <v/>
      </c>
      <c r="V1452" s="5"/>
    </row>
    <row r="1453" spans="1:22" x14ac:dyDescent="0.25">
      <c r="A1453" s="11"/>
      <c r="B1453" s="5"/>
      <c r="C1453" s="6" t="str">
        <f>IFERROR(INDEX(Ejecutivos!$B$2:$B$100,MATCH(B1453,Ejecutivos!$A$2:$A$100,0)),"")</f>
        <v/>
      </c>
      <c r="D1453" s="12"/>
      <c r="E1453" s="12"/>
      <c r="F1453" s="12"/>
      <c r="G1453" s="12"/>
      <c r="H1453" s="5"/>
      <c r="I1453" s="5"/>
      <c r="J1453" s="5"/>
      <c r="K1453" s="5"/>
      <c r="L1453" s="18">
        <v>0</v>
      </c>
      <c r="M1453" t="str">
        <f t="shared" si="91"/>
        <v/>
      </c>
      <c r="N1453" t="str">
        <f>IF(OR($D1453="",$S1453=""),"",IFERROR(MAX(0,ROUND(($D1453-INDEX(Config!$C$15:$C$18,MATCH($S1453,Config!$B$15:$B$18,0)))*24*60,0)),""))</f>
        <v/>
      </c>
      <c r="O1453" t="str">
        <f t="shared" si="92"/>
        <v/>
      </c>
      <c r="P1453" t="str">
        <f t="shared" si="93"/>
        <v/>
      </c>
      <c r="Q1453" t="str">
        <f>IF(OR($P1453="",$S1453=""),"",IFERROR($P1453-INDEX(Config!$E$15:$E$18,MATCH($S1453,Config!$B$15:$B$18,0)),""))</f>
        <v/>
      </c>
      <c r="R1453" t="str">
        <f t="shared" si="94"/>
        <v/>
      </c>
      <c r="S1453" s="6" t="str">
        <f>IF(OR($A1453="",$C1453=""),"",IFERROR(INDEX(Turno!$C$3:$V$32,MATCH($C1453,Turno!$B$3:$B$32,0),MATCH(DAY($A1453),Turno!$C$1:$V$1,0)),""))</f>
        <v/>
      </c>
      <c r="T1453" t="str">
        <f>IF(OR($E1453="",$S1453=""),"",IFERROR(MAX(0,ROUND((INDEX(Config!$D$15:$D$18,MATCH($S1453,Config!$B$15:$B$18,0))-$E1453)*1440,0)),""))</f>
        <v/>
      </c>
      <c r="U1453" s="13" t="str">
        <f>IF(OR($N1453="",$T1453=""),"",IFERROR(MAX(0,1-($N1453+$T1453+MAX(0,N($Q1453)))/ROUND((INDEX(Config!$D$15:$D$18,MATCH($S1453,Config!$B$15:$B$18,0))-INDEX(Config!$C$15:$C$18,MATCH($S1453,Config!$B$15:$B$18,0)))*1440,0)),""))</f>
        <v/>
      </c>
      <c r="V1453" s="5"/>
    </row>
    <row r="1454" spans="1:22" x14ac:dyDescent="0.25">
      <c r="A1454" s="11"/>
      <c r="B1454" s="5"/>
      <c r="C1454" s="6" t="str">
        <f>IFERROR(INDEX(Ejecutivos!$B$2:$B$100,MATCH(B1454,Ejecutivos!$A$2:$A$100,0)),"")</f>
        <v/>
      </c>
      <c r="D1454" s="12"/>
      <c r="E1454" s="12"/>
      <c r="F1454" s="12"/>
      <c r="G1454" s="12"/>
      <c r="H1454" s="5"/>
      <c r="I1454" s="5"/>
      <c r="J1454" s="5"/>
      <c r="K1454" s="5"/>
      <c r="L1454" s="18">
        <v>0</v>
      </c>
      <c r="M1454" t="str">
        <f t="shared" si="91"/>
        <v/>
      </c>
      <c r="N1454" t="str">
        <f>IF(OR($D1454="",$S1454=""),"",IFERROR(MAX(0,ROUND(($D1454-INDEX(Config!$C$15:$C$18,MATCH($S1454,Config!$B$15:$B$18,0)))*24*60,0)),""))</f>
        <v/>
      </c>
      <c r="O1454" t="str">
        <f t="shared" si="92"/>
        <v/>
      </c>
      <c r="P1454" t="str">
        <f t="shared" si="93"/>
        <v/>
      </c>
      <c r="Q1454" t="str">
        <f>IF(OR($P1454="",$S1454=""),"",IFERROR($P1454-INDEX(Config!$E$15:$E$18,MATCH($S1454,Config!$B$15:$B$18,0)),""))</f>
        <v/>
      </c>
      <c r="R1454" t="str">
        <f t="shared" si="94"/>
        <v/>
      </c>
      <c r="S1454" s="6" t="str">
        <f>IF(OR($A1454="",$C1454=""),"",IFERROR(INDEX(Turno!$C$3:$V$32,MATCH($C1454,Turno!$B$3:$B$32,0),MATCH(DAY($A1454),Turno!$C$1:$V$1,0)),""))</f>
        <v/>
      </c>
      <c r="T1454" t="str">
        <f>IF(OR($E1454="",$S1454=""),"",IFERROR(MAX(0,ROUND((INDEX(Config!$D$15:$D$18,MATCH($S1454,Config!$B$15:$B$18,0))-$E1454)*1440,0)),""))</f>
        <v/>
      </c>
      <c r="U1454" s="13" t="str">
        <f>IF(OR($N1454="",$T1454=""),"",IFERROR(MAX(0,1-($N1454+$T1454+MAX(0,N($Q1454)))/ROUND((INDEX(Config!$D$15:$D$18,MATCH($S1454,Config!$B$15:$B$18,0))-INDEX(Config!$C$15:$C$18,MATCH($S1454,Config!$B$15:$B$18,0)))*1440,0)),""))</f>
        <v/>
      </c>
      <c r="V1454" s="5"/>
    </row>
    <row r="1455" spans="1:22" x14ac:dyDescent="0.25">
      <c r="A1455" s="11"/>
      <c r="B1455" s="5"/>
      <c r="C1455" s="6" t="str">
        <f>IFERROR(INDEX(Ejecutivos!$B$2:$B$100,MATCH(B1455,Ejecutivos!$A$2:$A$100,0)),"")</f>
        <v/>
      </c>
      <c r="D1455" s="12"/>
      <c r="E1455" s="12"/>
      <c r="F1455" s="12"/>
      <c r="G1455" s="12"/>
      <c r="H1455" s="5"/>
      <c r="I1455" s="5"/>
      <c r="J1455" s="5"/>
      <c r="K1455" s="5"/>
      <c r="L1455" s="18">
        <v>0</v>
      </c>
      <c r="M1455" t="str">
        <f t="shared" si="91"/>
        <v/>
      </c>
      <c r="N1455" t="str">
        <f>IF(OR($D1455="",$S1455=""),"",IFERROR(MAX(0,ROUND(($D1455-INDEX(Config!$C$15:$C$18,MATCH($S1455,Config!$B$15:$B$18,0)))*24*60,0)),""))</f>
        <v/>
      </c>
      <c r="O1455" t="str">
        <f t="shared" si="92"/>
        <v/>
      </c>
      <c r="P1455" t="str">
        <f t="shared" si="93"/>
        <v/>
      </c>
      <c r="Q1455" t="str">
        <f>IF(OR($P1455="",$S1455=""),"",IFERROR($P1455-INDEX(Config!$E$15:$E$18,MATCH($S1455,Config!$B$15:$B$18,0)),""))</f>
        <v/>
      </c>
      <c r="R1455" t="str">
        <f t="shared" si="94"/>
        <v/>
      </c>
      <c r="S1455" s="6" t="str">
        <f>IF(OR($A1455="",$C1455=""),"",IFERROR(INDEX(Turno!$C$3:$V$32,MATCH($C1455,Turno!$B$3:$B$32,0),MATCH(DAY($A1455),Turno!$C$1:$V$1,0)),""))</f>
        <v/>
      </c>
      <c r="T1455" t="str">
        <f>IF(OR($E1455="",$S1455=""),"",IFERROR(MAX(0,ROUND((INDEX(Config!$D$15:$D$18,MATCH($S1455,Config!$B$15:$B$18,0))-$E1455)*1440,0)),""))</f>
        <v/>
      </c>
      <c r="U1455" s="13" t="str">
        <f>IF(OR($N1455="",$T1455=""),"",IFERROR(MAX(0,1-($N1455+$T1455+MAX(0,N($Q1455)))/ROUND((INDEX(Config!$D$15:$D$18,MATCH($S1455,Config!$B$15:$B$18,0))-INDEX(Config!$C$15:$C$18,MATCH($S1455,Config!$B$15:$B$18,0)))*1440,0)),""))</f>
        <v/>
      </c>
      <c r="V1455" s="5"/>
    </row>
    <row r="1456" spans="1:22" x14ac:dyDescent="0.25">
      <c r="A1456" s="11"/>
      <c r="B1456" s="5"/>
      <c r="C1456" s="6" t="str">
        <f>IFERROR(INDEX(Ejecutivos!$B$2:$B$100,MATCH(B1456,Ejecutivos!$A$2:$A$100,0)),"")</f>
        <v/>
      </c>
      <c r="D1456" s="12"/>
      <c r="E1456" s="12"/>
      <c r="F1456" s="12"/>
      <c r="G1456" s="12"/>
      <c r="H1456" s="5"/>
      <c r="I1456" s="5"/>
      <c r="J1456" s="5"/>
      <c r="K1456" s="5"/>
      <c r="L1456" s="18">
        <v>0</v>
      </c>
      <c r="M1456" t="str">
        <f t="shared" si="91"/>
        <v/>
      </c>
      <c r="N1456" t="str">
        <f>IF(OR($D1456="",$S1456=""),"",IFERROR(MAX(0,ROUND(($D1456-INDEX(Config!$C$15:$C$18,MATCH($S1456,Config!$B$15:$B$18,0)))*24*60,0)),""))</f>
        <v/>
      </c>
      <c r="O1456" t="str">
        <f t="shared" si="92"/>
        <v/>
      </c>
      <c r="P1456" t="str">
        <f t="shared" si="93"/>
        <v/>
      </c>
      <c r="Q1456" t="str">
        <f>IF(OR($P1456="",$S1456=""),"",IFERROR($P1456-INDEX(Config!$E$15:$E$18,MATCH($S1456,Config!$B$15:$B$18,0)),""))</f>
        <v/>
      </c>
      <c r="R1456" t="str">
        <f t="shared" si="94"/>
        <v/>
      </c>
      <c r="S1456" s="6" t="str">
        <f>IF(OR($A1456="",$C1456=""),"",IFERROR(INDEX(Turno!$C$3:$V$32,MATCH($C1456,Turno!$B$3:$B$32,0),MATCH(DAY($A1456),Turno!$C$1:$V$1,0)),""))</f>
        <v/>
      </c>
      <c r="T1456" t="str">
        <f>IF(OR($E1456="",$S1456=""),"",IFERROR(MAX(0,ROUND((INDEX(Config!$D$15:$D$18,MATCH($S1456,Config!$B$15:$B$18,0))-$E1456)*1440,0)),""))</f>
        <v/>
      </c>
      <c r="U1456" s="13" t="str">
        <f>IF(OR($N1456="",$T1456=""),"",IFERROR(MAX(0,1-($N1456+$T1456+MAX(0,N($Q1456)))/ROUND((INDEX(Config!$D$15:$D$18,MATCH($S1456,Config!$B$15:$B$18,0))-INDEX(Config!$C$15:$C$18,MATCH($S1456,Config!$B$15:$B$18,0)))*1440,0)),""))</f>
        <v/>
      </c>
      <c r="V1456" s="5"/>
    </row>
    <row r="1457" spans="1:22" x14ac:dyDescent="0.25">
      <c r="A1457" s="11"/>
      <c r="B1457" s="5"/>
      <c r="C1457" s="6" t="str">
        <f>IFERROR(INDEX(Ejecutivos!$B$2:$B$100,MATCH(B1457,Ejecutivos!$A$2:$A$100,0)),"")</f>
        <v/>
      </c>
      <c r="D1457" s="12"/>
      <c r="E1457" s="12"/>
      <c r="F1457" s="12"/>
      <c r="G1457" s="12"/>
      <c r="H1457" s="5"/>
      <c r="I1457" s="5"/>
      <c r="J1457" s="5"/>
      <c r="K1457" s="5"/>
      <c r="L1457" s="18">
        <v>0</v>
      </c>
      <c r="M1457" t="str">
        <f t="shared" si="91"/>
        <v/>
      </c>
      <c r="N1457" t="str">
        <f>IF(OR($D1457="",$S1457=""),"",IFERROR(MAX(0,ROUND(($D1457-INDEX(Config!$C$15:$C$18,MATCH($S1457,Config!$B$15:$B$18,0)))*24*60,0)),""))</f>
        <v/>
      </c>
      <c r="O1457" t="str">
        <f t="shared" si="92"/>
        <v/>
      </c>
      <c r="P1457" t="str">
        <f t="shared" si="93"/>
        <v/>
      </c>
      <c r="Q1457" t="str">
        <f>IF(OR($P1457="",$S1457=""),"",IFERROR($P1457-INDEX(Config!$E$15:$E$18,MATCH($S1457,Config!$B$15:$B$18,0)),""))</f>
        <v/>
      </c>
      <c r="R1457" t="str">
        <f t="shared" si="94"/>
        <v/>
      </c>
      <c r="S1457" s="6" t="str">
        <f>IF(OR($A1457="",$C1457=""),"",IFERROR(INDEX(Turno!$C$3:$V$32,MATCH($C1457,Turno!$B$3:$B$32,0),MATCH(DAY($A1457),Turno!$C$1:$V$1,0)),""))</f>
        <v/>
      </c>
      <c r="T1457" t="str">
        <f>IF(OR($E1457="",$S1457=""),"",IFERROR(MAX(0,ROUND((INDEX(Config!$D$15:$D$18,MATCH($S1457,Config!$B$15:$B$18,0))-$E1457)*1440,0)),""))</f>
        <v/>
      </c>
      <c r="U1457" s="13" t="str">
        <f>IF(OR($N1457="",$T1457=""),"",IFERROR(MAX(0,1-($N1457+$T1457+MAX(0,N($Q1457)))/ROUND((INDEX(Config!$D$15:$D$18,MATCH($S1457,Config!$B$15:$B$18,0))-INDEX(Config!$C$15:$C$18,MATCH($S1457,Config!$B$15:$B$18,0)))*1440,0)),""))</f>
        <v/>
      </c>
      <c r="V1457" s="5"/>
    </row>
    <row r="1458" spans="1:22" x14ac:dyDescent="0.25">
      <c r="A1458" s="11"/>
      <c r="B1458" s="5"/>
      <c r="C1458" s="6" t="str">
        <f>IFERROR(INDEX(Ejecutivos!$B$2:$B$100,MATCH(B1458,Ejecutivos!$A$2:$A$100,0)),"")</f>
        <v/>
      </c>
      <c r="D1458" s="12"/>
      <c r="E1458" s="12"/>
      <c r="F1458" s="12"/>
      <c r="G1458" s="12"/>
      <c r="H1458" s="5"/>
      <c r="I1458" s="5"/>
      <c r="J1458" s="5"/>
      <c r="K1458" s="5"/>
      <c r="L1458" s="18">
        <v>0</v>
      </c>
      <c r="M1458" t="str">
        <f t="shared" si="91"/>
        <v/>
      </c>
      <c r="N1458" t="str">
        <f>IF(OR($D1458="",$S1458=""),"",IFERROR(MAX(0,ROUND(($D1458-INDEX(Config!$C$15:$C$18,MATCH($S1458,Config!$B$15:$B$18,0)))*24*60,0)),""))</f>
        <v/>
      </c>
      <c r="O1458" t="str">
        <f t="shared" si="92"/>
        <v/>
      </c>
      <c r="P1458" t="str">
        <f t="shared" si="93"/>
        <v/>
      </c>
      <c r="Q1458" t="str">
        <f>IF(OR($P1458="",$S1458=""),"",IFERROR($P1458-INDEX(Config!$E$15:$E$18,MATCH($S1458,Config!$B$15:$B$18,0)),""))</f>
        <v/>
      </c>
      <c r="R1458" t="str">
        <f t="shared" si="94"/>
        <v/>
      </c>
      <c r="S1458" s="6" t="str">
        <f>IF(OR($A1458="",$C1458=""),"",IFERROR(INDEX(Turno!$C$3:$V$32,MATCH($C1458,Turno!$B$3:$B$32,0),MATCH(DAY($A1458),Turno!$C$1:$V$1,0)),""))</f>
        <v/>
      </c>
      <c r="T1458" t="str">
        <f>IF(OR($E1458="",$S1458=""),"",IFERROR(MAX(0,ROUND((INDEX(Config!$D$15:$D$18,MATCH($S1458,Config!$B$15:$B$18,0))-$E1458)*1440,0)),""))</f>
        <v/>
      </c>
      <c r="U1458" s="13" t="str">
        <f>IF(OR($N1458="",$T1458=""),"",IFERROR(MAX(0,1-($N1458+$T1458+MAX(0,N($Q1458)))/ROUND((INDEX(Config!$D$15:$D$18,MATCH($S1458,Config!$B$15:$B$18,0))-INDEX(Config!$C$15:$C$18,MATCH($S1458,Config!$B$15:$B$18,0)))*1440,0)),""))</f>
        <v/>
      </c>
      <c r="V1458" s="5"/>
    </row>
    <row r="1459" spans="1:22" x14ac:dyDescent="0.25">
      <c r="A1459" s="11"/>
      <c r="B1459" s="5"/>
      <c r="C1459" s="6" t="str">
        <f>IFERROR(INDEX(Ejecutivos!$B$2:$B$100,MATCH(B1459,Ejecutivos!$A$2:$A$100,0)),"")</f>
        <v/>
      </c>
      <c r="D1459" s="12"/>
      <c r="E1459" s="12"/>
      <c r="F1459" s="12"/>
      <c r="G1459" s="12"/>
      <c r="H1459" s="5"/>
      <c r="I1459" s="5"/>
      <c r="J1459" s="5"/>
      <c r="K1459" s="5"/>
      <c r="L1459" s="18">
        <v>0</v>
      </c>
      <c r="M1459" t="str">
        <f t="shared" si="91"/>
        <v/>
      </c>
      <c r="N1459" t="str">
        <f>IF(OR($D1459="",$S1459=""),"",IFERROR(MAX(0,ROUND(($D1459-INDEX(Config!$C$15:$C$18,MATCH($S1459,Config!$B$15:$B$18,0)))*24*60,0)),""))</f>
        <v/>
      </c>
      <c r="O1459" t="str">
        <f t="shared" si="92"/>
        <v/>
      </c>
      <c r="P1459" t="str">
        <f t="shared" si="93"/>
        <v/>
      </c>
      <c r="Q1459" t="str">
        <f>IF(OR($P1459="",$S1459=""),"",IFERROR($P1459-INDEX(Config!$E$15:$E$18,MATCH($S1459,Config!$B$15:$B$18,0)),""))</f>
        <v/>
      </c>
      <c r="R1459" t="str">
        <f t="shared" si="94"/>
        <v/>
      </c>
      <c r="S1459" s="6" t="str">
        <f>IF(OR($A1459="",$C1459=""),"",IFERROR(INDEX(Turno!$C$3:$V$32,MATCH($C1459,Turno!$B$3:$B$32,0),MATCH(DAY($A1459),Turno!$C$1:$V$1,0)),""))</f>
        <v/>
      </c>
      <c r="T1459" t="str">
        <f>IF(OR($E1459="",$S1459=""),"",IFERROR(MAX(0,ROUND((INDEX(Config!$D$15:$D$18,MATCH($S1459,Config!$B$15:$B$18,0))-$E1459)*1440,0)),""))</f>
        <v/>
      </c>
      <c r="U1459" s="13" t="str">
        <f>IF(OR($N1459="",$T1459=""),"",IFERROR(MAX(0,1-($N1459+$T1459+MAX(0,N($Q1459)))/ROUND((INDEX(Config!$D$15:$D$18,MATCH($S1459,Config!$B$15:$B$18,0))-INDEX(Config!$C$15:$C$18,MATCH($S1459,Config!$B$15:$B$18,0)))*1440,0)),""))</f>
        <v/>
      </c>
      <c r="V1459" s="5"/>
    </row>
    <row r="1460" spans="1:22" x14ac:dyDescent="0.25">
      <c r="A1460" s="11"/>
      <c r="B1460" s="5"/>
      <c r="C1460" s="6" t="str">
        <f>IFERROR(INDEX(Ejecutivos!$B$2:$B$100,MATCH(B1460,Ejecutivos!$A$2:$A$100,0)),"")</f>
        <v/>
      </c>
      <c r="D1460" s="12"/>
      <c r="E1460" s="12"/>
      <c r="F1460" s="12"/>
      <c r="G1460" s="12"/>
      <c r="H1460" s="5"/>
      <c r="I1460" s="5"/>
      <c r="J1460" s="5"/>
      <c r="K1460" s="5"/>
      <c r="L1460" s="18">
        <v>0</v>
      </c>
      <c r="M1460" t="str">
        <f t="shared" si="91"/>
        <v/>
      </c>
      <c r="N1460" t="str">
        <f>IF(OR($D1460="",$S1460=""),"",IFERROR(MAX(0,ROUND(($D1460-INDEX(Config!$C$15:$C$18,MATCH($S1460,Config!$B$15:$B$18,0)))*24*60,0)),""))</f>
        <v/>
      </c>
      <c r="O1460" t="str">
        <f t="shared" si="92"/>
        <v/>
      </c>
      <c r="P1460" t="str">
        <f t="shared" si="93"/>
        <v/>
      </c>
      <c r="Q1460" t="str">
        <f>IF(OR($P1460="",$S1460=""),"",IFERROR($P1460-INDEX(Config!$E$15:$E$18,MATCH($S1460,Config!$B$15:$B$18,0)),""))</f>
        <v/>
      </c>
      <c r="R1460" t="str">
        <f t="shared" si="94"/>
        <v/>
      </c>
      <c r="S1460" s="6" t="str">
        <f>IF(OR($A1460="",$C1460=""),"",IFERROR(INDEX(Turno!$C$3:$V$32,MATCH($C1460,Turno!$B$3:$B$32,0),MATCH(DAY($A1460),Turno!$C$1:$V$1,0)),""))</f>
        <v/>
      </c>
      <c r="T1460" t="str">
        <f>IF(OR($E1460="",$S1460=""),"",IFERROR(MAX(0,ROUND((INDEX(Config!$D$15:$D$18,MATCH($S1460,Config!$B$15:$B$18,0))-$E1460)*1440,0)),""))</f>
        <v/>
      </c>
      <c r="U1460" s="13" t="str">
        <f>IF(OR($N1460="",$T1460=""),"",IFERROR(MAX(0,1-($N1460+$T1460+MAX(0,N($Q1460)))/ROUND((INDEX(Config!$D$15:$D$18,MATCH($S1460,Config!$B$15:$B$18,0))-INDEX(Config!$C$15:$C$18,MATCH($S1460,Config!$B$15:$B$18,0)))*1440,0)),""))</f>
        <v/>
      </c>
      <c r="V1460" s="5"/>
    </row>
    <row r="1461" spans="1:22" x14ac:dyDescent="0.25">
      <c r="A1461" s="11"/>
      <c r="B1461" s="5"/>
      <c r="C1461" s="6" t="str">
        <f>IFERROR(INDEX(Ejecutivos!$B$2:$B$100,MATCH(B1461,Ejecutivos!$A$2:$A$100,0)),"")</f>
        <v/>
      </c>
      <c r="D1461" s="12"/>
      <c r="E1461" s="12"/>
      <c r="F1461" s="12"/>
      <c r="G1461" s="12"/>
      <c r="H1461" s="5"/>
      <c r="I1461" s="5"/>
      <c r="J1461" s="5"/>
      <c r="K1461" s="5"/>
      <c r="L1461" s="18">
        <v>0</v>
      </c>
      <c r="M1461" t="str">
        <f t="shared" ref="M1461:M1492" si="95">IF(OR(D1461="",E1461=""),"",ROUND(((E1461-D1461)*24)-((G1461-F1461)*24)-((H1461+I1461)/60),2))</f>
        <v/>
      </c>
      <c r="N1461" t="str">
        <f>IF(OR($D1461="",$S1461=""),"",IFERROR(MAX(0,ROUND(($D1461-INDEX(Config!$C$15:$C$18,MATCH($S1461,Config!$B$15:$B$18,0)))*24*60,0)),""))</f>
        <v/>
      </c>
      <c r="O1461" t="str">
        <f t="shared" ref="O1461:O1492" si="96">IF(OR(F1461="",G1461=""),"",ROUND((G1461-F1461)*24*60,0))</f>
        <v/>
      </c>
      <c r="P1461" t="str">
        <f t="shared" ref="P1461:P1492" si="97">IF(O1461="","",O1461+H1461+I1461)</f>
        <v/>
      </c>
      <c r="Q1461" t="str">
        <f>IF(OR($P1461="",$S1461=""),"",IFERROR($P1461-INDEX(Config!$E$15:$E$18,MATCH($S1461,Config!$B$15:$B$18,0)),""))</f>
        <v/>
      </c>
      <c r="R1461" t="str">
        <f t="shared" ref="R1461:R1492" si="98">IF($A1461="","",IF($D1461="","Ausente",IF($N1461="","",IF($N1461&gt;0,"Atrasado","Puntual"))))</f>
        <v/>
      </c>
      <c r="S1461" s="6" t="str">
        <f>IF(OR($A1461="",$C1461=""),"",IFERROR(INDEX(Turno!$C$3:$V$32,MATCH($C1461,Turno!$B$3:$B$32,0),MATCH(DAY($A1461),Turno!$C$1:$V$1,0)),""))</f>
        <v/>
      </c>
      <c r="T1461" t="str">
        <f>IF(OR($E1461="",$S1461=""),"",IFERROR(MAX(0,ROUND((INDEX(Config!$D$15:$D$18,MATCH($S1461,Config!$B$15:$B$18,0))-$E1461)*1440,0)),""))</f>
        <v/>
      </c>
      <c r="U1461" s="13" t="str">
        <f>IF(OR($N1461="",$T1461=""),"",IFERROR(MAX(0,1-($N1461+$T1461+MAX(0,N($Q1461)))/ROUND((INDEX(Config!$D$15:$D$18,MATCH($S1461,Config!$B$15:$B$18,0))-INDEX(Config!$C$15:$C$18,MATCH($S1461,Config!$B$15:$B$18,0)))*1440,0)),""))</f>
        <v/>
      </c>
      <c r="V1461" s="5"/>
    </row>
    <row r="1462" spans="1:22" x14ac:dyDescent="0.25">
      <c r="A1462" s="11"/>
      <c r="B1462" s="5"/>
      <c r="C1462" s="6" t="str">
        <f>IFERROR(INDEX(Ejecutivos!$B$2:$B$100,MATCH(B1462,Ejecutivos!$A$2:$A$100,0)),"")</f>
        <v/>
      </c>
      <c r="D1462" s="12"/>
      <c r="E1462" s="12"/>
      <c r="F1462" s="12"/>
      <c r="G1462" s="12"/>
      <c r="H1462" s="5"/>
      <c r="I1462" s="5"/>
      <c r="J1462" s="5"/>
      <c r="K1462" s="5"/>
      <c r="L1462" s="18">
        <v>0</v>
      </c>
      <c r="M1462" t="str">
        <f t="shared" si="95"/>
        <v/>
      </c>
      <c r="N1462" t="str">
        <f>IF(OR($D1462="",$S1462=""),"",IFERROR(MAX(0,ROUND(($D1462-INDEX(Config!$C$15:$C$18,MATCH($S1462,Config!$B$15:$B$18,0)))*24*60,0)),""))</f>
        <v/>
      </c>
      <c r="O1462" t="str">
        <f t="shared" si="96"/>
        <v/>
      </c>
      <c r="P1462" t="str">
        <f t="shared" si="97"/>
        <v/>
      </c>
      <c r="Q1462" t="str">
        <f>IF(OR($P1462="",$S1462=""),"",IFERROR($P1462-INDEX(Config!$E$15:$E$18,MATCH($S1462,Config!$B$15:$B$18,0)),""))</f>
        <v/>
      </c>
      <c r="R1462" t="str">
        <f t="shared" si="98"/>
        <v/>
      </c>
      <c r="S1462" s="6" t="str">
        <f>IF(OR($A1462="",$C1462=""),"",IFERROR(INDEX(Turno!$C$3:$V$32,MATCH($C1462,Turno!$B$3:$B$32,0),MATCH(DAY($A1462),Turno!$C$1:$V$1,0)),""))</f>
        <v/>
      </c>
      <c r="T1462" t="str">
        <f>IF(OR($E1462="",$S1462=""),"",IFERROR(MAX(0,ROUND((INDEX(Config!$D$15:$D$18,MATCH($S1462,Config!$B$15:$B$18,0))-$E1462)*1440,0)),""))</f>
        <v/>
      </c>
      <c r="U1462" s="13" t="str">
        <f>IF(OR($N1462="",$T1462=""),"",IFERROR(MAX(0,1-($N1462+$T1462+MAX(0,N($Q1462)))/ROUND((INDEX(Config!$D$15:$D$18,MATCH($S1462,Config!$B$15:$B$18,0))-INDEX(Config!$C$15:$C$18,MATCH($S1462,Config!$B$15:$B$18,0)))*1440,0)),""))</f>
        <v/>
      </c>
      <c r="V1462" s="5"/>
    </row>
    <row r="1463" spans="1:22" x14ac:dyDescent="0.25">
      <c r="A1463" s="11"/>
      <c r="B1463" s="5"/>
      <c r="C1463" s="6" t="str">
        <f>IFERROR(INDEX(Ejecutivos!$B$2:$B$100,MATCH(B1463,Ejecutivos!$A$2:$A$100,0)),"")</f>
        <v/>
      </c>
      <c r="D1463" s="12"/>
      <c r="E1463" s="12"/>
      <c r="F1463" s="12"/>
      <c r="G1463" s="12"/>
      <c r="H1463" s="5"/>
      <c r="I1463" s="5"/>
      <c r="J1463" s="5"/>
      <c r="K1463" s="5"/>
      <c r="L1463" s="18">
        <v>0</v>
      </c>
      <c r="M1463" t="str">
        <f t="shared" si="95"/>
        <v/>
      </c>
      <c r="N1463" t="str">
        <f>IF(OR($D1463="",$S1463=""),"",IFERROR(MAX(0,ROUND(($D1463-INDEX(Config!$C$15:$C$18,MATCH($S1463,Config!$B$15:$B$18,0)))*24*60,0)),""))</f>
        <v/>
      </c>
      <c r="O1463" t="str">
        <f t="shared" si="96"/>
        <v/>
      </c>
      <c r="P1463" t="str">
        <f t="shared" si="97"/>
        <v/>
      </c>
      <c r="Q1463" t="str">
        <f>IF(OR($P1463="",$S1463=""),"",IFERROR($P1463-INDEX(Config!$E$15:$E$18,MATCH($S1463,Config!$B$15:$B$18,0)),""))</f>
        <v/>
      </c>
      <c r="R1463" t="str">
        <f t="shared" si="98"/>
        <v/>
      </c>
      <c r="S1463" s="6" t="str">
        <f>IF(OR($A1463="",$C1463=""),"",IFERROR(INDEX(Turno!$C$3:$V$32,MATCH($C1463,Turno!$B$3:$B$32,0),MATCH(DAY($A1463),Turno!$C$1:$V$1,0)),""))</f>
        <v/>
      </c>
      <c r="T1463" t="str">
        <f>IF(OR($E1463="",$S1463=""),"",IFERROR(MAX(0,ROUND((INDEX(Config!$D$15:$D$18,MATCH($S1463,Config!$B$15:$B$18,0))-$E1463)*1440,0)),""))</f>
        <v/>
      </c>
      <c r="U1463" s="13" t="str">
        <f>IF(OR($N1463="",$T1463=""),"",IFERROR(MAX(0,1-($N1463+$T1463+MAX(0,N($Q1463)))/ROUND((INDEX(Config!$D$15:$D$18,MATCH($S1463,Config!$B$15:$B$18,0))-INDEX(Config!$C$15:$C$18,MATCH($S1463,Config!$B$15:$B$18,0)))*1440,0)),""))</f>
        <v/>
      </c>
      <c r="V1463" s="5"/>
    </row>
    <row r="1464" spans="1:22" x14ac:dyDescent="0.25">
      <c r="A1464" s="11"/>
      <c r="B1464" s="5"/>
      <c r="C1464" s="6" t="str">
        <f>IFERROR(INDEX(Ejecutivos!$B$2:$B$100,MATCH(B1464,Ejecutivos!$A$2:$A$100,0)),"")</f>
        <v/>
      </c>
      <c r="D1464" s="12"/>
      <c r="E1464" s="12"/>
      <c r="F1464" s="12"/>
      <c r="G1464" s="12"/>
      <c r="H1464" s="5"/>
      <c r="I1464" s="5"/>
      <c r="J1464" s="5"/>
      <c r="K1464" s="5"/>
      <c r="L1464" s="18">
        <v>0</v>
      </c>
      <c r="M1464" t="str">
        <f t="shared" si="95"/>
        <v/>
      </c>
      <c r="N1464" t="str">
        <f>IF(OR($D1464="",$S1464=""),"",IFERROR(MAX(0,ROUND(($D1464-INDEX(Config!$C$15:$C$18,MATCH($S1464,Config!$B$15:$B$18,0)))*24*60,0)),""))</f>
        <v/>
      </c>
      <c r="O1464" t="str">
        <f t="shared" si="96"/>
        <v/>
      </c>
      <c r="P1464" t="str">
        <f t="shared" si="97"/>
        <v/>
      </c>
      <c r="Q1464" t="str">
        <f>IF(OR($P1464="",$S1464=""),"",IFERROR($P1464-INDEX(Config!$E$15:$E$18,MATCH($S1464,Config!$B$15:$B$18,0)),""))</f>
        <v/>
      </c>
      <c r="R1464" t="str">
        <f t="shared" si="98"/>
        <v/>
      </c>
      <c r="S1464" s="6" t="str">
        <f>IF(OR($A1464="",$C1464=""),"",IFERROR(INDEX(Turno!$C$3:$V$32,MATCH($C1464,Turno!$B$3:$B$32,0),MATCH(DAY($A1464),Turno!$C$1:$V$1,0)),""))</f>
        <v/>
      </c>
      <c r="T1464" t="str">
        <f>IF(OR($E1464="",$S1464=""),"",IFERROR(MAX(0,ROUND((INDEX(Config!$D$15:$D$18,MATCH($S1464,Config!$B$15:$B$18,0))-$E1464)*1440,0)),""))</f>
        <v/>
      </c>
      <c r="U1464" s="13" t="str">
        <f>IF(OR($N1464="",$T1464=""),"",IFERROR(MAX(0,1-($N1464+$T1464+MAX(0,N($Q1464)))/ROUND((INDEX(Config!$D$15:$D$18,MATCH($S1464,Config!$B$15:$B$18,0))-INDEX(Config!$C$15:$C$18,MATCH($S1464,Config!$B$15:$B$18,0)))*1440,0)),""))</f>
        <v/>
      </c>
      <c r="V1464" s="5"/>
    </row>
    <row r="1465" spans="1:22" x14ac:dyDescent="0.25">
      <c r="A1465" s="11"/>
      <c r="B1465" s="5"/>
      <c r="C1465" s="6" t="str">
        <f>IFERROR(INDEX(Ejecutivos!$B$2:$B$100,MATCH(B1465,Ejecutivos!$A$2:$A$100,0)),"")</f>
        <v/>
      </c>
      <c r="D1465" s="12"/>
      <c r="E1465" s="12"/>
      <c r="F1465" s="12"/>
      <c r="G1465" s="12"/>
      <c r="H1465" s="5"/>
      <c r="I1465" s="5"/>
      <c r="J1465" s="5"/>
      <c r="K1465" s="5"/>
      <c r="L1465" s="18">
        <v>0</v>
      </c>
      <c r="M1465" t="str">
        <f t="shared" si="95"/>
        <v/>
      </c>
      <c r="N1465" t="str">
        <f>IF(OR($D1465="",$S1465=""),"",IFERROR(MAX(0,ROUND(($D1465-INDEX(Config!$C$15:$C$18,MATCH($S1465,Config!$B$15:$B$18,0)))*24*60,0)),""))</f>
        <v/>
      </c>
      <c r="O1465" t="str">
        <f t="shared" si="96"/>
        <v/>
      </c>
      <c r="P1465" t="str">
        <f t="shared" si="97"/>
        <v/>
      </c>
      <c r="Q1465" t="str">
        <f>IF(OR($P1465="",$S1465=""),"",IFERROR($P1465-INDEX(Config!$E$15:$E$18,MATCH($S1465,Config!$B$15:$B$18,0)),""))</f>
        <v/>
      </c>
      <c r="R1465" t="str">
        <f t="shared" si="98"/>
        <v/>
      </c>
      <c r="S1465" s="6" t="str">
        <f>IF(OR($A1465="",$C1465=""),"",IFERROR(INDEX(Turno!$C$3:$V$32,MATCH($C1465,Turno!$B$3:$B$32,0),MATCH(DAY($A1465),Turno!$C$1:$V$1,0)),""))</f>
        <v/>
      </c>
      <c r="T1465" t="str">
        <f>IF(OR($E1465="",$S1465=""),"",IFERROR(MAX(0,ROUND((INDEX(Config!$D$15:$D$18,MATCH($S1465,Config!$B$15:$B$18,0))-$E1465)*1440,0)),""))</f>
        <v/>
      </c>
      <c r="U1465" s="13" t="str">
        <f>IF(OR($N1465="",$T1465=""),"",IFERROR(MAX(0,1-($N1465+$T1465+MAX(0,N($Q1465)))/ROUND((INDEX(Config!$D$15:$D$18,MATCH($S1465,Config!$B$15:$B$18,0))-INDEX(Config!$C$15:$C$18,MATCH($S1465,Config!$B$15:$B$18,0)))*1440,0)),""))</f>
        <v/>
      </c>
      <c r="V1465" s="5"/>
    </row>
    <row r="1466" spans="1:22" x14ac:dyDescent="0.25">
      <c r="A1466" s="11"/>
      <c r="B1466" s="5"/>
      <c r="C1466" s="6" t="str">
        <f>IFERROR(INDEX(Ejecutivos!$B$2:$B$100,MATCH(B1466,Ejecutivos!$A$2:$A$100,0)),"")</f>
        <v/>
      </c>
      <c r="D1466" s="12"/>
      <c r="E1466" s="12"/>
      <c r="F1466" s="12"/>
      <c r="G1466" s="12"/>
      <c r="H1466" s="5"/>
      <c r="I1466" s="5"/>
      <c r="J1466" s="5"/>
      <c r="K1466" s="5"/>
      <c r="L1466" s="18">
        <v>0</v>
      </c>
      <c r="M1466" t="str">
        <f t="shared" si="95"/>
        <v/>
      </c>
      <c r="N1466" t="str">
        <f>IF(OR($D1466="",$S1466=""),"",IFERROR(MAX(0,ROUND(($D1466-INDEX(Config!$C$15:$C$18,MATCH($S1466,Config!$B$15:$B$18,0)))*24*60,0)),""))</f>
        <v/>
      </c>
      <c r="O1466" t="str">
        <f t="shared" si="96"/>
        <v/>
      </c>
      <c r="P1466" t="str">
        <f t="shared" si="97"/>
        <v/>
      </c>
      <c r="Q1466" t="str">
        <f>IF(OR($P1466="",$S1466=""),"",IFERROR($P1466-INDEX(Config!$E$15:$E$18,MATCH($S1466,Config!$B$15:$B$18,0)),""))</f>
        <v/>
      </c>
      <c r="R1466" t="str">
        <f t="shared" si="98"/>
        <v/>
      </c>
      <c r="S1466" s="6" t="str">
        <f>IF(OR($A1466="",$C1466=""),"",IFERROR(INDEX(Turno!$C$3:$V$32,MATCH($C1466,Turno!$B$3:$B$32,0),MATCH(DAY($A1466),Turno!$C$1:$V$1,0)),""))</f>
        <v/>
      </c>
      <c r="T1466" t="str">
        <f>IF(OR($E1466="",$S1466=""),"",IFERROR(MAX(0,ROUND((INDEX(Config!$D$15:$D$18,MATCH($S1466,Config!$B$15:$B$18,0))-$E1466)*1440,0)),""))</f>
        <v/>
      </c>
      <c r="U1466" s="13" t="str">
        <f>IF(OR($N1466="",$T1466=""),"",IFERROR(MAX(0,1-($N1466+$T1466+MAX(0,N($Q1466)))/ROUND((INDEX(Config!$D$15:$D$18,MATCH($S1466,Config!$B$15:$B$18,0))-INDEX(Config!$C$15:$C$18,MATCH($S1466,Config!$B$15:$B$18,0)))*1440,0)),""))</f>
        <v/>
      </c>
      <c r="V1466" s="5"/>
    </row>
    <row r="1467" spans="1:22" x14ac:dyDescent="0.25">
      <c r="A1467" s="11"/>
      <c r="B1467" s="5"/>
      <c r="C1467" s="6" t="str">
        <f>IFERROR(INDEX(Ejecutivos!$B$2:$B$100,MATCH(B1467,Ejecutivos!$A$2:$A$100,0)),"")</f>
        <v/>
      </c>
      <c r="D1467" s="12"/>
      <c r="E1467" s="12"/>
      <c r="F1467" s="12"/>
      <c r="G1467" s="12"/>
      <c r="H1467" s="5"/>
      <c r="I1467" s="5"/>
      <c r="J1467" s="5"/>
      <c r="K1467" s="5"/>
      <c r="L1467" s="18">
        <v>0</v>
      </c>
      <c r="M1467" t="str">
        <f t="shared" si="95"/>
        <v/>
      </c>
      <c r="N1467" t="str">
        <f>IF(OR($D1467="",$S1467=""),"",IFERROR(MAX(0,ROUND(($D1467-INDEX(Config!$C$15:$C$18,MATCH($S1467,Config!$B$15:$B$18,0)))*24*60,0)),""))</f>
        <v/>
      </c>
      <c r="O1467" t="str">
        <f t="shared" si="96"/>
        <v/>
      </c>
      <c r="P1467" t="str">
        <f t="shared" si="97"/>
        <v/>
      </c>
      <c r="Q1467" t="str">
        <f>IF(OR($P1467="",$S1467=""),"",IFERROR($P1467-INDEX(Config!$E$15:$E$18,MATCH($S1467,Config!$B$15:$B$18,0)),""))</f>
        <v/>
      </c>
      <c r="R1467" t="str">
        <f t="shared" si="98"/>
        <v/>
      </c>
      <c r="S1467" s="6" t="str">
        <f>IF(OR($A1467="",$C1467=""),"",IFERROR(INDEX(Turno!$C$3:$V$32,MATCH($C1467,Turno!$B$3:$B$32,0),MATCH(DAY($A1467),Turno!$C$1:$V$1,0)),""))</f>
        <v/>
      </c>
      <c r="T1467" t="str">
        <f>IF(OR($E1467="",$S1467=""),"",IFERROR(MAX(0,ROUND((INDEX(Config!$D$15:$D$18,MATCH($S1467,Config!$B$15:$B$18,0))-$E1467)*1440,0)),""))</f>
        <v/>
      </c>
      <c r="U1467" s="13" t="str">
        <f>IF(OR($N1467="",$T1467=""),"",IFERROR(MAX(0,1-($N1467+$T1467+MAX(0,N($Q1467)))/ROUND((INDEX(Config!$D$15:$D$18,MATCH($S1467,Config!$B$15:$B$18,0))-INDEX(Config!$C$15:$C$18,MATCH($S1467,Config!$B$15:$B$18,0)))*1440,0)),""))</f>
        <v/>
      </c>
      <c r="V1467" s="5"/>
    </row>
    <row r="1468" spans="1:22" x14ac:dyDescent="0.25">
      <c r="A1468" s="11"/>
      <c r="B1468" s="5"/>
      <c r="C1468" s="6" t="str">
        <f>IFERROR(INDEX(Ejecutivos!$B$2:$B$100,MATCH(B1468,Ejecutivos!$A$2:$A$100,0)),"")</f>
        <v/>
      </c>
      <c r="D1468" s="12"/>
      <c r="E1468" s="12"/>
      <c r="F1468" s="12"/>
      <c r="G1468" s="12"/>
      <c r="H1468" s="5"/>
      <c r="I1468" s="5"/>
      <c r="J1468" s="5"/>
      <c r="K1468" s="5"/>
      <c r="L1468" s="18">
        <v>0</v>
      </c>
      <c r="M1468" t="str">
        <f t="shared" si="95"/>
        <v/>
      </c>
      <c r="N1468" t="str">
        <f>IF(OR($D1468="",$S1468=""),"",IFERROR(MAX(0,ROUND(($D1468-INDEX(Config!$C$15:$C$18,MATCH($S1468,Config!$B$15:$B$18,0)))*24*60,0)),""))</f>
        <v/>
      </c>
      <c r="O1468" t="str">
        <f t="shared" si="96"/>
        <v/>
      </c>
      <c r="P1468" t="str">
        <f t="shared" si="97"/>
        <v/>
      </c>
      <c r="Q1468" t="str">
        <f>IF(OR($P1468="",$S1468=""),"",IFERROR($P1468-INDEX(Config!$E$15:$E$18,MATCH($S1468,Config!$B$15:$B$18,0)),""))</f>
        <v/>
      </c>
      <c r="R1468" t="str">
        <f t="shared" si="98"/>
        <v/>
      </c>
      <c r="S1468" s="6" t="str">
        <f>IF(OR($A1468="",$C1468=""),"",IFERROR(INDEX(Turno!$C$3:$V$32,MATCH($C1468,Turno!$B$3:$B$32,0),MATCH(DAY($A1468),Turno!$C$1:$V$1,0)),""))</f>
        <v/>
      </c>
      <c r="T1468" t="str">
        <f>IF(OR($E1468="",$S1468=""),"",IFERROR(MAX(0,ROUND((INDEX(Config!$D$15:$D$18,MATCH($S1468,Config!$B$15:$B$18,0))-$E1468)*1440,0)),""))</f>
        <v/>
      </c>
      <c r="U1468" s="13" t="str">
        <f>IF(OR($N1468="",$T1468=""),"",IFERROR(MAX(0,1-($N1468+$T1468+MAX(0,N($Q1468)))/ROUND((INDEX(Config!$D$15:$D$18,MATCH($S1468,Config!$B$15:$B$18,0))-INDEX(Config!$C$15:$C$18,MATCH($S1468,Config!$B$15:$B$18,0)))*1440,0)),""))</f>
        <v/>
      </c>
      <c r="V1468" s="5"/>
    </row>
    <row r="1469" spans="1:22" x14ac:dyDescent="0.25">
      <c r="A1469" s="11"/>
      <c r="B1469" s="5"/>
      <c r="C1469" s="6" t="str">
        <f>IFERROR(INDEX(Ejecutivos!$B$2:$B$100,MATCH(B1469,Ejecutivos!$A$2:$A$100,0)),"")</f>
        <v/>
      </c>
      <c r="D1469" s="12"/>
      <c r="E1469" s="12"/>
      <c r="F1469" s="12"/>
      <c r="G1469" s="12"/>
      <c r="H1469" s="5"/>
      <c r="I1469" s="5"/>
      <c r="J1469" s="5"/>
      <c r="K1469" s="5"/>
      <c r="L1469" s="18">
        <v>0</v>
      </c>
      <c r="M1469" t="str">
        <f t="shared" si="95"/>
        <v/>
      </c>
      <c r="N1469" t="str">
        <f>IF(OR($D1469="",$S1469=""),"",IFERROR(MAX(0,ROUND(($D1469-INDEX(Config!$C$15:$C$18,MATCH($S1469,Config!$B$15:$B$18,0)))*24*60,0)),""))</f>
        <v/>
      </c>
      <c r="O1469" t="str">
        <f t="shared" si="96"/>
        <v/>
      </c>
      <c r="P1469" t="str">
        <f t="shared" si="97"/>
        <v/>
      </c>
      <c r="Q1469" t="str">
        <f>IF(OR($P1469="",$S1469=""),"",IFERROR($P1469-INDEX(Config!$E$15:$E$18,MATCH($S1469,Config!$B$15:$B$18,0)),""))</f>
        <v/>
      </c>
      <c r="R1469" t="str">
        <f t="shared" si="98"/>
        <v/>
      </c>
      <c r="S1469" s="6" t="str">
        <f>IF(OR($A1469="",$C1469=""),"",IFERROR(INDEX(Turno!$C$3:$V$32,MATCH($C1469,Turno!$B$3:$B$32,0),MATCH(DAY($A1469),Turno!$C$1:$V$1,0)),""))</f>
        <v/>
      </c>
      <c r="T1469" t="str">
        <f>IF(OR($E1469="",$S1469=""),"",IFERROR(MAX(0,ROUND((INDEX(Config!$D$15:$D$18,MATCH($S1469,Config!$B$15:$B$18,0))-$E1469)*1440,0)),""))</f>
        <v/>
      </c>
      <c r="U1469" s="13" t="str">
        <f>IF(OR($N1469="",$T1469=""),"",IFERROR(MAX(0,1-($N1469+$T1469+MAX(0,N($Q1469)))/ROUND((INDEX(Config!$D$15:$D$18,MATCH($S1469,Config!$B$15:$B$18,0))-INDEX(Config!$C$15:$C$18,MATCH($S1469,Config!$B$15:$B$18,0)))*1440,0)),""))</f>
        <v/>
      </c>
      <c r="V1469" s="5"/>
    </row>
    <row r="1470" spans="1:22" x14ac:dyDescent="0.25">
      <c r="A1470" s="11"/>
      <c r="B1470" s="5"/>
      <c r="C1470" s="6" t="str">
        <f>IFERROR(INDEX(Ejecutivos!$B$2:$B$100,MATCH(B1470,Ejecutivos!$A$2:$A$100,0)),"")</f>
        <v/>
      </c>
      <c r="D1470" s="12"/>
      <c r="E1470" s="12"/>
      <c r="F1470" s="12"/>
      <c r="G1470" s="12"/>
      <c r="H1470" s="5"/>
      <c r="I1470" s="5"/>
      <c r="J1470" s="5"/>
      <c r="K1470" s="5"/>
      <c r="L1470" s="18">
        <v>0</v>
      </c>
      <c r="M1470" t="str">
        <f t="shared" si="95"/>
        <v/>
      </c>
      <c r="N1470" t="str">
        <f>IF(OR($D1470="",$S1470=""),"",IFERROR(MAX(0,ROUND(($D1470-INDEX(Config!$C$15:$C$18,MATCH($S1470,Config!$B$15:$B$18,0)))*24*60,0)),""))</f>
        <v/>
      </c>
      <c r="O1470" t="str">
        <f t="shared" si="96"/>
        <v/>
      </c>
      <c r="P1470" t="str">
        <f t="shared" si="97"/>
        <v/>
      </c>
      <c r="Q1470" t="str">
        <f>IF(OR($P1470="",$S1470=""),"",IFERROR($P1470-INDEX(Config!$E$15:$E$18,MATCH($S1470,Config!$B$15:$B$18,0)),""))</f>
        <v/>
      </c>
      <c r="R1470" t="str">
        <f t="shared" si="98"/>
        <v/>
      </c>
      <c r="S1470" s="6" t="str">
        <f>IF(OR($A1470="",$C1470=""),"",IFERROR(INDEX(Turno!$C$3:$V$32,MATCH($C1470,Turno!$B$3:$B$32,0),MATCH(DAY($A1470),Turno!$C$1:$V$1,0)),""))</f>
        <v/>
      </c>
      <c r="T1470" t="str">
        <f>IF(OR($E1470="",$S1470=""),"",IFERROR(MAX(0,ROUND((INDEX(Config!$D$15:$D$18,MATCH($S1470,Config!$B$15:$B$18,0))-$E1470)*1440,0)),""))</f>
        <v/>
      </c>
      <c r="U1470" s="13" t="str">
        <f>IF(OR($N1470="",$T1470=""),"",IFERROR(MAX(0,1-($N1470+$T1470+MAX(0,N($Q1470)))/ROUND((INDEX(Config!$D$15:$D$18,MATCH($S1470,Config!$B$15:$B$18,0))-INDEX(Config!$C$15:$C$18,MATCH($S1470,Config!$B$15:$B$18,0)))*1440,0)),""))</f>
        <v/>
      </c>
      <c r="V1470" s="5"/>
    </row>
    <row r="1471" spans="1:22" x14ac:dyDescent="0.25">
      <c r="A1471" s="11"/>
      <c r="B1471" s="5"/>
      <c r="C1471" s="6" t="str">
        <f>IFERROR(INDEX(Ejecutivos!$B$2:$B$100,MATCH(B1471,Ejecutivos!$A$2:$A$100,0)),"")</f>
        <v/>
      </c>
      <c r="D1471" s="12"/>
      <c r="E1471" s="12"/>
      <c r="F1471" s="12"/>
      <c r="G1471" s="12"/>
      <c r="H1471" s="5"/>
      <c r="I1471" s="5"/>
      <c r="J1471" s="5"/>
      <c r="K1471" s="5"/>
      <c r="L1471" s="18">
        <v>0</v>
      </c>
      <c r="M1471" t="str">
        <f t="shared" si="95"/>
        <v/>
      </c>
      <c r="N1471" t="str">
        <f>IF(OR($D1471="",$S1471=""),"",IFERROR(MAX(0,ROUND(($D1471-INDEX(Config!$C$15:$C$18,MATCH($S1471,Config!$B$15:$B$18,0)))*24*60,0)),""))</f>
        <v/>
      </c>
      <c r="O1471" t="str">
        <f t="shared" si="96"/>
        <v/>
      </c>
      <c r="P1471" t="str">
        <f t="shared" si="97"/>
        <v/>
      </c>
      <c r="Q1471" t="str">
        <f>IF(OR($P1471="",$S1471=""),"",IFERROR($P1471-INDEX(Config!$E$15:$E$18,MATCH($S1471,Config!$B$15:$B$18,0)),""))</f>
        <v/>
      </c>
      <c r="R1471" t="str">
        <f t="shared" si="98"/>
        <v/>
      </c>
      <c r="S1471" s="6" t="str">
        <f>IF(OR($A1471="",$C1471=""),"",IFERROR(INDEX(Turno!$C$3:$V$32,MATCH($C1471,Turno!$B$3:$B$32,0),MATCH(DAY($A1471),Turno!$C$1:$V$1,0)),""))</f>
        <v/>
      </c>
      <c r="T1471" t="str">
        <f>IF(OR($E1471="",$S1471=""),"",IFERROR(MAX(0,ROUND((INDEX(Config!$D$15:$D$18,MATCH($S1471,Config!$B$15:$B$18,0))-$E1471)*1440,0)),""))</f>
        <v/>
      </c>
      <c r="U1471" s="13" t="str">
        <f>IF(OR($N1471="",$T1471=""),"",IFERROR(MAX(0,1-($N1471+$T1471+MAX(0,N($Q1471)))/ROUND((INDEX(Config!$D$15:$D$18,MATCH($S1471,Config!$B$15:$B$18,0))-INDEX(Config!$C$15:$C$18,MATCH($S1471,Config!$B$15:$B$18,0)))*1440,0)),""))</f>
        <v/>
      </c>
      <c r="V1471" s="5"/>
    </row>
    <row r="1472" spans="1:22" x14ac:dyDescent="0.25">
      <c r="A1472" s="11"/>
      <c r="B1472" s="5"/>
      <c r="C1472" s="6" t="str">
        <f>IFERROR(INDEX(Ejecutivos!$B$2:$B$100,MATCH(B1472,Ejecutivos!$A$2:$A$100,0)),"")</f>
        <v/>
      </c>
      <c r="D1472" s="12"/>
      <c r="E1472" s="12"/>
      <c r="F1472" s="12"/>
      <c r="G1472" s="12"/>
      <c r="H1472" s="5"/>
      <c r="I1472" s="5"/>
      <c r="J1472" s="5"/>
      <c r="K1472" s="5"/>
      <c r="L1472" s="18">
        <v>0</v>
      </c>
      <c r="M1472" t="str">
        <f t="shared" si="95"/>
        <v/>
      </c>
      <c r="N1472" t="str">
        <f>IF(OR($D1472="",$S1472=""),"",IFERROR(MAX(0,ROUND(($D1472-INDEX(Config!$C$15:$C$18,MATCH($S1472,Config!$B$15:$B$18,0)))*24*60,0)),""))</f>
        <v/>
      </c>
      <c r="O1472" t="str">
        <f t="shared" si="96"/>
        <v/>
      </c>
      <c r="P1472" t="str">
        <f t="shared" si="97"/>
        <v/>
      </c>
      <c r="Q1472" t="str">
        <f>IF(OR($P1472="",$S1472=""),"",IFERROR($P1472-INDEX(Config!$E$15:$E$18,MATCH($S1472,Config!$B$15:$B$18,0)),""))</f>
        <v/>
      </c>
      <c r="R1472" t="str">
        <f t="shared" si="98"/>
        <v/>
      </c>
      <c r="S1472" s="6" t="str">
        <f>IF(OR($A1472="",$C1472=""),"",IFERROR(INDEX(Turno!$C$3:$V$32,MATCH($C1472,Turno!$B$3:$B$32,0),MATCH(DAY($A1472),Turno!$C$1:$V$1,0)),""))</f>
        <v/>
      </c>
      <c r="T1472" t="str">
        <f>IF(OR($E1472="",$S1472=""),"",IFERROR(MAX(0,ROUND((INDEX(Config!$D$15:$D$18,MATCH($S1472,Config!$B$15:$B$18,0))-$E1472)*1440,0)),""))</f>
        <v/>
      </c>
      <c r="U1472" s="13" t="str">
        <f>IF(OR($N1472="",$T1472=""),"",IFERROR(MAX(0,1-($N1472+$T1472+MAX(0,N($Q1472)))/ROUND((INDEX(Config!$D$15:$D$18,MATCH($S1472,Config!$B$15:$B$18,0))-INDEX(Config!$C$15:$C$18,MATCH($S1472,Config!$B$15:$B$18,0)))*1440,0)),""))</f>
        <v/>
      </c>
      <c r="V1472" s="5"/>
    </row>
    <row r="1473" spans="1:22" x14ac:dyDescent="0.25">
      <c r="A1473" s="11"/>
      <c r="B1473" s="5"/>
      <c r="C1473" s="6" t="str">
        <f>IFERROR(INDEX(Ejecutivos!$B$2:$B$100,MATCH(B1473,Ejecutivos!$A$2:$A$100,0)),"")</f>
        <v/>
      </c>
      <c r="D1473" s="12"/>
      <c r="E1473" s="12"/>
      <c r="F1473" s="12"/>
      <c r="G1473" s="12"/>
      <c r="H1473" s="5"/>
      <c r="I1473" s="5"/>
      <c r="J1473" s="5"/>
      <c r="K1473" s="5"/>
      <c r="L1473" s="18">
        <v>0</v>
      </c>
      <c r="M1473" t="str">
        <f t="shared" si="95"/>
        <v/>
      </c>
      <c r="N1473" t="str">
        <f>IF(OR($D1473="",$S1473=""),"",IFERROR(MAX(0,ROUND(($D1473-INDEX(Config!$C$15:$C$18,MATCH($S1473,Config!$B$15:$B$18,0)))*24*60,0)),""))</f>
        <v/>
      </c>
      <c r="O1473" t="str">
        <f t="shared" si="96"/>
        <v/>
      </c>
      <c r="P1473" t="str">
        <f t="shared" si="97"/>
        <v/>
      </c>
      <c r="Q1473" t="str">
        <f>IF(OR($P1473="",$S1473=""),"",IFERROR($P1473-INDEX(Config!$E$15:$E$18,MATCH($S1473,Config!$B$15:$B$18,0)),""))</f>
        <v/>
      </c>
      <c r="R1473" t="str">
        <f t="shared" si="98"/>
        <v/>
      </c>
      <c r="S1473" s="6" t="str">
        <f>IF(OR($A1473="",$C1473=""),"",IFERROR(INDEX(Turno!$C$3:$V$32,MATCH($C1473,Turno!$B$3:$B$32,0),MATCH(DAY($A1473),Turno!$C$1:$V$1,0)),""))</f>
        <v/>
      </c>
      <c r="T1473" t="str">
        <f>IF(OR($E1473="",$S1473=""),"",IFERROR(MAX(0,ROUND((INDEX(Config!$D$15:$D$18,MATCH($S1473,Config!$B$15:$B$18,0))-$E1473)*1440,0)),""))</f>
        <v/>
      </c>
      <c r="U1473" s="13" t="str">
        <f>IF(OR($N1473="",$T1473=""),"",IFERROR(MAX(0,1-($N1473+$T1473+MAX(0,N($Q1473)))/ROUND((INDEX(Config!$D$15:$D$18,MATCH($S1473,Config!$B$15:$B$18,0))-INDEX(Config!$C$15:$C$18,MATCH($S1473,Config!$B$15:$B$18,0)))*1440,0)),""))</f>
        <v/>
      </c>
      <c r="V1473" s="5"/>
    </row>
    <row r="1474" spans="1:22" x14ac:dyDescent="0.25">
      <c r="A1474" s="11"/>
      <c r="B1474" s="5"/>
      <c r="C1474" s="6" t="str">
        <f>IFERROR(INDEX(Ejecutivos!$B$2:$B$100,MATCH(B1474,Ejecutivos!$A$2:$A$100,0)),"")</f>
        <v/>
      </c>
      <c r="D1474" s="12"/>
      <c r="E1474" s="12"/>
      <c r="F1474" s="12"/>
      <c r="G1474" s="12"/>
      <c r="H1474" s="5"/>
      <c r="I1474" s="5"/>
      <c r="J1474" s="5"/>
      <c r="K1474" s="5"/>
      <c r="L1474" s="18">
        <v>0</v>
      </c>
      <c r="M1474" t="str">
        <f t="shared" si="95"/>
        <v/>
      </c>
      <c r="N1474" t="str">
        <f>IF(OR($D1474="",$S1474=""),"",IFERROR(MAX(0,ROUND(($D1474-INDEX(Config!$C$15:$C$18,MATCH($S1474,Config!$B$15:$B$18,0)))*24*60,0)),""))</f>
        <v/>
      </c>
      <c r="O1474" t="str">
        <f t="shared" si="96"/>
        <v/>
      </c>
      <c r="P1474" t="str">
        <f t="shared" si="97"/>
        <v/>
      </c>
      <c r="Q1474" t="str">
        <f>IF(OR($P1474="",$S1474=""),"",IFERROR($P1474-INDEX(Config!$E$15:$E$18,MATCH($S1474,Config!$B$15:$B$18,0)),""))</f>
        <v/>
      </c>
      <c r="R1474" t="str">
        <f t="shared" si="98"/>
        <v/>
      </c>
      <c r="S1474" s="6" t="str">
        <f>IF(OR($A1474="",$C1474=""),"",IFERROR(INDEX(Turno!$C$3:$V$32,MATCH($C1474,Turno!$B$3:$B$32,0),MATCH(DAY($A1474),Turno!$C$1:$V$1,0)),""))</f>
        <v/>
      </c>
      <c r="T1474" t="str">
        <f>IF(OR($E1474="",$S1474=""),"",IFERROR(MAX(0,ROUND((INDEX(Config!$D$15:$D$18,MATCH($S1474,Config!$B$15:$B$18,0))-$E1474)*1440,0)),""))</f>
        <v/>
      </c>
      <c r="U1474" s="13" t="str">
        <f>IF(OR($N1474="",$T1474=""),"",IFERROR(MAX(0,1-($N1474+$T1474+MAX(0,N($Q1474)))/ROUND((INDEX(Config!$D$15:$D$18,MATCH($S1474,Config!$B$15:$B$18,0))-INDEX(Config!$C$15:$C$18,MATCH($S1474,Config!$B$15:$B$18,0)))*1440,0)),""))</f>
        <v/>
      </c>
      <c r="V1474" s="5"/>
    </row>
    <row r="1475" spans="1:22" x14ac:dyDescent="0.25">
      <c r="A1475" s="11"/>
      <c r="B1475" s="5"/>
      <c r="C1475" s="6" t="str">
        <f>IFERROR(INDEX(Ejecutivos!$B$2:$B$100,MATCH(B1475,Ejecutivos!$A$2:$A$100,0)),"")</f>
        <v/>
      </c>
      <c r="D1475" s="12"/>
      <c r="E1475" s="12"/>
      <c r="F1475" s="12"/>
      <c r="G1475" s="12"/>
      <c r="H1475" s="5"/>
      <c r="I1475" s="5"/>
      <c r="J1475" s="5"/>
      <c r="K1475" s="5"/>
      <c r="L1475" s="18">
        <v>0</v>
      </c>
      <c r="M1475" t="str">
        <f t="shared" si="95"/>
        <v/>
      </c>
      <c r="N1475" t="str">
        <f>IF(OR($D1475="",$S1475=""),"",IFERROR(MAX(0,ROUND(($D1475-INDEX(Config!$C$15:$C$18,MATCH($S1475,Config!$B$15:$B$18,0)))*24*60,0)),""))</f>
        <v/>
      </c>
      <c r="O1475" t="str">
        <f t="shared" si="96"/>
        <v/>
      </c>
      <c r="P1475" t="str">
        <f t="shared" si="97"/>
        <v/>
      </c>
      <c r="Q1475" t="str">
        <f>IF(OR($P1475="",$S1475=""),"",IFERROR($P1475-INDEX(Config!$E$15:$E$18,MATCH($S1475,Config!$B$15:$B$18,0)),""))</f>
        <v/>
      </c>
      <c r="R1475" t="str">
        <f t="shared" si="98"/>
        <v/>
      </c>
      <c r="S1475" s="6" t="str">
        <f>IF(OR($A1475="",$C1475=""),"",IFERROR(INDEX(Turno!$C$3:$V$32,MATCH($C1475,Turno!$B$3:$B$32,0),MATCH(DAY($A1475),Turno!$C$1:$V$1,0)),""))</f>
        <v/>
      </c>
      <c r="T1475" t="str">
        <f>IF(OR($E1475="",$S1475=""),"",IFERROR(MAX(0,ROUND((INDEX(Config!$D$15:$D$18,MATCH($S1475,Config!$B$15:$B$18,0))-$E1475)*1440,0)),""))</f>
        <v/>
      </c>
      <c r="U1475" s="13" t="str">
        <f>IF(OR($N1475="",$T1475=""),"",IFERROR(MAX(0,1-($N1475+$T1475+MAX(0,N($Q1475)))/ROUND((INDEX(Config!$D$15:$D$18,MATCH($S1475,Config!$B$15:$B$18,0))-INDEX(Config!$C$15:$C$18,MATCH($S1475,Config!$B$15:$B$18,0)))*1440,0)),""))</f>
        <v/>
      </c>
      <c r="V1475" s="5"/>
    </row>
    <row r="1476" spans="1:22" x14ac:dyDescent="0.25">
      <c r="A1476" s="11"/>
      <c r="B1476" s="5"/>
      <c r="C1476" s="6" t="str">
        <f>IFERROR(INDEX(Ejecutivos!$B$2:$B$100,MATCH(B1476,Ejecutivos!$A$2:$A$100,0)),"")</f>
        <v/>
      </c>
      <c r="D1476" s="12"/>
      <c r="E1476" s="12"/>
      <c r="F1476" s="12"/>
      <c r="G1476" s="12"/>
      <c r="H1476" s="5"/>
      <c r="I1476" s="5"/>
      <c r="J1476" s="5"/>
      <c r="K1476" s="5"/>
      <c r="L1476" s="18">
        <v>0</v>
      </c>
      <c r="M1476" t="str">
        <f t="shared" si="95"/>
        <v/>
      </c>
      <c r="N1476" t="str">
        <f>IF(OR($D1476="",$S1476=""),"",IFERROR(MAX(0,ROUND(($D1476-INDEX(Config!$C$15:$C$18,MATCH($S1476,Config!$B$15:$B$18,0)))*24*60,0)),""))</f>
        <v/>
      </c>
      <c r="O1476" t="str">
        <f t="shared" si="96"/>
        <v/>
      </c>
      <c r="P1476" t="str">
        <f t="shared" si="97"/>
        <v/>
      </c>
      <c r="Q1476" t="str">
        <f>IF(OR($P1476="",$S1476=""),"",IFERROR($P1476-INDEX(Config!$E$15:$E$18,MATCH($S1476,Config!$B$15:$B$18,0)),""))</f>
        <v/>
      </c>
      <c r="R1476" t="str">
        <f t="shared" si="98"/>
        <v/>
      </c>
      <c r="S1476" s="6" t="str">
        <f>IF(OR($A1476="",$C1476=""),"",IFERROR(INDEX(Turno!$C$3:$V$32,MATCH($C1476,Turno!$B$3:$B$32,0),MATCH(DAY($A1476),Turno!$C$1:$V$1,0)),""))</f>
        <v/>
      </c>
      <c r="T1476" t="str">
        <f>IF(OR($E1476="",$S1476=""),"",IFERROR(MAX(0,ROUND((INDEX(Config!$D$15:$D$18,MATCH($S1476,Config!$B$15:$B$18,0))-$E1476)*1440,0)),""))</f>
        <v/>
      </c>
      <c r="U1476" s="13" t="str">
        <f>IF(OR($N1476="",$T1476=""),"",IFERROR(MAX(0,1-($N1476+$T1476+MAX(0,N($Q1476)))/ROUND((INDEX(Config!$D$15:$D$18,MATCH($S1476,Config!$B$15:$B$18,0))-INDEX(Config!$C$15:$C$18,MATCH($S1476,Config!$B$15:$B$18,0)))*1440,0)),""))</f>
        <v/>
      </c>
      <c r="V1476" s="5"/>
    </row>
    <row r="1477" spans="1:22" x14ac:dyDescent="0.25">
      <c r="A1477" s="11"/>
      <c r="B1477" s="5"/>
      <c r="C1477" s="6" t="str">
        <f>IFERROR(INDEX(Ejecutivos!$B$2:$B$100,MATCH(B1477,Ejecutivos!$A$2:$A$100,0)),"")</f>
        <v/>
      </c>
      <c r="D1477" s="12"/>
      <c r="E1477" s="12"/>
      <c r="F1477" s="12"/>
      <c r="G1477" s="12"/>
      <c r="H1477" s="5"/>
      <c r="I1477" s="5"/>
      <c r="J1477" s="5"/>
      <c r="K1477" s="5"/>
      <c r="L1477" s="18">
        <v>0</v>
      </c>
      <c r="M1477" t="str">
        <f t="shared" si="95"/>
        <v/>
      </c>
      <c r="N1477" t="str">
        <f>IF(OR($D1477="",$S1477=""),"",IFERROR(MAX(0,ROUND(($D1477-INDEX(Config!$C$15:$C$18,MATCH($S1477,Config!$B$15:$B$18,0)))*24*60,0)),""))</f>
        <v/>
      </c>
      <c r="O1477" t="str">
        <f t="shared" si="96"/>
        <v/>
      </c>
      <c r="P1477" t="str">
        <f t="shared" si="97"/>
        <v/>
      </c>
      <c r="Q1477" t="str">
        <f>IF(OR($P1477="",$S1477=""),"",IFERROR($P1477-INDEX(Config!$E$15:$E$18,MATCH($S1477,Config!$B$15:$B$18,0)),""))</f>
        <v/>
      </c>
      <c r="R1477" t="str">
        <f t="shared" si="98"/>
        <v/>
      </c>
      <c r="S1477" s="6" t="str">
        <f>IF(OR($A1477="",$C1477=""),"",IFERROR(INDEX(Turno!$C$3:$V$32,MATCH($C1477,Turno!$B$3:$B$32,0),MATCH(DAY($A1477),Turno!$C$1:$V$1,0)),""))</f>
        <v/>
      </c>
      <c r="T1477" t="str">
        <f>IF(OR($E1477="",$S1477=""),"",IFERROR(MAX(0,ROUND((INDEX(Config!$D$15:$D$18,MATCH($S1477,Config!$B$15:$B$18,0))-$E1477)*1440,0)),""))</f>
        <v/>
      </c>
      <c r="U1477" s="13" t="str">
        <f>IF(OR($N1477="",$T1477=""),"",IFERROR(MAX(0,1-($N1477+$T1477+MAX(0,N($Q1477)))/ROUND((INDEX(Config!$D$15:$D$18,MATCH($S1477,Config!$B$15:$B$18,0))-INDEX(Config!$C$15:$C$18,MATCH($S1477,Config!$B$15:$B$18,0)))*1440,0)),""))</f>
        <v/>
      </c>
      <c r="V1477" s="5"/>
    </row>
    <row r="1478" spans="1:22" x14ac:dyDescent="0.25">
      <c r="A1478" s="11"/>
      <c r="B1478" s="5"/>
      <c r="C1478" s="6" t="str">
        <f>IFERROR(INDEX(Ejecutivos!$B$2:$B$100,MATCH(B1478,Ejecutivos!$A$2:$A$100,0)),"")</f>
        <v/>
      </c>
      <c r="D1478" s="12"/>
      <c r="E1478" s="12"/>
      <c r="F1478" s="12"/>
      <c r="G1478" s="12"/>
      <c r="H1478" s="5"/>
      <c r="I1478" s="5"/>
      <c r="J1478" s="5"/>
      <c r="K1478" s="5"/>
      <c r="L1478" s="18">
        <v>0</v>
      </c>
      <c r="M1478" t="str">
        <f t="shared" si="95"/>
        <v/>
      </c>
      <c r="N1478" t="str">
        <f>IF(OR($D1478="",$S1478=""),"",IFERROR(MAX(0,ROUND(($D1478-INDEX(Config!$C$15:$C$18,MATCH($S1478,Config!$B$15:$B$18,0)))*24*60,0)),""))</f>
        <v/>
      </c>
      <c r="O1478" t="str">
        <f t="shared" si="96"/>
        <v/>
      </c>
      <c r="P1478" t="str">
        <f t="shared" si="97"/>
        <v/>
      </c>
      <c r="Q1478" t="str">
        <f>IF(OR($P1478="",$S1478=""),"",IFERROR($P1478-INDEX(Config!$E$15:$E$18,MATCH($S1478,Config!$B$15:$B$18,0)),""))</f>
        <v/>
      </c>
      <c r="R1478" t="str">
        <f t="shared" si="98"/>
        <v/>
      </c>
      <c r="S1478" s="6" t="str">
        <f>IF(OR($A1478="",$C1478=""),"",IFERROR(INDEX(Turno!$C$3:$V$32,MATCH($C1478,Turno!$B$3:$B$32,0),MATCH(DAY($A1478),Turno!$C$1:$V$1,0)),""))</f>
        <v/>
      </c>
      <c r="T1478" t="str">
        <f>IF(OR($E1478="",$S1478=""),"",IFERROR(MAX(0,ROUND((INDEX(Config!$D$15:$D$18,MATCH($S1478,Config!$B$15:$B$18,0))-$E1478)*1440,0)),""))</f>
        <v/>
      </c>
      <c r="U1478" s="13" t="str">
        <f>IF(OR($N1478="",$T1478=""),"",IFERROR(MAX(0,1-($N1478+$T1478+MAX(0,N($Q1478)))/ROUND((INDEX(Config!$D$15:$D$18,MATCH($S1478,Config!$B$15:$B$18,0))-INDEX(Config!$C$15:$C$18,MATCH($S1478,Config!$B$15:$B$18,0)))*1440,0)),""))</f>
        <v/>
      </c>
      <c r="V1478" s="5"/>
    </row>
    <row r="1479" spans="1:22" x14ac:dyDescent="0.25">
      <c r="A1479" s="11"/>
      <c r="B1479" s="5"/>
      <c r="C1479" s="6" t="str">
        <f>IFERROR(INDEX(Ejecutivos!$B$2:$B$100,MATCH(B1479,Ejecutivos!$A$2:$A$100,0)),"")</f>
        <v/>
      </c>
      <c r="D1479" s="12"/>
      <c r="E1479" s="12"/>
      <c r="F1479" s="12"/>
      <c r="G1479" s="12"/>
      <c r="H1479" s="5"/>
      <c r="I1479" s="5"/>
      <c r="J1479" s="5"/>
      <c r="K1479" s="5"/>
      <c r="L1479" s="18">
        <v>0</v>
      </c>
      <c r="M1479" t="str">
        <f t="shared" si="95"/>
        <v/>
      </c>
      <c r="N1479" t="str">
        <f>IF(OR($D1479="",$S1479=""),"",IFERROR(MAX(0,ROUND(($D1479-INDEX(Config!$C$15:$C$18,MATCH($S1479,Config!$B$15:$B$18,0)))*24*60,0)),""))</f>
        <v/>
      </c>
      <c r="O1479" t="str">
        <f t="shared" si="96"/>
        <v/>
      </c>
      <c r="P1479" t="str">
        <f t="shared" si="97"/>
        <v/>
      </c>
      <c r="Q1479" t="str">
        <f>IF(OR($P1479="",$S1479=""),"",IFERROR($P1479-INDEX(Config!$E$15:$E$18,MATCH($S1479,Config!$B$15:$B$18,0)),""))</f>
        <v/>
      </c>
      <c r="R1479" t="str">
        <f t="shared" si="98"/>
        <v/>
      </c>
      <c r="S1479" s="6" t="str">
        <f>IF(OR($A1479="",$C1479=""),"",IFERROR(INDEX(Turno!$C$3:$V$32,MATCH($C1479,Turno!$B$3:$B$32,0),MATCH(DAY($A1479),Turno!$C$1:$V$1,0)),""))</f>
        <v/>
      </c>
      <c r="T1479" t="str">
        <f>IF(OR($E1479="",$S1479=""),"",IFERROR(MAX(0,ROUND((INDEX(Config!$D$15:$D$18,MATCH($S1479,Config!$B$15:$B$18,0))-$E1479)*1440,0)),""))</f>
        <v/>
      </c>
      <c r="U1479" s="13" t="str">
        <f>IF(OR($N1479="",$T1479=""),"",IFERROR(MAX(0,1-($N1479+$T1479+MAX(0,N($Q1479)))/ROUND((INDEX(Config!$D$15:$D$18,MATCH($S1479,Config!$B$15:$B$18,0))-INDEX(Config!$C$15:$C$18,MATCH($S1479,Config!$B$15:$B$18,0)))*1440,0)),""))</f>
        <v/>
      </c>
      <c r="V1479" s="5"/>
    </row>
    <row r="1480" spans="1:22" x14ac:dyDescent="0.25">
      <c r="A1480" s="11"/>
      <c r="B1480" s="5"/>
      <c r="C1480" s="6" t="str">
        <f>IFERROR(INDEX(Ejecutivos!$B$2:$B$100,MATCH(B1480,Ejecutivos!$A$2:$A$100,0)),"")</f>
        <v/>
      </c>
      <c r="D1480" s="12"/>
      <c r="E1480" s="12"/>
      <c r="F1480" s="12"/>
      <c r="G1480" s="12"/>
      <c r="H1480" s="5"/>
      <c r="I1480" s="5"/>
      <c r="J1480" s="5"/>
      <c r="K1480" s="5"/>
      <c r="L1480" s="18">
        <v>0</v>
      </c>
      <c r="M1480" t="str">
        <f t="shared" si="95"/>
        <v/>
      </c>
      <c r="N1480" t="str">
        <f>IF(OR($D1480="",$S1480=""),"",IFERROR(MAX(0,ROUND(($D1480-INDEX(Config!$C$15:$C$18,MATCH($S1480,Config!$B$15:$B$18,0)))*24*60,0)),""))</f>
        <v/>
      </c>
      <c r="O1480" t="str">
        <f t="shared" si="96"/>
        <v/>
      </c>
      <c r="P1480" t="str">
        <f t="shared" si="97"/>
        <v/>
      </c>
      <c r="Q1480" t="str">
        <f>IF(OR($P1480="",$S1480=""),"",IFERROR($P1480-INDEX(Config!$E$15:$E$18,MATCH($S1480,Config!$B$15:$B$18,0)),""))</f>
        <v/>
      </c>
      <c r="R1480" t="str">
        <f t="shared" si="98"/>
        <v/>
      </c>
      <c r="S1480" s="6" t="str">
        <f>IF(OR($A1480="",$C1480=""),"",IFERROR(INDEX(Turno!$C$3:$V$32,MATCH($C1480,Turno!$B$3:$B$32,0),MATCH(DAY($A1480),Turno!$C$1:$V$1,0)),""))</f>
        <v/>
      </c>
      <c r="T1480" t="str">
        <f>IF(OR($E1480="",$S1480=""),"",IFERROR(MAX(0,ROUND((INDEX(Config!$D$15:$D$18,MATCH($S1480,Config!$B$15:$B$18,0))-$E1480)*1440,0)),""))</f>
        <v/>
      </c>
      <c r="U1480" s="13" t="str">
        <f>IF(OR($N1480="",$T1480=""),"",IFERROR(MAX(0,1-($N1480+$T1480+MAX(0,N($Q1480)))/ROUND((INDEX(Config!$D$15:$D$18,MATCH($S1480,Config!$B$15:$B$18,0))-INDEX(Config!$C$15:$C$18,MATCH($S1480,Config!$B$15:$B$18,0)))*1440,0)),""))</f>
        <v/>
      </c>
      <c r="V1480" s="5"/>
    </row>
    <row r="1481" spans="1:22" x14ac:dyDescent="0.25">
      <c r="A1481" s="11"/>
      <c r="B1481" s="5"/>
      <c r="C1481" s="6" t="str">
        <f>IFERROR(INDEX(Ejecutivos!$B$2:$B$100,MATCH(B1481,Ejecutivos!$A$2:$A$100,0)),"")</f>
        <v/>
      </c>
      <c r="D1481" s="12"/>
      <c r="E1481" s="12"/>
      <c r="F1481" s="12"/>
      <c r="G1481" s="12"/>
      <c r="H1481" s="5"/>
      <c r="I1481" s="5"/>
      <c r="J1481" s="5"/>
      <c r="K1481" s="5"/>
      <c r="L1481" s="18">
        <v>0</v>
      </c>
      <c r="M1481" t="str">
        <f t="shared" si="95"/>
        <v/>
      </c>
      <c r="N1481" t="str">
        <f>IF(OR($D1481="",$S1481=""),"",IFERROR(MAX(0,ROUND(($D1481-INDEX(Config!$C$15:$C$18,MATCH($S1481,Config!$B$15:$B$18,0)))*24*60,0)),""))</f>
        <v/>
      </c>
      <c r="O1481" t="str">
        <f t="shared" si="96"/>
        <v/>
      </c>
      <c r="P1481" t="str">
        <f t="shared" si="97"/>
        <v/>
      </c>
      <c r="Q1481" t="str">
        <f>IF(OR($P1481="",$S1481=""),"",IFERROR($P1481-INDEX(Config!$E$15:$E$18,MATCH($S1481,Config!$B$15:$B$18,0)),""))</f>
        <v/>
      </c>
      <c r="R1481" t="str">
        <f t="shared" si="98"/>
        <v/>
      </c>
      <c r="S1481" s="6" t="str">
        <f>IF(OR($A1481="",$C1481=""),"",IFERROR(INDEX(Turno!$C$3:$V$32,MATCH($C1481,Turno!$B$3:$B$32,0),MATCH(DAY($A1481),Turno!$C$1:$V$1,0)),""))</f>
        <v/>
      </c>
      <c r="T1481" t="str">
        <f>IF(OR($E1481="",$S1481=""),"",IFERROR(MAX(0,ROUND((INDEX(Config!$D$15:$D$18,MATCH($S1481,Config!$B$15:$B$18,0))-$E1481)*1440,0)),""))</f>
        <v/>
      </c>
      <c r="U1481" s="13" t="str">
        <f>IF(OR($N1481="",$T1481=""),"",IFERROR(MAX(0,1-($N1481+$T1481+MAX(0,N($Q1481)))/ROUND((INDEX(Config!$D$15:$D$18,MATCH($S1481,Config!$B$15:$B$18,0))-INDEX(Config!$C$15:$C$18,MATCH($S1481,Config!$B$15:$B$18,0)))*1440,0)),""))</f>
        <v/>
      </c>
      <c r="V1481" s="5"/>
    </row>
    <row r="1482" spans="1:22" x14ac:dyDescent="0.25">
      <c r="A1482" s="11"/>
      <c r="B1482" s="5"/>
      <c r="C1482" s="6" t="str">
        <f>IFERROR(INDEX(Ejecutivos!$B$2:$B$100,MATCH(B1482,Ejecutivos!$A$2:$A$100,0)),"")</f>
        <v/>
      </c>
      <c r="D1482" s="12"/>
      <c r="E1482" s="12"/>
      <c r="F1482" s="12"/>
      <c r="G1482" s="12"/>
      <c r="H1482" s="5"/>
      <c r="I1482" s="5"/>
      <c r="J1482" s="5"/>
      <c r="K1482" s="5"/>
      <c r="L1482" s="18">
        <v>0</v>
      </c>
      <c r="M1482" t="str">
        <f t="shared" si="95"/>
        <v/>
      </c>
      <c r="N1482" t="str">
        <f>IF(OR($D1482="",$S1482=""),"",IFERROR(MAX(0,ROUND(($D1482-INDEX(Config!$C$15:$C$18,MATCH($S1482,Config!$B$15:$B$18,0)))*24*60,0)),""))</f>
        <v/>
      </c>
      <c r="O1482" t="str">
        <f t="shared" si="96"/>
        <v/>
      </c>
      <c r="P1482" t="str">
        <f t="shared" si="97"/>
        <v/>
      </c>
      <c r="Q1482" t="str">
        <f>IF(OR($P1482="",$S1482=""),"",IFERROR($P1482-INDEX(Config!$E$15:$E$18,MATCH($S1482,Config!$B$15:$B$18,0)),""))</f>
        <v/>
      </c>
      <c r="R1482" t="str">
        <f t="shared" si="98"/>
        <v/>
      </c>
      <c r="S1482" s="6" t="str">
        <f>IF(OR($A1482="",$C1482=""),"",IFERROR(INDEX(Turno!$C$3:$V$32,MATCH($C1482,Turno!$B$3:$B$32,0),MATCH(DAY($A1482),Turno!$C$1:$V$1,0)),""))</f>
        <v/>
      </c>
      <c r="T1482" t="str">
        <f>IF(OR($E1482="",$S1482=""),"",IFERROR(MAX(0,ROUND((INDEX(Config!$D$15:$D$18,MATCH($S1482,Config!$B$15:$B$18,0))-$E1482)*1440,0)),""))</f>
        <v/>
      </c>
      <c r="U1482" s="13" t="str">
        <f>IF(OR($N1482="",$T1482=""),"",IFERROR(MAX(0,1-($N1482+$T1482+MAX(0,N($Q1482)))/ROUND((INDEX(Config!$D$15:$D$18,MATCH($S1482,Config!$B$15:$B$18,0))-INDEX(Config!$C$15:$C$18,MATCH($S1482,Config!$B$15:$B$18,0)))*1440,0)),""))</f>
        <v/>
      </c>
      <c r="V1482" s="5"/>
    </row>
    <row r="1483" spans="1:22" x14ac:dyDescent="0.25">
      <c r="A1483" s="11"/>
      <c r="B1483" s="5"/>
      <c r="C1483" s="6" t="str">
        <f>IFERROR(INDEX(Ejecutivos!$B$2:$B$100,MATCH(B1483,Ejecutivos!$A$2:$A$100,0)),"")</f>
        <v/>
      </c>
      <c r="D1483" s="12"/>
      <c r="E1483" s="12"/>
      <c r="F1483" s="12"/>
      <c r="G1483" s="12"/>
      <c r="H1483" s="5"/>
      <c r="I1483" s="5"/>
      <c r="J1483" s="5"/>
      <c r="K1483" s="5"/>
      <c r="L1483" s="18">
        <v>0</v>
      </c>
      <c r="M1483" t="str">
        <f t="shared" si="95"/>
        <v/>
      </c>
      <c r="N1483" t="str">
        <f>IF(OR($D1483="",$S1483=""),"",IFERROR(MAX(0,ROUND(($D1483-INDEX(Config!$C$15:$C$18,MATCH($S1483,Config!$B$15:$B$18,0)))*24*60,0)),""))</f>
        <v/>
      </c>
      <c r="O1483" t="str">
        <f t="shared" si="96"/>
        <v/>
      </c>
      <c r="P1483" t="str">
        <f t="shared" si="97"/>
        <v/>
      </c>
      <c r="Q1483" t="str">
        <f>IF(OR($P1483="",$S1483=""),"",IFERROR($P1483-INDEX(Config!$E$15:$E$18,MATCH($S1483,Config!$B$15:$B$18,0)),""))</f>
        <v/>
      </c>
      <c r="R1483" t="str">
        <f t="shared" si="98"/>
        <v/>
      </c>
      <c r="S1483" s="6" t="str">
        <f>IF(OR($A1483="",$C1483=""),"",IFERROR(INDEX(Turno!$C$3:$V$32,MATCH($C1483,Turno!$B$3:$B$32,0),MATCH(DAY($A1483),Turno!$C$1:$V$1,0)),""))</f>
        <v/>
      </c>
      <c r="T1483" t="str">
        <f>IF(OR($E1483="",$S1483=""),"",IFERROR(MAX(0,ROUND((INDEX(Config!$D$15:$D$18,MATCH($S1483,Config!$B$15:$B$18,0))-$E1483)*1440,0)),""))</f>
        <v/>
      </c>
      <c r="U1483" s="13" t="str">
        <f>IF(OR($N1483="",$T1483=""),"",IFERROR(MAX(0,1-($N1483+$T1483+MAX(0,N($Q1483)))/ROUND((INDEX(Config!$D$15:$D$18,MATCH($S1483,Config!$B$15:$B$18,0))-INDEX(Config!$C$15:$C$18,MATCH($S1483,Config!$B$15:$B$18,0)))*1440,0)),""))</f>
        <v/>
      </c>
      <c r="V1483" s="5"/>
    </row>
    <row r="1484" spans="1:22" x14ac:dyDescent="0.25">
      <c r="A1484" s="11"/>
      <c r="B1484" s="5"/>
      <c r="C1484" s="6" t="str">
        <f>IFERROR(INDEX(Ejecutivos!$B$2:$B$100,MATCH(B1484,Ejecutivos!$A$2:$A$100,0)),"")</f>
        <v/>
      </c>
      <c r="D1484" s="12"/>
      <c r="E1484" s="12"/>
      <c r="F1484" s="12"/>
      <c r="G1484" s="12"/>
      <c r="H1484" s="5"/>
      <c r="I1484" s="5"/>
      <c r="J1484" s="5"/>
      <c r="K1484" s="5"/>
      <c r="L1484" s="18">
        <v>0</v>
      </c>
      <c r="M1484" t="str">
        <f t="shared" si="95"/>
        <v/>
      </c>
      <c r="N1484" t="str">
        <f>IF(OR($D1484="",$S1484=""),"",IFERROR(MAX(0,ROUND(($D1484-INDEX(Config!$C$15:$C$18,MATCH($S1484,Config!$B$15:$B$18,0)))*24*60,0)),""))</f>
        <v/>
      </c>
      <c r="O1484" t="str">
        <f t="shared" si="96"/>
        <v/>
      </c>
      <c r="P1484" t="str">
        <f t="shared" si="97"/>
        <v/>
      </c>
      <c r="Q1484" t="str">
        <f>IF(OR($P1484="",$S1484=""),"",IFERROR($P1484-INDEX(Config!$E$15:$E$18,MATCH($S1484,Config!$B$15:$B$18,0)),""))</f>
        <v/>
      </c>
      <c r="R1484" t="str">
        <f t="shared" si="98"/>
        <v/>
      </c>
      <c r="S1484" s="6" t="str">
        <f>IF(OR($A1484="",$C1484=""),"",IFERROR(INDEX(Turno!$C$3:$V$32,MATCH($C1484,Turno!$B$3:$B$32,0),MATCH(DAY($A1484),Turno!$C$1:$V$1,0)),""))</f>
        <v/>
      </c>
      <c r="T1484" t="str">
        <f>IF(OR($E1484="",$S1484=""),"",IFERROR(MAX(0,ROUND((INDEX(Config!$D$15:$D$18,MATCH($S1484,Config!$B$15:$B$18,0))-$E1484)*1440,0)),""))</f>
        <v/>
      </c>
      <c r="U1484" s="13" t="str">
        <f>IF(OR($N1484="",$T1484=""),"",IFERROR(MAX(0,1-($N1484+$T1484+MAX(0,N($Q1484)))/ROUND((INDEX(Config!$D$15:$D$18,MATCH($S1484,Config!$B$15:$B$18,0))-INDEX(Config!$C$15:$C$18,MATCH($S1484,Config!$B$15:$B$18,0)))*1440,0)),""))</f>
        <v/>
      </c>
      <c r="V1484" s="5"/>
    </row>
    <row r="1485" spans="1:22" x14ac:dyDescent="0.25">
      <c r="A1485" s="11"/>
      <c r="B1485" s="5"/>
      <c r="C1485" s="6" t="str">
        <f>IFERROR(INDEX(Ejecutivos!$B$2:$B$100,MATCH(B1485,Ejecutivos!$A$2:$A$100,0)),"")</f>
        <v/>
      </c>
      <c r="D1485" s="12"/>
      <c r="E1485" s="12"/>
      <c r="F1485" s="12"/>
      <c r="G1485" s="12"/>
      <c r="H1485" s="5"/>
      <c r="I1485" s="5"/>
      <c r="J1485" s="5"/>
      <c r="K1485" s="5"/>
      <c r="L1485" s="18">
        <v>0</v>
      </c>
      <c r="M1485" t="str">
        <f t="shared" si="95"/>
        <v/>
      </c>
      <c r="N1485" t="str">
        <f>IF(OR($D1485="",$S1485=""),"",IFERROR(MAX(0,ROUND(($D1485-INDEX(Config!$C$15:$C$18,MATCH($S1485,Config!$B$15:$B$18,0)))*24*60,0)),""))</f>
        <v/>
      </c>
      <c r="O1485" t="str">
        <f t="shared" si="96"/>
        <v/>
      </c>
      <c r="P1485" t="str">
        <f t="shared" si="97"/>
        <v/>
      </c>
      <c r="Q1485" t="str">
        <f>IF(OR($P1485="",$S1485=""),"",IFERROR($P1485-INDEX(Config!$E$15:$E$18,MATCH($S1485,Config!$B$15:$B$18,0)),""))</f>
        <v/>
      </c>
      <c r="R1485" t="str">
        <f t="shared" si="98"/>
        <v/>
      </c>
      <c r="S1485" s="6" t="str">
        <f>IF(OR($A1485="",$C1485=""),"",IFERROR(INDEX(Turno!$C$3:$V$32,MATCH($C1485,Turno!$B$3:$B$32,0),MATCH(DAY($A1485),Turno!$C$1:$V$1,0)),""))</f>
        <v/>
      </c>
      <c r="T1485" t="str">
        <f>IF(OR($E1485="",$S1485=""),"",IFERROR(MAX(0,ROUND((INDEX(Config!$D$15:$D$18,MATCH($S1485,Config!$B$15:$B$18,0))-$E1485)*1440,0)),""))</f>
        <v/>
      </c>
      <c r="U1485" s="13" t="str">
        <f>IF(OR($N1485="",$T1485=""),"",IFERROR(MAX(0,1-($N1485+$T1485+MAX(0,N($Q1485)))/ROUND((INDEX(Config!$D$15:$D$18,MATCH($S1485,Config!$B$15:$B$18,0))-INDEX(Config!$C$15:$C$18,MATCH($S1485,Config!$B$15:$B$18,0)))*1440,0)),""))</f>
        <v/>
      </c>
      <c r="V1485" s="5"/>
    </row>
    <row r="1486" spans="1:22" x14ac:dyDescent="0.25">
      <c r="A1486" s="11"/>
      <c r="B1486" s="5"/>
      <c r="C1486" s="6" t="str">
        <f>IFERROR(INDEX(Ejecutivos!$B$2:$B$100,MATCH(B1486,Ejecutivos!$A$2:$A$100,0)),"")</f>
        <v/>
      </c>
      <c r="D1486" s="12"/>
      <c r="E1486" s="12"/>
      <c r="F1486" s="12"/>
      <c r="G1486" s="12"/>
      <c r="H1486" s="5"/>
      <c r="I1486" s="5"/>
      <c r="J1486" s="5"/>
      <c r="K1486" s="5"/>
      <c r="L1486" s="18">
        <v>0</v>
      </c>
      <c r="M1486" t="str">
        <f t="shared" si="95"/>
        <v/>
      </c>
      <c r="N1486" t="str">
        <f>IF(OR($D1486="",$S1486=""),"",IFERROR(MAX(0,ROUND(($D1486-INDEX(Config!$C$15:$C$18,MATCH($S1486,Config!$B$15:$B$18,0)))*24*60,0)),""))</f>
        <v/>
      </c>
      <c r="O1486" t="str">
        <f t="shared" si="96"/>
        <v/>
      </c>
      <c r="P1486" t="str">
        <f t="shared" si="97"/>
        <v/>
      </c>
      <c r="Q1486" t="str">
        <f>IF(OR($P1486="",$S1486=""),"",IFERROR($P1486-INDEX(Config!$E$15:$E$18,MATCH($S1486,Config!$B$15:$B$18,0)),""))</f>
        <v/>
      </c>
      <c r="R1486" t="str">
        <f t="shared" si="98"/>
        <v/>
      </c>
      <c r="S1486" s="6" t="str">
        <f>IF(OR($A1486="",$C1486=""),"",IFERROR(INDEX(Turno!$C$3:$V$32,MATCH($C1486,Turno!$B$3:$B$32,0),MATCH(DAY($A1486),Turno!$C$1:$V$1,0)),""))</f>
        <v/>
      </c>
      <c r="T1486" t="str">
        <f>IF(OR($E1486="",$S1486=""),"",IFERROR(MAX(0,ROUND((INDEX(Config!$D$15:$D$18,MATCH($S1486,Config!$B$15:$B$18,0))-$E1486)*1440,0)),""))</f>
        <v/>
      </c>
      <c r="U1486" s="13" t="str">
        <f>IF(OR($N1486="",$T1486=""),"",IFERROR(MAX(0,1-($N1486+$T1486+MAX(0,N($Q1486)))/ROUND((INDEX(Config!$D$15:$D$18,MATCH($S1486,Config!$B$15:$B$18,0))-INDEX(Config!$C$15:$C$18,MATCH($S1486,Config!$B$15:$B$18,0)))*1440,0)),""))</f>
        <v/>
      </c>
      <c r="V1486" s="5"/>
    </row>
    <row r="1487" spans="1:22" x14ac:dyDescent="0.25">
      <c r="A1487" s="11"/>
      <c r="B1487" s="5"/>
      <c r="C1487" s="6" t="str">
        <f>IFERROR(INDEX(Ejecutivos!$B$2:$B$100,MATCH(B1487,Ejecutivos!$A$2:$A$100,0)),"")</f>
        <v/>
      </c>
      <c r="D1487" s="12"/>
      <c r="E1487" s="12"/>
      <c r="F1487" s="12"/>
      <c r="G1487" s="12"/>
      <c r="H1487" s="5"/>
      <c r="I1487" s="5"/>
      <c r="J1487" s="5"/>
      <c r="K1487" s="5"/>
      <c r="L1487" s="18">
        <v>0</v>
      </c>
      <c r="M1487" t="str">
        <f t="shared" si="95"/>
        <v/>
      </c>
      <c r="N1487" t="str">
        <f>IF(OR($D1487="",$S1487=""),"",IFERROR(MAX(0,ROUND(($D1487-INDEX(Config!$C$15:$C$18,MATCH($S1487,Config!$B$15:$B$18,0)))*24*60,0)),""))</f>
        <v/>
      </c>
      <c r="O1487" t="str">
        <f t="shared" si="96"/>
        <v/>
      </c>
      <c r="P1487" t="str">
        <f t="shared" si="97"/>
        <v/>
      </c>
      <c r="Q1487" t="str">
        <f>IF(OR($P1487="",$S1487=""),"",IFERROR($P1487-INDEX(Config!$E$15:$E$18,MATCH($S1487,Config!$B$15:$B$18,0)),""))</f>
        <v/>
      </c>
      <c r="R1487" t="str">
        <f t="shared" si="98"/>
        <v/>
      </c>
      <c r="S1487" s="6" t="str">
        <f>IF(OR($A1487="",$C1487=""),"",IFERROR(INDEX(Turno!$C$3:$V$32,MATCH($C1487,Turno!$B$3:$B$32,0),MATCH(DAY($A1487),Turno!$C$1:$V$1,0)),""))</f>
        <v/>
      </c>
      <c r="T1487" t="str">
        <f>IF(OR($E1487="",$S1487=""),"",IFERROR(MAX(0,ROUND((INDEX(Config!$D$15:$D$18,MATCH($S1487,Config!$B$15:$B$18,0))-$E1487)*1440,0)),""))</f>
        <v/>
      </c>
      <c r="U1487" s="13" t="str">
        <f>IF(OR($N1487="",$T1487=""),"",IFERROR(MAX(0,1-($N1487+$T1487+MAX(0,N($Q1487)))/ROUND((INDEX(Config!$D$15:$D$18,MATCH($S1487,Config!$B$15:$B$18,0))-INDEX(Config!$C$15:$C$18,MATCH($S1487,Config!$B$15:$B$18,0)))*1440,0)),""))</f>
        <v/>
      </c>
      <c r="V1487" s="5"/>
    </row>
    <row r="1488" spans="1:22" x14ac:dyDescent="0.25">
      <c r="A1488" s="11"/>
      <c r="B1488" s="5"/>
      <c r="C1488" s="6" t="str">
        <f>IFERROR(INDEX(Ejecutivos!$B$2:$B$100,MATCH(B1488,Ejecutivos!$A$2:$A$100,0)),"")</f>
        <v/>
      </c>
      <c r="D1488" s="12"/>
      <c r="E1488" s="12"/>
      <c r="F1488" s="12"/>
      <c r="G1488" s="12"/>
      <c r="H1488" s="5"/>
      <c r="I1488" s="5"/>
      <c r="J1488" s="5"/>
      <c r="K1488" s="5"/>
      <c r="L1488" s="18">
        <v>0</v>
      </c>
      <c r="M1488" t="str">
        <f t="shared" si="95"/>
        <v/>
      </c>
      <c r="N1488" t="str">
        <f>IF(OR($D1488="",$S1488=""),"",IFERROR(MAX(0,ROUND(($D1488-INDEX(Config!$C$15:$C$18,MATCH($S1488,Config!$B$15:$B$18,0)))*24*60,0)),""))</f>
        <v/>
      </c>
      <c r="O1488" t="str">
        <f t="shared" si="96"/>
        <v/>
      </c>
      <c r="P1488" t="str">
        <f t="shared" si="97"/>
        <v/>
      </c>
      <c r="Q1488" t="str">
        <f>IF(OR($P1488="",$S1488=""),"",IFERROR($P1488-INDEX(Config!$E$15:$E$18,MATCH($S1488,Config!$B$15:$B$18,0)),""))</f>
        <v/>
      </c>
      <c r="R1488" t="str">
        <f t="shared" si="98"/>
        <v/>
      </c>
      <c r="S1488" s="6" t="str">
        <f>IF(OR($A1488="",$C1488=""),"",IFERROR(INDEX(Turno!$C$3:$V$32,MATCH($C1488,Turno!$B$3:$B$32,0),MATCH(DAY($A1488),Turno!$C$1:$V$1,0)),""))</f>
        <v/>
      </c>
      <c r="T1488" t="str">
        <f>IF(OR($E1488="",$S1488=""),"",IFERROR(MAX(0,ROUND((INDEX(Config!$D$15:$D$18,MATCH($S1488,Config!$B$15:$B$18,0))-$E1488)*1440,0)),""))</f>
        <v/>
      </c>
      <c r="U1488" s="13" t="str">
        <f>IF(OR($N1488="",$T1488=""),"",IFERROR(MAX(0,1-($N1488+$T1488+MAX(0,N($Q1488)))/ROUND((INDEX(Config!$D$15:$D$18,MATCH($S1488,Config!$B$15:$B$18,0))-INDEX(Config!$C$15:$C$18,MATCH($S1488,Config!$B$15:$B$18,0)))*1440,0)),""))</f>
        <v/>
      </c>
      <c r="V1488" s="5"/>
    </row>
    <row r="1489" spans="1:22" x14ac:dyDescent="0.25">
      <c r="A1489" s="61">
        <v>46238</v>
      </c>
      <c r="B1489" s="2" t="s">
        <v>23</v>
      </c>
      <c r="C1489" t="str">
        <f>IFERROR(INDEX(Ejecutivos!$B$2:$B$100,MATCH(B1489,Ejecutivos!$A$2:$A$100,0)),"")</f>
        <v>ATALY GARCIA</v>
      </c>
      <c r="D1489" s="55" t="s">
        <v>152</v>
      </c>
      <c r="E1489" s="55" t="s">
        <v>185</v>
      </c>
      <c r="F1489" s="55" t="s">
        <v>195</v>
      </c>
      <c r="G1489" s="55" t="s">
        <v>196</v>
      </c>
      <c r="H1489" s="58">
        <v>15</v>
      </c>
      <c r="I1489" s="58">
        <v>16</v>
      </c>
      <c r="J1489" s="58">
        <v>14</v>
      </c>
      <c r="K1489" s="55">
        <v>3</v>
      </c>
      <c r="L1489" s="18">
        <v>0</v>
      </c>
      <c r="M1489">
        <f t="shared" si="95"/>
        <v>6.65</v>
      </c>
      <c r="N1489">
        <f>IF(OR($D1489="",$S1489=""),"",IFERROR(MAX(0,ROUND(($D1489-INDEX(Config!$C$15:$C$18,MATCH($S1489,Config!$B$15:$B$18,0)))*24*60,0)),""))</f>
        <v>0</v>
      </c>
      <c r="O1489">
        <f t="shared" si="96"/>
        <v>30</v>
      </c>
      <c r="P1489">
        <f t="shared" si="97"/>
        <v>61</v>
      </c>
      <c r="Q1489">
        <f>IF(OR($P1489="",$S1489=""),"",IFERROR($P1489-INDEX(Config!$E$15:$E$18,MATCH($S1489,Config!$B$15:$B$18,0)),""))</f>
        <v>1</v>
      </c>
      <c r="R1489" t="str">
        <f t="shared" si="98"/>
        <v>Puntual</v>
      </c>
      <c r="S1489" s="6" t="str">
        <f>IF(OR($A1489="",$C1489=""),"",IFERROR(INDEX(Turno!$C$3:$V$32,MATCH($C1489,Turno!$B$3:$B$32,0),MATCH(DAY($A1489),Turno!$C$1:$V$1,0)),""))</f>
        <v>C</v>
      </c>
      <c r="T1489">
        <f>IF(OR($E1489="",$S1489=""),"",IFERROR(MAX(0,ROUND((INDEX(Config!$D$15:$D$18,MATCH($S1489,Config!$B$15:$B$18,0))-$E1489)*1440,0)),""))</f>
        <v>22</v>
      </c>
      <c r="U1489" s="13">
        <f>IF(OR($N1489="",$T1489=""),"",IFERROR(MAX(0,1-($N1489+$T1489+MAX(0,N($Q1489)))/ROUND((INDEX(Config!$D$15:$D$18,MATCH($S1489,Config!$B$15:$B$18,0))-INDEX(Config!$C$15:$C$18,MATCH($S1489,Config!$B$15:$B$18,0)))*1440,0)),""))</f>
        <v>0.95208333333333328</v>
      </c>
      <c r="V1489" s="5"/>
    </row>
    <row r="1490" spans="1:22" x14ac:dyDescent="0.25">
      <c r="A1490" s="61">
        <v>46239</v>
      </c>
      <c r="B1490" s="2" t="s">
        <v>23</v>
      </c>
      <c r="C1490" t="str">
        <f>IFERROR(INDEX(Ejecutivos!$B$2:$B$100,MATCH(B1490,Ejecutivos!$A$2:$A$100,0)),"")</f>
        <v>ATALY GARCIA</v>
      </c>
      <c r="D1490" s="56" t="s">
        <v>132</v>
      </c>
      <c r="E1490" s="56" t="s">
        <v>173</v>
      </c>
      <c r="F1490" s="56" t="s">
        <v>143</v>
      </c>
      <c r="G1490" s="56" t="s">
        <v>225</v>
      </c>
      <c r="H1490" s="57">
        <v>15</v>
      </c>
      <c r="I1490" s="57">
        <v>15</v>
      </c>
      <c r="J1490" s="57">
        <v>15</v>
      </c>
      <c r="K1490" s="56">
        <v>2</v>
      </c>
      <c r="L1490" s="18">
        <v>0</v>
      </c>
      <c r="M1490">
        <f t="shared" si="95"/>
        <v>8.9700000000000006</v>
      </c>
      <c r="N1490">
        <f>IF(OR($D1490="",$S1490=""),"",IFERROR(MAX(0,ROUND(($D1490-INDEX(Config!$C$15:$C$18,MATCH($S1490,Config!$B$15:$B$18,0)))*24*60,0)),""))</f>
        <v>0</v>
      </c>
      <c r="O1490">
        <f t="shared" si="96"/>
        <v>40</v>
      </c>
      <c r="P1490">
        <f t="shared" si="97"/>
        <v>70</v>
      </c>
      <c r="Q1490">
        <f>IF(OR($P1490="",$S1490=""),"",IFERROR($P1490-INDEX(Config!$E$15:$E$18,MATCH($S1490,Config!$B$15:$B$18,0)),""))</f>
        <v>10</v>
      </c>
      <c r="R1490" t="str">
        <f t="shared" si="98"/>
        <v>Puntual</v>
      </c>
      <c r="S1490" s="6" t="str">
        <f>IF(OR($A1490="",$C1490=""),"",IFERROR(INDEX(Turno!$C$3:$V$32,MATCH($C1490,Turno!$B$3:$B$32,0),MATCH(DAY($A1490),Turno!$C$1:$V$1,0)),""))</f>
        <v>A</v>
      </c>
      <c r="T1490">
        <f>IF(OR($E1490="",$S1490=""),"",IFERROR(MAX(0,ROUND((INDEX(Config!$D$15:$D$18,MATCH($S1490,Config!$B$15:$B$18,0))-$E1490)*1440,0)),""))</f>
        <v>0</v>
      </c>
      <c r="U1490" s="13">
        <f>IF(OR($N1490="",$T1490=""),"",IFERROR(MAX(0,1-($N1490+$T1490+MAX(0,N($Q1490)))/ROUND((INDEX(Config!$D$15:$D$18,MATCH($S1490,Config!$B$15:$B$18,0))-INDEX(Config!$C$15:$C$18,MATCH($S1490,Config!$B$15:$B$18,0)))*1440,0)),""))</f>
        <v>0.98333333333333328</v>
      </c>
      <c r="V1490" s="5"/>
    </row>
    <row r="1491" spans="1:22" x14ac:dyDescent="0.25">
      <c r="A1491" s="61">
        <v>46238</v>
      </c>
      <c r="B1491" s="2" t="s">
        <v>25</v>
      </c>
      <c r="C1491" t="str">
        <f>IFERROR(INDEX(Ejecutivos!$B$2:$B$100,MATCH(B1491,Ejecutivos!$A$2:$A$100,0)),"")</f>
        <v>CATHERINE AEDO</v>
      </c>
      <c r="D1491" s="56" t="s">
        <v>137</v>
      </c>
      <c r="E1491" s="56" t="s">
        <v>185</v>
      </c>
      <c r="F1491" s="56" t="s">
        <v>197</v>
      </c>
      <c r="G1491" s="56" t="s">
        <v>198</v>
      </c>
      <c r="H1491" s="57">
        <v>16</v>
      </c>
      <c r="I1491" s="57">
        <v>17</v>
      </c>
      <c r="J1491" s="59">
        <v>32</v>
      </c>
      <c r="K1491" s="56">
        <v>4</v>
      </c>
      <c r="L1491" s="56">
        <v>2</v>
      </c>
      <c r="M1491">
        <f t="shared" si="95"/>
        <v>6.45</v>
      </c>
      <c r="N1491">
        <f>IF(OR($D1491="",$S1491=""),"",IFERROR(MAX(0,ROUND(($D1491-INDEX(Config!$C$15:$C$18,MATCH($S1491,Config!$B$15:$B$18,0)))*24*60,0)),""))</f>
        <v>0</v>
      </c>
      <c r="O1491">
        <f t="shared" si="96"/>
        <v>38</v>
      </c>
      <c r="P1491">
        <f t="shared" si="97"/>
        <v>71</v>
      </c>
      <c r="Q1491">
        <f>IF(OR($P1491="",$S1491=""),"",IFERROR($P1491-INDEX(Config!$E$15:$E$18,MATCH($S1491,Config!$B$15:$B$18,0)),""))</f>
        <v>11</v>
      </c>
      <c r="R1491" t="str">
        <f t="shared" si="98"/>
        <v>Puntual</v>
      </c>
      <c r="S1491" s="6" t="str">
        <f>IF(OR($A1491="",$C1491=""),"",IFERROR(INDEX(Turno!$C$3:$V$32,MATCH($C1491,Turno!$B$3:$B$32,0),MATCH(DAY($A1491),Turno!$C$1:$V$1,0)),""))</f>
        <v>C</v>
      </c>
      <c r="T1491">
        <f>IF(OR($E1491="",$S1491=""),"",IFERROR(MAX(0,ROUND((INDEX(Config!$D$15:$D$18,MATCH($S1491,Config!$B$15:$B$18,0))-$E1491)*1440,0)),""))</f>
        <v>22</v>
      </c>
      <c r="U1491" s="13">
        <f>IF(OR($N1491="",$T1491=""),"",IFERROR(MAX(0,1-($N1491+$T1491+MAX(0,N($Q1491)))/ROUND((INDEX(Config!$D$15:$D$18,MATCH($S1491,Config!$B$15:$B$18,0))-INDEX(Config!$C$15:$C$18,MATCH($S1491,Config!$B$15:$B$18,0)))*1440,0)),""))</f>
        <v>0.93125000000000002</v>
      </c>
      <c r="V1491" s="5"/>
    </row>
    <row r="1492" spans="1:22" x14ac:dyDescent="0.25">
      <c r="A1492" s="61">
        <v>46239</v>
      </c>
      <c r="B1492" s="2" t="s">
        <v>25</v>
      </c>
      <c r="C1492" t="str">
        <f>IFERROR(INDEX(Ejecutivos!$B$2:$B$100,MATCH(B1492,Ejecutivos!$A$2:$A$100,0)),"")</f>
        <v>CATHERINE AEDO</v>
      </c>
      <c r="D1492" s="55" t="s">
        <v>212</v>
      </c>
      <c r="E1492" s="55" t="s">
        <v>216</v>
      </c>
      <c r="F1492" s="55" t="s">
        <v>195</v>
      </c>
      <c r="G1492" s="55" t="s">
        <v>226</v>
      </c>
      <c r="H1492" s="58">
        <v>20</v>
      </c>
      <c r="I1492" s="58">
        <v>17</v>
      </c>
      <c r="J1492" s="60">
        <v>34</v>
      </c>
      <c r="K1492" s="55">
        <v>3</v>
      </c>
      <c r="L1492" s="62">
        <v>4</v>
      </c>
      <c r="M1492">
        <f t="shared" si="95"/>
        <v>7.15</v>
      </c>
      <c r="N1492">
        <f>IF(OR($D1492="",$S1492=""),"",IFERROR(MAX(0,ROUND(($D1492-INDEX(Config!$C$15:$C$18,MATCH($S1492,Config!$B$15:$B$18,0)))*24*60,0)),""))</f>
        <v>5</v>
      </c>
      <c r="O1492">
        <f t="shared" si="96"/>
        <v>39</v>
      </c>
      <c r="P1492">
        <f t="shared" si="97"/>
        <v>76</v>
      </c>
      <c r="Q1492">
        <f>IF(OR($P1492="",$S1492=""),"",IFERROR($P1492-INDEX(Config!$E$15:$E$18,MATCH($S1492,Config!$B$15:$B$18,0)),""))</f>
        <v>16</v>
      </c>
      <c r="R1492" t="str">
        <f t="shared" si="98"/>
        <v>Atrasado</v>
      </c>
      <c r="S1492" s="6" t="str">
        <f>IF(OR($A1492="",$C1492=""),"",IFERROR(INDEX(Turno!$C$3:$V$32,MATCH($C1492,Turno!$B$3:$B$32,0),MATCH(DAY($A1492),Turno!$C$1:$V$1,0)),""))</f>
        <v>B</v>
      </c>
      <c r="T1492">
        <f>IF(OR($E1492="",$S1492=""),"",IFERROR(MAX(0,ROUND((INDEX(Config!$D$15:$D$18,MATCH($S1492,Config!$B$15:$B$18,0))-$E1492)*1440,0)),""))</f>
        <v>30</v>
      </c>
      <c r="U1492" s="13">
        <f>IF(OR($N1492="",$T1492=""),"",IFERROR(MAX(0,1-($N1492+$T1492+MAX(0,N($Q1492)))/ROUND((INDEX(Config!$D$15:$D$18,MATCH($S1492,Config!$B$15:$B$18,0))-INDEX(Config!$C$15:$C$18,MATCH($S1492,Config!$B$15:$B$18,0)))*1440,0)),""))</f>
        <v>0.90555555555555556</v>
      </c>
      <c r="V1492" s="5"/>
    </row>
  </sheetData>
  <autoFilter ref="A1:V1492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Normal="100" workbookViewId="0">
      <pane ySplit="1" topLeftCell="A2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14" customWidth="1"/>
    <col min="2" max="2" width="26.140625" customWidth="1"/>
    <col min="3" max="13" width="14" customWidth="1"/>
  </cols>
  <sheetData>
    <row r="1" spans="1:13" ht="30" customHeight="1" x14ac:dyDescent="0.25">
      <c r="A1" s="81" t="s">
        <v>0</v>
      </c>
      <c r="B1" s="81" t="s">
        <v>52</v>
      </c>
      <c r="C1" s="81" t="s">
        <v>107</v>
      </c>
      <c r="D1" s="81" t="s">
        <v>304</v>
      </c>
      <c r="E1" s="81" t="s">
        <v>108</v>
      </c>
      <c r="F1" s="81" t="s">
        <v>109</v>
      </c>
      <c r="G1" s="81" t="s">
        <v>60</v>
      </c>
      <c r="H1" s="81" t="s">
        <v>110</v>
      </c>
      <c r="I1" s="81" t="s">
        <v>111</v>
      </c>
      <c r="J1" s="81" t="s">
        <v>112</v>
      </c>
      <c r="K1" s="81" t="s">
        <v>2</v>
      </c>
      <c r="L1" s="81" t="s">
        <v>113</v>
      </c>
      <c r="M1" s="81" t="s">
        <v>86</v>
      </c>
    </row>
    <row r="2" spans="1:13" x14ac:dyDescent="0.25">
      <c r="A2" s="82" t="s">
        <v>11</v>
      </c>
      <c r="B2" s="83" t="str">
        <f>IFERROR(INDEX([2]Ejecutivos!$B$2:$B$100,MATCH(A2,[2]Ejecutivos!$A$2:$A$100,0)),"")</f>
        <v>ALEJANDRA CHACON</v>
      </c>
      <c r="C2" s="84"/>
      <c r="D2" s="84"/>
      <c r="E2" s="79">
        <v>158</v>
      </c>
      <c r="F2" s="84"/>
      <c r="G2" s="84"/>
      <c r="H2" s="84"/>
      <c r="I2" s="84"/>
      <c r="J2" s="84"/>
      <c r="K2" s="84"/>
      <c r="L2" s="86">
        <v>0.85</v>
      </c>
      <c r="M2" s="87">
        <v>0.98445595854922274</v>
      </c>
    </row>
    <row r="3" spans="1:13" x14ac:dyDescent="0.25">
      <c r="A3" s="82" t="s">
        <v>18</v>
      </c>
      <c r="B3" s="83" t="str">
        <f>IFERROR(INDEX([2]Ejecutivos!$B$2:$B$100,MATCH(A3,[2]Ejecutivos!$A$2:$A$100,0)),"")</f>
        <v>ALEJANDRA ORELLANA</v>
      </c>
      <c r="C3" s="84"/>
      <c r="D3" s="84"/>
      <c r="E3" s="79">
        <v>177</v>
      </c>
      <c r="F3" s="84"/>
      <c r="G3" s="84"/>
      <c r="H3" s="84"/>
      <c r="I3" s="84"/>
      <c r="J3" s="84"/>
      <c r="K3" s="84"/>
      <c r="L3" s="86">
        <v>0.93</v>
      </c>
      <c r="M3" s="87">
        <v>0.98938992042440321</v>
      </c>
    </row>
    <row r="4" spans="1:13" x14ac:dyDescent="0.25">
      <c r="A4" s="82" t="s">
        <v>23</v>
      </c>
      <c r="B4" s="83" t="str">
        <f>IFERROR(INDEX([2]Ejecutivos!$B$2:$B$100,MATCH(A4,[2]Ejecutivos!$A$2:$A$100,0)),"")</f>
        <v>ATALY GARCIA</v>
      </c>
      <c r="C4" s="84"/>
      <c r="D4" s="84"/>
      <c r="E4" s="79">
        <v>218</v>
      </c>
      <c r="F4" s="84"/>
      <c r="G4" s="84"/>
      <c r="H4" s="84"/>
      <c r="I4" s="84"/>
      <c r="J4" s="84"/>
      <c r="K4" s="84"/>
      <c r="L4" s="86">
        <v>0.89</v>
      </c>
      <c r="M4" s="87">
        <v>0.98425196850393704</v>
      </c>
    </row>
    <row r="5" spans="1:13" x14ac:dyDescent="0.25">
      <c r="A5" s="82" t="s">
        <v>27</v>
      </c>
      <c r="B5" s="83" t="str">
        <f>IFERROR(INDEX([2]Ejecutivos!$B$2:$B$100,MATCH(A5,[2]Ejecutivos!$A$2:$A$100,0)),"")</f>
        <v>DANIELA RODRIGUEZ</v>
      </c>
      <c r="C5" s="84"/>
      <c r="D5" s="84"/>
      <c r="E5" s="79">
        <v>257</v>
      </c>
      <c r="F5" s="84"/>
      <c r="G5" s="84"/>
      <c r="H5" s="84"/>
      <c r="I5" s="84"/>
      <c r="J5" s="84"/>
      <c r="K5" s="84"/>
      <c r="L5" s="86">
        <v>0.92</v>
      </c>
      <c r="M5" s="87">
        <v>0.97674418604651159</v>
      </c>
    </row>
    <row r="6" spans="1:13" x14ac:dyDescent="0.25">
      <c r="A6" s="82" t="s">
        <v>29</v>
      </c>
      <c r="B6" s="83" t="str">
        <f>IFERROR(INDEX([2]Ejecutivos!$B$2:$B$100,MATCH(A6,[2]Ejecutivos!$A$2:$A$100,0)),"")</f>
        <v>ELSA GONGORA</v>
      </c>
      <c r="C6" s="84"/>
      <c r="D6" s="84"/>
      <c r="E6" s="79">
        <v>213</v>
      </c>
      <c r="F6" s="84"/>
      <c r="G6" s="84"/>
      <c r="H6" s="84"/>
      <c r="I6" s="84"/>
      <c r="J6" s="84"/>
      <c r="K6" s="84"/>
      <c r="L6" s="86">
        <v>0.92</v>
      </c>
      <c r="M6" s="87">
        <v>0.95977011494252873</v>
      </c>
    </row>
    <row r="7" spans="1:13" x14ac:dyDescent="0.25">
      <c r="A7" s="82" t="s">
        <v>33</v>
      </c>
      <c r="B7" s="83" t="str">
        <f>IFERROR(INDEX([2]Ejecutivos!$B$2:$B$100,MATCH(A7,[2]Ejecutivos!$A$2:$A$100,0)),"")</f>
        <v>KATIA HALD</v>
      </c>
      <c r="C7" s="84"/>
      <c r="D7" s="84"/>
      <c r="E7" s="79">
        <v>247</v>
      </c>
      <c r="F7" s="84"/>
      <c r="G7" s="84"/>
      <c r="H7" s="84"/>
      <c r="I7" s="84"/>
      <c r="J7" s="84"/>
      <c r="K7" s="84"/>
      <c r="L7" s="86">
        <v>0.8</v>
      </c>
      <c r="M7" s="87">
        <v>0.97286821705426352</v>
      </c>
    </row>
    <row r="8" spans="1:13" x14ac:dyDescent="0.25">
      <c r="A8" s="82" t="s">
        <v>37</v>
      </c>
      <c r="B8" s="83" t="str">
        <f>IFERROR(INDEX([2]Ejecutivos!$B$2:$B$100,MATCH(A8,[2]Ejecutivos!$A$2:$A$100,0)),"")</f>
        <v>MANUELA ASTUDILLO</v>
      </c>
      <c r="C8" s="84"/>
      <c r="D8" s="84"/>
      <c r="E8" s="79">
        <v>269</v>
      </c>
      <c r="F8" s="84"/>
      <c r="G8" s="84"/>
      <c r="H8" s="84"/>
      <c r="I8" s="84"/>
      <c r="J8" s="84"/>
      <c r="K8" s="84"/>
      <c r="L8" s="86">
        <v>1</v>
      </c>
      <c r="M8" s="87">
        <v>0.91304347826086951</v>
      </c>
    </row>
    <row r="9" spans="1:13" x14ac:dyDescent="0.25">
      <c r="A9" s="82" t="s">
        <v>39</v>
      </c>
      <c r="B9" s="83" t="str">
        <f>IFERROR(INDEX([2]Ejecutivos!$B$2:$B$100,MATCH(A9,[2]Ejecutivos!$A$2:$A$100,0)),"")</f>
        <v>MARIA LORETO VELASQUEZ</v>
      </c>
      <c r="C9" s="84"/>
      <c r="D9" s="84"/>
      <c r="E9" s="79">
        <v>303</v>
      </c>
      <c r="F9" s="84"/>
      <c r="G9" s="84"/>
      <c r="H9" s="84"/>
      <c r="I9" s="84"/>
      <c r="J9" s="84"/>
      <c r="K9" s="84"/>
      <c r="L9" s="86">
        <v>0.89473684210526316</v>
      </c>
      <c r="M9" s="87">
        <v>0.94927536231884058</v>
      </c>
    </row>
    <row r="10" spans="1:13" x14ac:dyDescent="0.25">
      <c r="A10" s="82" t="s">
        <v>42</v>
      </c>
      <c r="B10" s="83" t="str">
        <f>IFERROR(INDEX([2]Ejecutivos!$B$2:$B$100,MATCH(A10,[2]Ejecutivos!$A$2:$A$100,0)),"")</f>
        <v>MAXIMILIANO OLIVARES</v>
      </c>
      <c r="C10" s="84"/>
      <c r="D10" s="84"/>
      <c r="E10" s="79">
        <v>286</v>
      </c>
      <c r="F10" s="84"/>
      <c r="G10" s="84"/>
      <c r="H10" s="84"/>
      <c r="I10" s="84"/>
      <c r="J10" s="84"/>
      <c r="K10" s="84"/>
      <c r="L10" s="86">
        <v>0.64634146341463417</v>
      </c>
      <c r="M10" s="87">
        <v>0.94042553191489364</v>
      </c>
    </row>
    <row r="11" spans="1:13" x14ac:dyDescent="0.25">
      <c r="A11" s="82" t="s">
        <v>44</v>
      </c>
      <c r="B11" s="83" t="str">
        <f>IFERROR(INDEX([2]Ejecutivos!$B$2:$B$100,MATCH(A11,[2]Ejecutivos!$A$2:$A$100,0)),"")</f>
        <v>MELISSA SALGADO</v>
      </c>
      <c r="C11" s="84"/>
      <c r="D11" s="84"/>
      <c r="E11" s="79">
        <v>280</v>
      </c>
      <c r="F11" s="84"/>
      <c r="G11" s="84"/>
      <c r="H11" s="84"/>
      <c r="I11" s="84"/>
      <c r="J11" s="84"/>
      <c r="K11" s="84"/>
      <c r="L11" s="86">
        <v>0.88</v>
      </c>
      <c r="M11" s="87">
        <v>0.97424892703862664</v>
      </c>
    </row>
    <row r="12" spans="1:13" x14ac:dyDescent="0.25">
      <c r="A12" s="82" t="s">
        <v>46</v>
      </c>
      <c r="B12" s="83" t="str">
        <f>IFERROR(INDEX([2]Ejecutivos!$B$2:$B$100,MATCH(A12,[2]Ejecutivos!$A$2:$A$100,0)),"")</f>
        <v>NANCI MENDEZ</v>
      </c>
      <c r="C12" s="84"/>
      <c r="D12" s="84"/>
      <c r="E12" s="79">
        <v>240</v>
      </c>
      <c r="F12" s="84"/>
      <c r="G12" s="84"/>
      <c r="H12" s="84"/>
      <c r="I12" s="84"/>
      <c r="J12" s="84"/>
      <c r="K12" s="84"/>
      <c r="L12" s="86">
        <v>0.92</v>
      </c>
      <c r="M12" s="87">
        <v>0.97599999999999998</v>
      </c>
    </row>
    <row r="13" spans="1:13" x14ac:dyDescent="0.25">
      <c r="A13" s="82" t="s">
        <v>49</v>
      </c>
      <c r="B13" s="83" t="str">
        <f>IFERROR(INDEX([2]Ejecutivos!$B$2:$B$100,MATCH(A13,[2]Ejecutivos!$A$2:$A$100,0)),"")</f>
        <v>TOMAS MAULEN</v>
      </c>
      <c r="C13" s="84"/>
      <c r="D13" s="84"/>
      <c r="E13" s="79">
        <v>209</v>
      </c>
      <c r="F13" s="84"/>
      <c r="G13" s="84"/>
      <c r="H13" s="84"/>
      <c r="I13" s="84"/>
      <c r="J13" s="84"/>
      <c r="K13" s="84"/>
      <c r="L13" s="86">
        <v>0.89</v>
      </c>
      <c r="M13" s="87">
        <v>0.96186440677966101</v>
      </c>
    </row>
    <row r="14" spans="1:13" x14ac:dyDescent="0.25">
      <c r="A14" s="84"/>
      <c r="B14" s="88" t="s">
        <v>21</v>
      </c>
      <c r="C14" s="84"/>
      <c r="D14" s="84"/>
      <c r="E14" s="85">
        <v>348</v>
      </c>
      <c r="F14" s="84"/>
      <c r="G14" s="84"/>
      <c r="H14" s="84"/>
      <c r="I14" s="84"/>
      <c r="J14" s="84"/>
      <c r="K14" s="84"/>
      <c r="L14" s="89">
        <f>AVERAGE(L2:L13)</f>
        <v>0.8784231921266582</v>
      </c>
      <c r="M14" s="87">
        <v>0.85227272727272729</v>
      </c>
    </row>
    <row r="15" spans="1:13" x14ac:dyDescent="0.25">
      <c r="A15" s="84"/>
      <c r="B15" s="88" t="s">
        <v>26</v>
      </c>
      <c r="C15" s="84"/>
      <c r="D15" s="84"/>
      <c r="E15" s="79">
        <v>207</v>
      </c>
      <c r="F15" s="84"/>
      <c r="G15" s="84"/>
      <c r="H15" s="84"/>
      <c r="I15" s="84"/>
      <c r="J15" s="84"/>
      <c r="K15" s="84"/>
      <c r="L15" s="84"/>
      <c r="M15" s="87">
        <v>0.92647058823529416</v>
      </c>
    </row>
    <row r="16" spans="1:13" x14ac:dyDescent="0.25">
      <c r="A16" s="84"/>
      <c r="B16" s="88" t="s">
        <v>32</v>
      </c>
      <c r="C16" s="84"/>
      <c r="D16" s="84"/>
      <c r="E16" s="79">
        <v>187</v>
      </c>
      <c r="F16" s="84"/>
      <c r="G16" s="84"/>
      <c r="H16" s="84"/>
      <c r="I16" s="84"/>
      <c r="J16" s="84"/>
      <c r="K16" s="84"/>
      <c r="L16" s="84"/>
      <c r="M16" s="87">
        <v>0.97647058823529409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zoomScaleNormal="100" workbookViewId="0">
      <pane ySplit="1" topLeftCell="A2" activePane="bottomLeft" state="frozen"/>
      <selection pane="bottomLeft" activeCell="H19" sqref="H19"/>
    </sheetView>
  </sheetViews>
  <sheetFormatPr baseColWidth="10" defaultColWidth="8.7109375" defaultRowHeight="15" x14ac:dyDescent="0.25"/>
  <cols>
    <col min="1" max="1" width="13" customWidth="1"/>
    <col min="2" max="2" width="32.5703125" customWidth="1"/>
    <col min="3" max="4" width="14" customWidth="1"/>
    <col min="5" max="5" width="23.85546875" customWidth="1"/>
    <col min="6" max="6" width="26" customWidth="1"/>
  </cols>
  <sheetData>
    <row r="1" spans="1:6" ht="30" customHeight="1" x14ac:dyDescent="0.25">
      <c r="A1" s="1" t="s">
        <v>0</v>
      </c>
      <c r="B1" s="1" t="s">
        <v>52</v>
      </c>
      <c r="C1" s="1" t="s">
        <v>118</v>
      </c>
      <c r="D1" s="1" t="s">
        <v>119</v>
      </c>
      <c r="E1" s="1" t="s">
        <v>120</v>
      </c>
      <c r="F1" s="1" t="s">
        <v>10</v>
      </c>
    </row>
    <row r="2" spans="1:6" x14ac:dyDescent="0.25">
      <c r="A2" s="2" t="s">
        <v>11</v>
      </c>
      <c r="B2" s="6" t="str">
        <f>IFERROR(INDEX(Ejecutivos!$B$2:$B$100,MATCH(A2,Ejecutivos!$A$2:$A$100,0)),"")</f>
        <v>ALEJANDRA CHACON</v>
      </c>
      <c r="C2" s="5"/>
      <c r="D2" s="5"/>
      <c r="E2" s="13" t="str">
        <f t="shared" ref="E2:E29" si="0">IF(OR(C2="",D2=""),"",IF((C2+D2)=0,"",C2/(C2+D2)))</f>
        <v/>
      </c>
      <c r="F2" s="5"/>
    </row>
    <row r="3" spans="1:6" x14ac:dyDescent="0.25">
      <c r="A3" s="2" t="s">
        <v>18</v>
      </c>
      <c r="B3" s="6" t="str">
        <f>IFERROR(INDEX(Ejecutivos!$B$2:$B$100,MATCH(A3,Ejecutivos!$A$2:$A$100,0)),"")</f>
        <v>ALEJANDRA ORELLANA</v>
      </c>
      <c r="C3" s="5"/>
      <c r="D3" s="5"/>
      <c r="E3" s="13" t="str">
        <f t="shared" si="0"/>
        <v/>
      </c>
      <c r="F3" s="5"/>
    </row>
    <row r="4" spans="1:6" x14ac:dyDescent="0.25">
      <c r="A4" s="2" t="s">
        <v>20</v>
      </c>
      <c r="B4" s="6" t="str">
        <f>IFERROR(INDEX(Ejecutivos!$B$2:$B$100,MATCH(A4,Ejecutivos!$A$2:$A$100,0)),"")</f>
        <v>ANA ASTORGA</v>
      </c>
      <c r="C4" s="5"/>
      <c r="D4" s="5"/>
      <c r="E4" s="13" t="str">
        <f t="shared" si="0"/>
        <v/>
      </c>
      <c r="F4" s="5"/>
    </row>
    <row r="5" spans="1:6" x14ac:dyDescent="0.25">
      <c r="A5" s="2" t="s">
        <v>23</v>
      </c>
      <c r="B5" s="6" t="str">
        <f>IFERROR(INDEX(Ejecutivos!$B$2:$B$100,MATCH(A5,Ejecutivos!$A$2:$A$100,0)),"")</f>
        <v>ATALY GARCIA</v>
      </c>
      <c r="C5" s="5"/>
      <c r="D5" s="5"/>
      <c r="E5" s="13" t="str">
        <f t="shared" si="0"/>
        <v/>
      </c>
      <c r="F5" s="5"/>
    </row>
    <row r="6" spans="1:6" x14ac:dyDescent="0.25">
      <c r="A6" s="2" t="s">
        <v>27</v>
      </c>
      <c r="B6" s="6" t="str">
        <f>IFERROR(INDEX(Ejecutivos!$B$2:$B$100,MATCH(A6,Ejecutivos!$A$2:$A$100,0)),"")</f>
        <v>DANIELA RODRIGUEZ</v>
      </c>
      <c r="C6" s="5"/>
      <c r="D6" s="5"/>
      <c r="E6" s="13" t="str">
        <f t="shared" si="0"/>
        <v/>
      </c>
      <c r="F6" s="5"/>
    </row>
    <row r="7" spans="1:6" x14ac:dyDescent="0.25">
      <c r="A7" s="2" t="s">
        <v>29</v>
      </c>
      <c r="B7" s="6" t="str">
        <f>IFERROR(INDEX(Ejecutivos!$B$2:$B$100,MATCH(A7,Ejecutivos!$A$2:$A$100,0)),"")</f>
        <v>ELSA GONGORA</v>
      </c>
      <c r="C7" s="5"/>
      <c r="D7" s="5"/>
      <c r="E7" s="13" t="str">
        <f t="shared" si="0"/>
        <v/>
      </c>
      <c r="F7" s="5"/>
    </row>
    <row r="8" spans="1:6" x14ac:dyDescent="0.25">
      <c r="A8" s="2" t="s">
        <v>33</v>
      </c>
      <c r="B8" s="6" t="str">
        <f>IFERROR(INDEX(Ejecutivos!$B$2:$B$100,MATCH(A8,Ejecutivos!$A$2:$A$100,0)),"")</f>
        <v>KATIA HALD</v>
      </c>
      <c r="C8" s="5"/>
      <c r="D8" s="5"/>
      <c r="E8" s="13" t="str">
        <f t="shared" si="0"/>
        <v/>
      </c>
      <c r="F8" s="5"/>
    </row>
    <row r="9" spans="1:6" x14ac:dyDescent="0.25">
      <c r="A9" s="2" t="s">
        <v>35</v>
      </c>
      <c r="B9" s="6" t="str">
        <f>IFERROR(INDEX(Ejecutivos!$B$2:$B$100,MATCH(A9,Ejecutivos!$A$2:$A$100,0)),"")</f>
        <v>MANUEL MONSALVE</v>
      </c>
      <c r="C9" s="5"/>
      <c r="D9" s="5"/>
      <c r="E9" s="13" t="str">
        <f t="shared" si="0"/>
        <v/>
      </c>
      <c r="F9" s="5"/>
    </row>
    <row r="10" spans="1:6" x14ac:dyDescent="0.25">
      <c r="A10" s="2" t="s">
        <v>37</v>
      </c>
      <c r="B10" s="6" t="str">
        <f>IFERROR(INDEX(Ejecutivos!$B$2:$B$100,MATCH(A10,Ejecutivos!$A$2:$A$100,0)),"")</f>
        <v>MANUELA ASTUDILLO</v>
      </c>
      <c r="C10" s="5"/>
      <c r="D10" s="5"/>
      <c r="E10" s="13" t="str">
        <f t="shared" si="0"/>
        <v/>
      </c>
      <c r="F10" s="5"/>
    </row>
    <row r="11" spans="1:6" x14ac:dyDescent="0.25">
      <c r="A11" s="2" t="s">
        <v>39</v>
      </c>
      <c r="B11" s="6" t="str">
        <f>IFERROR(INDEX(Ejecutivos!$B$2:$B$100,MATCH(A11,Ejecutivos!$A$2:$A$100,0)),"")</f>
        <v>MARIA LORETO VELASQUEZ</v>
      </c>
      <c r="C11" s="5"/>
      <c r="D11" s="5"/>
      <c r="E11" s="13" t="str">
        <f t="shared" si="0"/>
        <v/>
      </c>
      <c r="F11" s="5"/>
    </row>
    <row r="12" spans="1:6" x14ac:dyDescent="0.25">
      <c r="A12" s="2" t="s">
        <v>42</v>
      </c>
      <c r="B12" s="6" t="str">
        <f>IFERROR(INDEX(Ejecutivos!$B$2:$B$100,MATCH(A12,Ejecutivos!$A$2:$A$100,0)),"")</f>
        <v>MAXIMILIANO OLIVARES</v>
      </c>
      <c r="C12" s="5"/>
      <c r="D12" s="5"/>
      <c r="E12" s="13" t="str">
        <f t="shared" si="0"/>
        <v/>
      </c>
      <c r="F12" s="5"/>
    </row>
    <row r="13" spans="1:6" x14ac:dyDescent="0.25">
      <c r="A13" s="2" t="s">
        <v>46</v>
      </c>
      <c r="B13" s="6" t="str">
        <f>IFERROR(INDEX(Ejecutivos!$B$2:$B$100,MATCH(A13,Ejecutivos!$A$2:$A$100,0)),"")</f>
        <v>NANCI MENDEZ</v>
      </c>
      <c r="C13" s="5"/>
      <c r="D13" s="5"/>
      <c r="E13" s="13" t="str">
        <f t="shared" si="0"/>
        <v/>
      </c>
      <c r="F13" s="5"/>
    </row>
    <row r="14" spans="1:6" x14ac:dyDescent="0.25">
      <c r="A14" s="2" t="s">
        <v>49</v>
      </c>
      <c r="B14" s="6" t="str">
        <f>IFERROR(INDEX(Ejecutivos!$B$2:$B$100,MATCH(A14,Ejecutivos!$A$2:$A$100,0)),"")</f>
        <v>TOMAS MAULEN</v>
      </c>
      <c r="C14" s="5"/>
      <c r="D14" s="5"/>
      <c r="E14" s="13" t="str">
        <f t="shared" si="0"/>
        <v/>
      </c>
      <c r="F14" s="5"/>
    </row>
    <row r="15" spans="1:6" x14ac:dyDescent="0.25">
      <c r="A15" s="5"/>
      <c r="B15" s="6" t="str">
        <f>IFERROR(INDEX(Ejecutivos!$B$2:$B$100,MATCH(A15,Ejecutivos!$A$2:$A$100,0)),"")</f>
        <v/>
      </c>
      <c r="C15" s="5"/>
      <c r="D15" s="5"/>
      <c r="E15" s="13" t="str">
        <f t="shared" si="0"/>
        <v/>
      </c>
      <c r="F15" s="5"/>
    </row>
    <row r="16" spans="1:6" x14ac:dyDescent="0.25">
      <c r="A16" s="5"/>
      <c r="B16" s="6" t="str">
        <f>IFERROR(INDEX(Ejecutivos!$B$2:$B$100,MATCH(A16,Ejecutivos!$A$2:$A$100,0)),"")</f>
        <v/>
      </c>
      <c r="C16" s="5"/>
      <c r="D16" s="5"/>
      <c r="E16" s="13" t="str">
        <f t="shared" si="0"/>
        <v/>
      </c>
      <c r="F16" s="5"/>
    </row>
    <row r="17" spans="1:6" x14ac:dyDescent="0.25">
      <c r="A17" s="5"/>
      <c r="B17" s="6" t="str">
        <f>IFERROR(INDEX(Ejecutivos!$B$2:$B$100,MATCH(A17,Ejecutivos!$A$2:$A$100,0)),"")</f>
        <v/>
      </c>
      <c r="C17" s="5"/>
      <c r="D17" s="5"/>
      <c r="E17" s="13" t="str">
        <f t="shared" si="0"/>
        <v/>
      </c>
      <c r="F17" s="5"/>
    </row>
    <row r="18" spans="1:6" x14ac:dyDescent="0.25">
      <c r="A18" s="5"/>
      <c r="B18" s="6" t="str">
        <f>IFERROR(INDEX(Ejecutivos!$B$2:$B$100,MATCH(A18,Ejecutivos!$A$2:$A$100,0)),"")</f>
        <v/>
      </c>
      <c r="C18" s="5"/>
      <c r="D18" s="5"/>
      <c r="E18" s="13" t="str">
        <f t="shared" si="0"/>
        <v/>
      </c>
      <c r="F18" s="5"/>
    </row>
    <row r="19" spans="1:6" x14ac:dyDescent="0.25">
      <c r="A19" s="5"/>
      <c r="B19" s="6" t="str">
        <f>IFERROR(INDEX(Ejecutivos!$B$2:$B$100,MATCH(A19,Ejecutivos!$A$2:$A$100,0)),"")</f>
        <v/>
      </c>
      <c r="C19" s="5"/>
      <c r="D19" s="5"/>
      <c r="E19" s="13" t="str">
        <f t="shared" si="0"/>
        <v/>
      </c>
      <c r="F19" s="5"/>
    </row>
    <row r="20" spans="1:6" x14ac:dyDescent="0.25">
      <c r="A20" s="5"/>
      <c r="B20" s="6" t="str">
        <f>IFERROR(INDEX(Ejecutivos!$B$2:$B$100,MATCH(A20,Ejecutivos!$A$2:$A$100,0)),"")</f>
        <v/>
      </c>
      <c r="C20" s="5"/>
      <c r="D20" s="5"/>
      <c r="E20" s="13" t="str">
        <f t="shared" si="0"/>
        <v/>
      </c>
      <c r="F20" s="5"/>
    </row>
    <row r="21" spans="1:6" x14ac:dyDescent="0.25">
      <c r="A21" s="5"/>
      <c r="B21" s="6" t="str">
        <f>IFERROR(INDEX(Ejecutivos!$B$2:$B$100,MATCH(A21,Ejecutivos!$A$2:$A$100,0)),"")</f>
        <v/>
      </c>
      <c r="C21" s="5"/>
      <c r="D21" s="5"/>
      <c r="E21" s="13" t="str">
        <f t="shared" si="0"/>
        <v/>
      </c>
      <c r="F21" s="5"/>
    </row>
    <row r="22" spans="1:6" x14ac:dyDescent="0.25">
      <c r="A22" s="5"/>
      <c r="B22" s="6" t="str">
        <f>IFERROR(INDEX(Ejecutivos!$B$2:$B$100,MATCH(A22,Ejecutivos!$A$2:$A$100,0)),"")</f>
        <v/>
      </c>
      <c r="C22" s="5"/>
      <c r="D22" s="5"/>
      <c r="E22" s="13" t="str">
        <f t="shared" si="0"/>
        <v/>
      </c>
      <c r="F22" s="5"/>
    </row>
    <row r="23" spans="1:6" x14ac:dyDescent="0.25">
      <c r="A23" s="5"/>
      <c r="B23" s="6" t="str">
        <f>IFERROR(INDEX(Ejecutivos!$B$2:$B$100,MATCH(A23,Ejecutivos!$A$2:$A$100,0)),"")</f>
        <v/>
      </c>
      <c r="C23" s="5"/>
      <c r="D23" s="5"/>
      <c r="E23" s="13" t="str">
        <f t="shared" si="0"/>
        <v/>
      </c>
      <c r="F23" s="5"/>
    </row>
    <row r="24" spans="1:6" x14ac:dyDescent="0.25">
      <c r="A24" s="5"/>
      <c r="B24" s="6" t="str">
        <f>IFERROR(INDEX(Ejecutivos!$B$2:$B$100,MATCH(A24,Ejecutivos!$A$2:$A$100,0)),"")</f>
        <v/>
      </c>
      <c r="C24" s="5"/>
      <c r="D24" s="5"/>
      <c r="E24" s="13" t="str">
        <f t="shared" si="0"/>
        <v/>
      </c>
      <c r="F24" s="5"/>
    </row>
    <row r="25" spans="1:6" x14ac:dyDescent="0.25">
      <c r="A25" s="5"/>
      <c r="B25" s="6" t="str">
        <f>IFERROR(INDEX(Ejecutivos!$B$2:$B$100,MATCH(A25,Ejecutivos!$A$2:$A$100,0)),"")</f>
        <v/>
      </c>
      <c r="C25" s="5"/>
      <c r="D25" s="5"/>
      <c r="E25" s="13" t="str">
        <f t="shared" si="0"/>
        <v/>
      </c>
      <c r="F25" s="5"/>
    </row>
    <row r="26" spans="1:6" x14ac:dyDescent="0.25">
      <c r="A26" s="5"/>
      <c r="B26" s="6" t="str">
        <f>IFERROR(INDEX(Ejecutivos!$B$2:$B$100,MATCH(A26,Ejecutivos!$A$2:$A$100,0)),"")</f>
        <v/>
      </c>
      <c r="C26" s="5"/>
      <c r="D26" s="5"/>
      <c r="E26" s="13" t="str">
        <f t="shared" si="0"/>
        <v/>
      </c>
      <c r="F26" s="5"/>
    </row>
    <row r="27" spans="1:6" x14ac:dyDescent="0.25">
      <c r="A27" s="5"/>
      <c r="B27" s="6" t="str">
        <f>IFERROR(INDEX(Ejecutivos!$B$2:$B$100,MATCH(A27,Ejecutivos!$A$2:$A$100,0)),"")</f>
        <v/>
      </c>
      <c r="C27" s="5"/>
      <c r="D27" s="5"/>
      <c r="E27" s="13" t="str">
        <f t="shared" si="0"/>
        <v/>
      </c>
      <c r="F27" s="5"/>
    </row>
    <row r="28" spans="1:6" x14ac:dyDescent="0.25">
      <c r="A28" s="5"/>
      <c r="B28" s="6" t="str">
        <f>IFERROR(INDEX(Ejecutivos!$B$2:$B$100,MATCH(A28,Ejecutivos!$A$2:$A$100,0)),"")</f>
        <v/>
      </c>
      <c r="C28" s="5"/>
      <c r="D28" s="5"/>
      <c r="E28" s="13" t="str">
        <f t="shared" si="0"/>
        <v/>
      </c>
      <c r="F28" s="5"/>
    </row>
    <row r="29" spans="1:6" x14ac:dyDescent="0.25">
      <c r="A29" s="5"/>
      <c r="B29" s="6" t="str">
        <f>IFERROR(INDEX(Ejecutivos!$B$2:$B$100,MATCH(A29,Ejecutivos!$A$2:$A$100,0)),"")</f>
        <v/>
      </c>
      <c r="C29" s="5"/>
      <c r="D29" s="5"/>
      <c r="E29" s="13" t="str">
        <f t="shared" si="0"/>
        <v/>
      </c>
      <c r="F29" s="5"/>
    </row>
    <row r="30" spans="1:6" x14ac:dyDescent="0.25">
      <c r="A30" s="5"/>
      <c r="B30" s="6" t="str">
        <f>IFERROR(INDEX(Ejecutivos!$B$2:$B$100,MATCH(A30,Ejecutivos!$A$2:$A$100,0)),"")</f>
        <v/>
      </c>
      <c r="C30" s="5"/>
      <c r="D30" s="5"/>
      <c r="E30" s="13" t="str">
        <f t="shared" ref="E30:E61" si="1">IF(OR(C30="",D30=""),"",IF((C30+D30)=0,"",C30/(C30+D30)))</f>
        <v/>
      </c>
      <c r="F30" s="5"/>
    </row>
    <row r="31" spans="1:6" x14ac:dyDescent="0.25">
      <c r="A31" s="5"/>
      <c r="B31" s="6" t="str">
        <f>IFERROR(INDEX(Ejecutivos!$B$2:$B$100,MATCH(A31,Ejecutivos!$A$2:$A$100,0)),"")</f>
        <v/>
      </c>
      <c r="C31" s="5"/>
      <c r="D31" s="5"/>
      <c r="E31" s="13" t="str">
        <f t="shared" si="1"/>
        <v/>
      </c>
      <c r="F31" s="5"/>
    </row>
    <row r="32" spans="1:6" x14ac:dyDescent="0.25">
      <c r="A32" s="5"/>
      <c r="B32" s="6" t="str">
        <f>IFERROR(INDEX(Ejecutivos!$B$2:$B$100,MATCH(A32,Ejecutivos!$A$2:$A$100,0)),"")</f>
        <v/>
      </c>
      <c r="C32" s="5"/>
      <c r="D32" s="5"/>
      <c r="E32" s="13" t="str">
        <f t="shared" si="1"/>
        <v/>
      </c>
      <c r="F32" s="5"/>
    </row>
    <row r="33" spans="1:6" x14ac:dyDescent="0.25">
      <c r="A33" s="5"/>
      <c r="B33" s="6" t="str">
        <f>IFERROR(INDEX(Ejecutivos!$B$2:$B$100,MATCH(A33,Ejecutivos!$A$2:$A$100,0)),"")</f>
        <v/>
      </c>
      <c r="C33" s="5"/>
      <c r="D33" s="5"/>
      <c r="E33" s="13" t="str">
        <f t="shared" si="1"/>
        <v/>
      </c>
      <c r="F33" s="5"/>
    </row>
    <row r="34" spans="1:6" x14ac:dyDescent="0.25">
      <c r="A34" s="5"/>
      <c r="B34" s="6" t="str">
        <f>IFERROR(INDEX(Ejecutivos!$B$2:$B$100,MATCH(A34,Ejecutivos!$A$2:$A$100,0)),"")</f>
        <v/>
      </c>
      <c r="C34" s="5"/>
      <c r="D34" s="5"/>
      <c r="E34" s="13" t="str">
        <f t="shared" si="1"/>
        <v/>
      </c>
      <c r="F34" s="5"/>
    </row>
    <row r="35" spans="1:6" x14ac:dyDescent="0.25">
      <c r="A35" s="5"/>
      <c r="B35" s="6" t="str">
        <f>IFERROR(INDEX(Ejecutivos!$B$2:$B$100,MATCH(A35,Ejecutivos!$A$2:$A$100,0)),"")</f>
        <v/>
      </c>
      <c r="C35" s="5"/>
      <c r="D35" s="5"/>
      <c r="E35" s="13" t="str">
        <f t="shared" si="1"/>
        <v/>
      </c>
      <c r="F35" s="5"/>
    </row>
    <row r="36" spans="1:6" x14ac:dyDescent="0.25">
      <c r="A36" s="5"/>
      <c r="B36" s="6" t="str">
        <f>IFERROR(INDEX(Ejecutivos!$B$2:$B$100,MATCH(A36,Ejecutivos!$A$2:$A$100,0)),"")</f>
        <v/>
      </c>
      <c r="C36" s="5"/>
      <c r="D36" s="5"/>
      <c r="E36" s="13" t="str">
        <f t="shared" si="1"/>
        <v/>
      </c>
      <c r="F36" s="5"/>
    </row>
    <row r="37" spans="1:6" x14ac:dyDescent="0.25">
      <c r="A37" s="5"/>
      <c r="B37" s="6" t="str">
        <f>IFERROR(INDEX(Ejecutivos!$B$2:$B$100,MATCH(A37,Ejecutivos!$A$2:$A$100,0)),"")</f>
        <v/>
      </c>
      <c r="C37" s="5"/>
      <c r="D37" s="5"/>
      <c r="E37" s="13" t="str">
        <f t="shared" si="1"/>
        <v/>
      </c>
      <c r="F37" s="5"/>
    </row>
    <row r="38" spans="1:6" x14ac:dyDescent="0.25">
      <c r="A38" s="5"/>
      <c r="B38" s="6" t="str">
        <f>IFERROR(INDEX(Ejecutivos!$B$2:$B$100,MATCH(A38,Ejecutivos!$A$2:$A$100,0)),"")</f>
        <v/>
      </c>
      <c r="C38" s="5"/>
      <c r="D38" s="5"/>
      <c r="E38" s="13" t="str">
        <f t="shared" si="1"/>
        <v/>
      </c>
      <c r="F38" s="5"/>
    </row>
    <row r="39" spans="1:6" x14ac:dyDescent="0.25">
      <c r="A39" s="5"/>
      <c r="B39" s="6" t="str">
        <f>IFERROR(INDEX(Ejecutivos!$B$2:$B$100,MATCH(A39,Ejecutivos!$A$2:$A$100,0)),"")</f>
        <v/>
      </c>
      <c r="C39" s="5"/>
      <c r="D39" s="5"/>
      <c r="E39" s="13" t="str">
        <f t="shared" si="1"/>
        <v/>
      </c>
      <c r="F39" s="5"/>
    </row>
    <row r="40" spans="1:6" x14ac:dyDescent="0.25">
      <c r="A40" s="5"/>
      <c r="B40" s="6" t="str">
        <f>IFERROR(INDEX(Ejecutivos!$B$2:$B$100,MATCH(A40,Ejecutivos!$A$2:$A$100,0)),"")</f>
        <v/>
      </c>
      <c r="C40" s="5"/>
      <c r="D40" s="5"/>
      <c r="E40" s="13" t="str">
        <f t="shared" si="1"/>
        <v/>
      </c>
      <c r="F40" s="5"/>
    </row>
    <row r="41" spans="1:6" x14ac:dyDescent="0.25">
      <c r="A41" s="5"/>
      <c r="B41" s="6" t="str">
        <f>IFERROR(INDEX(Ejecutivos!$B$2:$B$100,MATCH(A41,Ejecutivos!$A$2:$A$100,0)),"")</f>
        <v/>
      </c>
      <c r="C41" s="5"/>
      <c r="D41" s="5"/>
      <c r="E41" s="13" t="str">
        <f t="shared" si="1"/>
        <v/>
      </c>
      <c r="F41" s="5"/>
    </row>
    <row r="42" spans="1:6" x14ac:dyDescent="0.25">
      <c r="A42" s="5"/>
      <c r="B42" s="6" t="str">
        <f>IFERROR(INDEX(Ejecutivos!$B$2:$B$100,MATCH(A42,Ejecutivos!$A$2:$A$100,0)),"")</f>
        <v/>
      </c>
      <c r="C42" s="5"/>
      <c r="D42" s="5"/>
      <c r="E42" s="13" t="str">
        <f t="shared" si="1"/>
        <v/>
      </c>
      <c r="F42" s="5"/>
    </row>
    <row r="43" spans="1:6" x14ac:dyDescent="0.25">
      <c r="A43" s="5"/>
      <c r="B43" s="6" t="str">
        <f>IFERROR(INDEX(Ejecutivos!$B$2:$B$100,MATCH(A43,Ejecutivos!$A$2:$A$100,0)),"")</f>
        <v/>
      </c>
      <c r="C43" s="5"/>
      <c r="D43" s="5"/>
      <c r="E43" s="13" t="str">
        <f t="shared" si="1"/>
        <v/>
      </c>
      <c r="F43" s="5"/>
    </row>
    <row r="44" spans="1:6" x14ac:dyDescent="0.25">
      <c r="A44" s="5"/>
      <c r="B44" s="6" t="str">
        <f>IFERROR(INDEX(Ejecutivos!$B$2:$B$100,MATCH(A44,Ejecutivos!$A$2:$A$100,0)),"")</f>
        <v/>
      </c>
      <c r="C44" s="5"/>
      <c r="D44" s="5"/>
      <c r="E44" s="13" t="str">
        <f t="shared" si="1"/>
        <v/>
      </c>
      <c r="F44" s="5"/>
    </row>
    <row r="45" spans="1:6" x14ac:dyDescent="0.25">
      <c r="A45" s="5"/>
      <c r="B45" s="6" t="str">
        <f>IFERROR(INDEX(Ejecutivos!$B$2:$B$100,MATCH(A45,Ejecutivos!$A$2:$A$100,0)),"")</f>
        <v/>
      </c>
      <c r="C45" s="5"/>
      <c r="D45" s="5"/>
      <c r="E45" s="13" t="str">
        <f t="shared" si="1"/>
        <v/>
      </c>
      <c r="F45" s="5"/>
    </row>
    <row r="46" spans="1:6" x14ac:dyDescent="0.25">
      <c r="A46" s="5"/>
      <c r="B46" s="6" t="str">
        <f>IFERROR(INDEX(Ejecutivos!$B$2:$B$100,MATCH(A46,Ejecutivos!$A$2:$A$100,0)),"")</f>
        <v/>
      </c>
      <c r="C46" s="5"/>
      <c r="D46" s="5"/>
      <c r="E46" s="13" t="str">
        <f t="shared" si="1"/>
        <v/>
      </c>
      <c r="F46" s="5"/>
    </row>
    <row r="47" spans="1:6" x14ac:dyDescent="0.25">
      <c r="A47" s="5"/>
      <c r="B47" s="6" t="str">
        <f>IFERROR(INDEX(Ejecutivos!$B$2:$B$100,MATCH(A47,Ejecutivos!$A$2:$A$100,0)),"")</f>
        <v/>
      </c>
      <c r="C47" s="5"/>
      <c r="D47" s="5"/>
      <c r="E47" s="13" t="str">
        <f t="shared" si="1"/>
        <v/>
      </c>
      <c r="F47" s="5"/>
    </row>
    <row r="48" spans="1:6" x14ac:dyDescent="0.25">
      <c r="A48" s="5"/>
      <c r="B48" s="6" t="str">
        <f>IFERROR(INDEX(Ejecutivos!$B$2:$B$100,MATCH(A48,Ejecutivos!$A$2:$A$100,0)),"")</f>
        <v/>
      </c>
      <c r="C48" s="5"/>
      <c r="D48" s="5"/>
      <c r="E48" s="13" t="str">
        <f t="shared" si="1"/>
        <v/>
      </c>
      <c r="F48" s="5"/>
    </row>
    <row r="49" spans="1:6" x14ac:dyDescent="0.25">
      <c r="A49" s="5"/>
      <c r="B49" s="6" t="str">
        <f>IFERROR(INDEX(Ejecutivos!$B$2:$B$100,MATCH(A49,Ejecutivos!$A$2:$A$100,0)),"")</f>
        <v/>
      </c>
      <c r="C49" s="5"/>
      <c r="D49" s="5"/>
      <c r="E49" s="13" t="str">
        <f t="shared" si="1"/>
        <v/>
      </c>
      <c r="F49" s="5"/>
    </row>
    <row r="50" spans="1:6" x14ac:dyDescent="0.25">
      <c r="A50" s="5"/>
      <c r="B50" s="6" t="str">
        <f>IFERROR(INDEX(Ejecutivos!$B$2:$B$100,MATCH(A50,Ejecutivos!$A$2:$A$100,0)),"")</f>
        <v/>
      </c>
      <c r="C50" s="5"/>
      <c r="D50" s="5"/>
      <c r="E50" s="13" t="str">
        <f t="shared" si="1"/>
        <v/>
      </c>
      <c r="F50" s="5"/>
    </row>
    <row r="51" spans="1:6" x14ac:dyDescent="0.25">
      <c r="A51" s="5"/>
      <c r="B51" s="6" t="str">
        <f>IFERROR(INDEX(Ejecutivos!$B$2:$B$100,MATCH(A51,Ejecutivos!$A$2:$A$100,0)),"")</f>
        <v/>
      </c>
      <c r="C51" s="5"/>
      <c r="D51" s="5"/>
      <c r="E51" s="13" t="str">
        <f t="shared" si="1"/>
        <v/>
      </c>
      <c r="F51" s="5"/>
    </row>
    <row r="52" spans="1:6" x14ac:dyDescent="0.25">
      <c r="A52" s="5"/>
      <c r="B52" s="6" t="str">
        <f>IFERROR(INDEX(Ejecutivos!$B$2:$B$100,MATCH(A52,Ejecutivos!$A$2:$A$100,0)),"")</f>
        <v/>
      </c>
      <c r="C52" s="5"/>
      <c r="D52" s="5"/>
      <c r="E52" s="13" t="str">
        <f t="shared" si="1"/>
        <v/>
      </c>
      <c r="F52" s="5"/>
    </row>
    <row r="53" spans="1:6" x14ac:dyDescent="0.25">
      <c r="A53" s="5"/>
      <c r="B53" s="6" t="str">
        <f>IFERROR(INDEX(Ejecutivos!$B$2:$B$100,MATCH(A53,Ejecutivos!$A$2:$A$100,0)),"")</f>
        <v/>
      </c>
      <c r="C53" s="5"/>
      <c r="D53" s="5"/>
      <c r="E53" s="13" t="str">
        <f t="shared" si="1"/>
        <v/>
      </c>
      <c r="F53" s="5"/>
    </row>
    <row r="54" spans="1:6" x14ac:dyDescent="0.25">
      <c r="A54" s="5"/>
      <c r="B54" s="6" t="str">
        <f>IFERROR(INDEX(Ejecutivos!$B$2:$B$100,MATCH(A54,Ejecutivos!$A$2:$A$100,0)),"")</f>
        <v/>
      </c>
      <c r="C54" s="5"/>
      <c r="D54" s="5"/>
      <c r="E54" s="13" t="str">
        <f t="shared" si="1"/>
        <v/>
      </c>
      <c r="F54" s="5"/>
    </row>
    <row r="55" spans="1:6" x14ac:dyDescent="0.25">
      <c r="A55" s="5"/>
      <c r="B55" s="6" t="str">
        <f>IFERROR(INDEX(Ejecutivos!$B$2:$B$100,MATCH(A55,Ejecutivos!$A$2:$A$100,0)),"")</f>
        <v/>
      </c>
      <c r="C55" s="5"/>
      <c r="D55" s="5"/>
      <c r="E55" s="13" t="str">
        <f t="shared" si="1"/>
        <v/>
      </c>
      <c r="F55" s="5"/>
    </row>
    <row r="56" spans="1:6" x14ac:dyDescent="0.25">
      <c r="A56" s="5"/>
      <c r="B56" s="6" t="str">
        <f>IFERROR(INDEX(Ejecutivos!$B$2:$B$100,MATCH(A56,Ejecutivos!$A$2:$A$100,0)),"")</f>
        <v/>
      </c>
      <c r="C56" s="5"/>
      <c r="D56" s="5"/>
      <c r="E56" s="13" t="str">
        <f t="shared" si="1"/>
        <v/>
      </c>
      <c r="F56" s="5"/>
    </row>
    <row r="57" spans="1:6" x14ac:dyDescent="0.25">
      <c r="A57" s="5"/>
      <c r="B57" s="6" t="str">
        <f>IFERROR(INDEX(Ejecutivos!$B$2:$B$100,MATCH(A57,Ejecutivos!$A$2:$A$100,0)),"")</f>
        <v/>
      </c>
      <c r="C57" s="5"/>
      <c r="D57" s="5"/>
      <c r="E57" s="13" t="str">
        <f t="shared" si="1"/>
        <v/>
      </c>
      <c r="F57" s="5"/>
    </row>
    <row r="58" spans="1:6" x14ac:dyDescent="0.25">
      <c r="A58" s="5"/>
      <c r="B58" s="6" t="str">
        <f>IFERROR(INDEX(Ejecutivos!$B$2:$B$100,MATCH(A58,Ejecutivos!$A$2:$A$100,0)),"")</f>
        <v/>
      </c>
      <c r="C58" s="5"/>
      <c r="D58" s="5"/>
      <c r="E58" s="13" t="str">
        <f t="shared" si="1"/>
        <v/>
      </c>
      <c r="F58" s="5"/>
    </row>
    <row r="59" spans="1:6" x14ac:dyDescent="0.25">
      <c r="A59" s="5"/>
      <c r="B59" s="6" t="str">
        <f>IFERROR(INDEX(Ejecutivos!$B$2:$B$100,MATCH(A59,Ejecutivos!$A$2:$A$100,0)),"")</f>
        <v/>
      </c>
      <c r="C59" s="5"/>
      <c r="D59" s="5"/>
      <c r="E59" s="13" t="str">
        <f t="shared" si="1"/>
        <v/>
      </c>
      <c r="F59" s="5"/>
    </row>
    <row r="60" spans="1:6" x14ac:dyDescent="0.25">
      <c r="A60" s="5"/>
      <c r="B60" s="6" t="str">
        <f>IFERROR(INDEX(Ejecutivos!$B$2:$B$100,MATCH(A60,Ejecutivos!$A$2:$A$100,0)),"")</f>
        <v/>
      </c>
      <c r="C60" s="5"/>
      <c r="D60" s="5"/>
      <c r="E60" s="13" t="str">
        <f t="shared" si="1"/>
        <v/>
      </c>
      <c r="F60" s="5"/>
    </row>
    <row r="61" spans="1:6" x14ac:dyDescent="0.25">
      <c r="A61" s="5"/>
      <c r="B61" s="6" t="str">
        <f>IFERROR(INDEX(Ejecutivos!$B$2:$B$100,MATCH(A61,Ejecutivos!$A$2:$A$100,0)),"")</f>
        <v/>
      </c>
      <c r="C61" s="5"/>
      <c r="D61" s="5"/>
      <c r="E61" s="13" t="str">
        <f t="shared" si="1"/>
        <v/>
      </c>
      <c r="F61" s="5"/>
    </row>
    <row r="62" spans="1:6" x14ac:dyDescent="0.25">
      <c r="A62" s="5"/>
      <c r="B62" s="6" t="str">
        <f>IFERROR(INDEX(Ejecutivos!$B$2:$B$100,MATCH(A62,Ejecutivos!$A$2:$A$100,0)),"")</f>
        <v/>
      </c>
      <c r="C62" s="5"/>
      <c r="D62" s="5"/>
      <c r="E62" s="13" t="str">
        <f t="shared" ref="E62:E93" si="2">IF(OR(C62="",D62=""),"",IF((C62+D62)=0,"",C62/(C62+D62)))</f>
        <v/>
      </c>
      <c r="F62" s="5"/>
    </row>
    <row r="63" spans="1:6" x14ac:dyDescent="0.25">
      <c r="A63" s="5"/>
      <c r="B63" s="6" t="str">
        <f>IFERROR(INDEX(Ejecutivos!$B$2:$B$100,MATCH(A63,Ejecutivos!$A$2:$A$100,0)),"")</f>
        <v/>
      </c>
      <c r="C63" s="5"/>
      <c r="D63" s="5"/>
      <c r="E63" s="13" t="str">
        <f t="shared" si="2"/>
        <v/>
      </c>
      <c r="F63" s="5"/>
    </row>
    <row r="64" spans="1:6" x14ac:dyDescent="0.25">
      <c r="A64" s="5"/>
      <c r="B64" s="6" t="str">
        <f>IFERROR(INDEX(Ejecutivos!$B$2:$B$100,MATCH(A64,Ejecutivos!$A$2:$A$100,0)),"")</f>
        <v/>
      </c>
      <c r="C64" s="5"/>
      <c r="D64" s="5"/>
      <c r="E64" s="13" t="str">
        <f t="shared" si="2"/>
        <v/>
      </c>
      <c r="F64" s="5"/>
    </row>
    <row r="65" spans="1:6" x14ac:dyDescent="0.25">
      <c r="A65" s="5"/>
      <c r="B65" s="6" t="str">
        <f>IFERROR(INDEX(Ejecutivos!$B$2:$B$100,MATCH(A65,Ejecutivos!$A$2:$A$100,0)),"")</f>
        <v/>
      </c>
      <c r="C65" s="5"/>
      <c r="D65" s="5"/>
      <c r="E65" s="13" t="str">
        <f t="shared" si="2"/>
        <v/>
      </c>
      <c r="F65" s="5"/>
    </row>
    <row r="66" spans="1:6" x14ac:dyDescent="0.25">
      <c r="A66" s="5"/>
      <c r="B66" s="6" t="str">
        <f>IFERROR(INDEX(Ejecutivos!$B$2:$B$100,MATCH(A66,Ejecutivos!$A$2:$A$100,0)),"")</f>
        <v/>
      </c>
      <c r="C66" s="5"/>
      <c r="D66" s="5"/>
      <c r="E66" s="13" t="str">
        <f t="shared" si="2"/>
        <v/>
      </c>
      <c r="F66" s="5"/>
    </row>
    <row r="67" spans="1:6" x14ac:dyDescent="0.25">
      <c r="A67" s="5"/>
      <c r="B67" s="6" t="str">
        <f>IFERROR(INDEX(Ejecutivos!$B$2:$B$100,MATCH(A67,Ejecutivos!$A$2:$A$100,0)),"")</f>
        <v/>
      </c>
      <c r="C67" s="5"/>
      <c r="D67" s="5"/>
      <c r="E67" s="13" t="str">
        <f t="shared" si="2"/>
        <v/>
      </c>
      <c r="F67" s="5"/>
    </row>
    <row r="68" spans="1:6" x14ac:dyDescent="0.25">
      <c r="A68" s="5"/>
      <c r="B68" s="6" t="str">
        <f>IFERROR(INDEX(Ejecutivos!$B$2:$B$100,MATCH(A68,Ejecutivos!$A$2:$A$100,0)),"")</f>
        <v/>
      </c>
      <c r="C68" s="5"/>
      <c r="D68" s="5"/>
      <c r="E68" s="13" t="str">
        <f t="shared" si="2"/>
        <v/>
      </c>
      <c r="F68" s="5"/>
    </row>
    <row r="69" spans="1:6" x14ac:dyDescent="0.25">
      <c r="A69" s="5"/>
      <c r="B69" s="6" t="str">
        <f>IFERROR(INDEX(Ejecutivos!$B$2:$B$100,MATCH(A69,Ejecutivos!$A$2:$A$100,0)),"")</f>
        <v/>
      </c>
      <c r="C69" s="5"/>
      <c r="D69" s="5"/>
      <c r="E69" s="13" t="str">
        <f t="shared" si="2"/>
        <v/>
      </c>
      <c r="F69" s="5"/>
    </row>
    <row r="70" spans="1:6" x14ac:dyDescent="0.25">
      <c r="A70" s="5"/>
      <c r="B70" s="6" t="str">
        <f>IFERROR(INDEX(Ejecutivos!$B$2:$B$100,MATCH(A70,Ejecutivos!$A$2:$A$100,0)),"")</f>
        <v/>
      </c>
      <c r="C70" s="5"/>
      <c r="D70" s="5"/>
      <c r="E70" s="13" t="str">
        <f t="shared" si="2"/>
        <v/>
      </c>
      <c r="F70" s="5"/>
    </row>
    <row r="71" spans="1:6" x14ac:dyDescent="0.25">
      <c r="A71" s="5"/>
      <c r="B71" s="6" t="str">
        <f>IFERROR(INDEX(Ejecutivos!$B$2:$B$100,MATCH(A71,Ejecutivos!$A$2:$A$100,0)),"")</f>
        <v/>
      </c>
      <c r="C71" s="5"/>
      <c r="D71" s="5"/>
      <c r="E71" s="13" t="str">
        <f t="shared" si="2"/>
        <v/>
      </c>
      <c r="F71" s="5"/>
    </row>
    <row r="72" spans="1:6" x14ac:dyDescent="0.25">
      <c r="A72" s="5"/>
      <c r="B72" s="6" t="str">
        <f>IFERROR(INDEX(Ejecutivos!$B$2:$B$100,MATCH(A72,Ejecutivos!$A$2:$A$100,0)),"")</f>
        <v/>
      </c>
      <c r="C72" s="5"/>
      <c r="D72" s="5"/>
      <c r="E72" s="13" t="str">
        <f t="shared" si="2"/>
        <v/>
      </c>
      <c r="F72" s="5"/>
    </row>
    <row r="73" spans="1:6" x14ac:dyDescent="0.25">
      <c r="A73" s="5"/>
      <c r="B73" s="6" t="str">
        <f>IFERROR(INDEX(Ejecutivos!$B$2:$B$100,MATCH(A73,Ejecutivos!$A$2:$A$100,0)),"")</f>
        <v/>
      </c>
      <c r="C73" s="5"/>
      <c r="D73" s="5"/>
      <c r="E73" s="13" t="str">
        <f t="shared" si="2"/>
        <v/>
      </c>
      <c r="F73" s="5"/>
    </row>
    <row r="74" spans="1:6" x14ac:dyDescent="0.25">
      <c r="A74" s="5"/>
      <c r="B74" s="6" t="str">
        <f>IFERROR(INDEX(Ejecutivos!$B$2:$B$100,MATCH(A74,Ejecutivos!$A$2:$A$100,0)),"")</f>
        <v/>
      </c>
      <c r="C74" s="5"/>
      <c r="D74" s="5"/>
      <c r="E74" s="13" t="str">
        <f t="shared" si="2"/>
        <v/>
      </c>
      <c r="F74" s="5"/>
    </row>
    <row r="75" spans="1:6" x14ac:dyDescent="0.25">
      <c r="A75" s="5"/>
      <c r="B75" s="6" t="str">
        <f>IFERROR(INDEX(Ejecutivos!$B$2:$B$100,MATCH(A75,Ejecutivos!$A$2:$A$100,0)),"")</f>
        <v/>
      </c>
      <c r="C75" s="5"/>
      <c r="D75" s="5"/>
      <c r="E75" s="13" t="str">
        <f t="shared" si="2"/>
        <v/>
      </c>
      <c r="F75" s="5"/>
    </row>
    <row r="76" spans="1:6" x14ac:dyDescent="0.25">
      <c r="A76" s="5"/>
      <c r="B76" s="6" t="str">
        <f>IFERROR(INDEX(Ejecutivos!$B$2:$B$100,MATCH(A76,Ejecutivos!$A$2:$A$100,0)),"")</f>
        <v/>
      </c>
      <c r="C76" s="5"/>
      <c r="D76" s="5"/>
      <c r="E76" s="13" t="str">
        <f t="shared" si="2"/>
        <v/>
      </c>
      <c r="F76" s="5"/>
    </row>
    <row r="77" spans="1:6" x14ac:dyDescent="0.25">
      <c r="A77" s="5"/>
      <c r="B77" s="6" t="str">
        <f>IFERROR(INDEX(Ejecutivos!$B$2:$B$100,MATCH(A77,Ejecutivos!$A$2:$A$100,0)),"")</f>
        <v/>
      </c>
      <c r="C77" s="5"/>
      <c r="D77" s="5"/>
      <c r="E77" s="13" t="str">
        <f t="shared" si="2"/>
        <v/>
      </c>
      <c r="F77" s="5"/>
    </row>
    <row r="78" spans="1:6" x14ac:dyDescent="0.25">
      <c r="A78" s="5"/>
      <c r="B78" s="6" t="str">
        <f>IFERROR(INDEX(Ejecutivos!$B$2:$B$100,MATCH(A78,Ejecutivos!$A$2:$A$100,0)),"")</f>
        <v/>
      </c>
      <c r="C78" s="5"/>
      <c r="D78" s="5"/>
      <c r="E78" s="13" t="str">
        <f t="shared" si="2"/>
        <v/>
      </c>
      <c r="F78" s="5"/>
    </row>
    <row r="79" spans="1:6" x14ac:dyDescent="0.25">
      <c r="A79" s="5"/>
      <c r="B79" s="6" t="str">
        <f>IFERROR(INDEX(Ejecutivos!$B$2:$B$100,MATCH(A79,Ejecutivos!$A$2:$A$100,0)),"")</f>
        <v/>
      </c>
      <c r="C79" s="5"/>
      <c r="D79" s="5"/>
      <c r="E79" s="13" t="str">
        <f t="shared" si="2"/>
        <v/>
      </c>
      <c r="F79" s="5"/>
    </row>
    <row r="80" spans="1:6" x14ac:dyDescent="0.25">
      <c r="A80" s="5"/>
      <c r="B80" s="6" t="str">
        <f>IFERROR(INDEX(Ejecutivos!$B$2:$B$100,MATCH(A80,Ejecutivos!$A$2:$A$100,0)),"")</f>
        <v/>
      </c>
      <c r="C80" s="5"/>
      <c r="D80" s="5"/>
      <c r="E80" s="13" t="str">
        <f t="shared" si="2"/>
        <v/>
      </c>
      <c r="F80" s="5"/>
    </row>
    <row r="81" spans="1:6" x14ac:dyDescent="0.25">
      <c r="A81" s="5"/>
      <c r="B81" s="6" t="str">
        <f>IFERROR(INDEX(Ejecutivos!$B$2:$B$100,MATCH(A81,Ejecutivos!$A$2:$A$100,0)),"")</f>
        <v/>
      </c>
      <c r="C81" s="5"/>
      <c r="D81" s="5"/>
      <c r="E81" s="13" t="str">
        <f t="shared" si="2"/>
        <v/>
      </c>
      <c r="F81" s="5"/>
    </row>
    <row r="82" spans="1:6" x14ac:dyDescent="0.25">
      <c r="A82" s="5"/>
      <c r="B82" s="6" t="str">
        <f>IFERROR(INDEX(Ejecutivos!$B$2:$B$100,MATCH(A82,Ejecutivos!$A$2:$A$100,0)),"")</f>
        <v/>
      </c>
      <c r="C82" s="5"/>
      <c r="D82" s="5"/>
      <c r="E82" s="13" t="str">
        <f t="shared" si="2"/>
        <v/>
      </c>
      <c r="F82" s="5"/>
    </row>
    <row r="83" spans="1:6" x14ac:dyDescent="0.25">
      <c r="A83" s="5"/>
      <c r="B83" s="6" t="str">
        <f>IFERROR(INDEX(Ejecutivos!$B$2:$B$100,MATCH(A83,Ejecutivos!$A$2:$A$100,0)),"")</f>
        <v/>
      </c>
      <c r="C83" s="5"/>
      <c r="D83" s="5"/>
      <c r="E83" s="13" t="str">
        <f t="shared" si="2"/>
        <v/>
      </c>
      <c r="F83" s="5"/>
    </row>
    <row r="84" spans="1:6" x14ac:dyDescent="0.25">
      <c r="A84" s="5"/>
      <c r="B84" s="6" t="str">
        <f>IFERROR(INDEX(Ejecutivos!$B$2:$B$100,MATCH(A84,Ejecutivos!$A$2:$A$100,0)),"")</f>
        <v/>
      </c>
      <c r="C84" s="5"/>
      <c r="D84" s="5"/>
      <c r="E84" s="13" t="str">
        <f t="shared" si="2"/>
        <v/>
      </c>
      <c r="F84" s="5"/>
    </row>
    <row r="85" spans="1:6" x14ac:dyDescent="0.25">
      <c r="A85" s="5"/>
      <c r="B85" s="6" t="str">
        <f>IFERROR(INDEX(Ejecutivos!$B$2:$B$100,MATCH(A85,Ejecutivos!$A$2:$A$100,0)),"")</f>
        <v/>
      </c>
      <c r="C85" s="5"/>
      <c r="D85" s="5"/>
      <c r="E85" s="13" t="str">
        <f t="shared" si="2"/>
        <v/>
      </c>
      <c r="F85" s="5"/>
    </row>
    <row r="86" spans="1:6" x14ac:dyDescent="0.25">
      <c r="A86" s="5"/>
      <c r="B86" s="6" t="str">
        <f>IFERROR(INDEX(Ejecutivos!$B$2:$B$100,MATCH(A86,Ejecutivos!$A$2:$A$100,0)),"")</f>
        <v/>
      </c>
      <c r="C86" s="5"/>
      <c r="D86" s="5"/>
      <c r="E86" s="13" t="str">
        <f t="shared" si="2"/>
        <v/>
      </c>
      <c r="F86" s="5"/>
    </row>
    <row r="87" spans="1:6" x14ac:dyDescent="0.25">
      <c r="A87" s="5"/>
      <c r="B87" s="6" t="str">
        <f>IFERROR(INDEX(Ejecutivos!$B$2:$B$100,MATCH(A87,Ejecutivos!$A$2:$A$100,0)),"")</f>
        <v/>
      </c>
      <c r="C87" s="5"/>
      <c r="D87" s="5"/>
      <c r="E87" s="13" t="str">
        <f t="shared" si="2"/>
        <v/>
      </c>
      <c r="F87" s="5"/>
    </row>
    <row r="88" spans="1:6" x14ac:dyDescent="0.25">
      <c r="A88" s="5"/>
      <c r="B88" s="6" t="str">
        <f>IFERROR(INDEX(Ejecutivos!$B$2:$B$100,MATCH(A88,Ejecutivos!$A$2:$A$100,0)),"")</f>
        <v/>
      </c>
      <c r="C88" s="5"/>
      <c r="D88" s="5"/>
      <c r="E88" s="13" t="str">
        <f t="shared" si="2"/>
        <v/>
      </c>
      <c r="F88" s="5"/>
    </row>
    <row r="89" spans="1:6" x14ac:dyDescent="0.25">
      <c r="A89" s="5"/>
      <c r="B89" s="6" t="str">
        <f>IFERROR(INDEX(Ejecutivos!$B$2:$B$100,MATCH(A89,Ejecutivos!$A$2:$A$100,0)),"")</f>
        <v/>
      </c>
      <c r="C89" s="5"/>
      <c r="D89" s="5"/>
      <c r="E89" s="13" t="str">
        <f t="shared" si="2"/>
        <v/>
      </c>
      <c r="F89" s="5"/>
    </row>
    <row r="90" spans="1:6" x14ac:dyDescent="0.25">
      <c r="A90" s="5"/>
      <c r="B90" s="6" t="str">
        <f>IFERROR(INDEX(Ejecutivos!$B$2:$B$100,MATCH(A90,Ejecutivos!$A$2:$A$100,0)),"")</f>
        <v/>
      </c>
      <c r="C90" s="5"/>
      <c r="D90" s="5"/>
      <c r="E90" s="13" t="str">
        <f t="shared" si="2"/>
        <v/>
      </c>
      <c r="F90" s="5"/>
    </row>
    <row r="91" spans="1:6" x14ac:dyDescent="0.25">
      <c r="A91" s="5"/>
      <c r="B91" s="6" t="str">
        <f>IFERROR(INDEX(Ejecutivos!$B$2:$B$100,MATCH(A91,Ejecutivos!$A$2:$A$100,0)),"")</f>
        <v/>
      </c>
      <c r="C91" s="5"/>
      <c r="D91" s="5"/>
      <c r="E91" s="13" t="str">
        <f t="shared" si="2"/>
        <v/>
      </c>
      <c r="F91" s="5"/>
    </row>
    <row r="92" spans="1:6" x14ac:dyDescent="0.25">
      <c r="A92" s="5"/>
      <c r="B92" s="6" t="str">
        <f>IFERROR(INDEX(Ejecutivos!$B$2:$B$100,MATCH(A92,Ejecutivos!$A$2:$A$100,0)),"")</f>
        <v/>
      </c>
      <c r="C92" s="5"/>
      <c r="D92" s="5"/>
      <c r="E92" s="13" t="str">
        <f t="shared" si="2"/>
        <v/>
      </c>
      <c r="F92" s="5"/>
    </row>
    <row r="93" spans="1:6" x14ac:dyDescent="0.25">
      <c r="A93" s="5"/>
      <c r="B93" s="6" t="str">
        <f>IFERROR(INDEX(Ejecutivos!$B$2:$B$100,MATCH(A93,Ejecutivos!$A$2:$A$100,0)),"")</f>
        <v/>
      </c>
      <c r="C93" s="5"/>
      <c r="D93" s="5"/>
      <c r="E93" s="13" t="str">
        <f t="shared" si="2"/>
        <v/>
      </c>
      <c r="F93" s="5"/>
    </row>
    <row r="94" spans="1:6" x14ac:dyDescent="0.25">
      <c r="A94" s="5"/>
      <c r="B94" s="6" t="str">
        <f>IFERROR(INDEX(Ejecutivos!$B$2:$B$100,MATCH(A94,Ejecutivos!$A$2:$A$100,0)),"")</f>
        <v/>
      </c>
      <c r="C94" s="5"/>
      <c r="D94" s="5"/>
      <c r="E94" s="13" t="str">
        <f t="shared" ref="E94:E125" si="3">IF(OR(C94="",D94=""),"",IF((C94+D94)=0,"",C94/(C94+D94)))</f>
        <v/>
      </c>
      <c r="F94" s="5"/>
    </row>
    <row r="95" spans="1:6" x14ac:dyDescent="0.25">
      <c r="A95" s="5"/>
      <c r="B95" s="6" t="str">
        <f>IFERROR(INDEX(Ejecutivos!$B$2:$B$100,MATCH(A95,Ejecutivos!$A$2:$A$100,0)),"")</f>
        <v/>
      </c>
      <c r="C95" s="5"/>
      <c r="D95" s="5"/>
      <c r="E95" s="13" t="str">
        <f t="shared" si="3"/>
        <v/>
      </c>
      <c r="F95" s="5"/>
    </row>
    <row r="96" spans="1:6" x14ac:dyDescent="0.25">
      <c r="A96" s="5"/>
      <c r="B96" s="6" t="str">
        <f>IFERROR(INDEX(Ejecutivos!$B$2:$B$100,MATCH(A96,Ejecutivos!$A$2:$A$100,0)),"")</f>
        <v/>
      </c>
      <c r="C96" s="5"/>
      <c r="D96" s="5"/>
      <c r="E96" s="13" t="str">
        <f t="shared" si="3"/>
        <v/>
      </c>
      <c r="F96" s="5"/>
    </row>
    <row r="97" spans="1:6" x14ac:dyDescent="0.25">
      <c r="A97" s="5"/>
      <c r="B97" s="6" t="str">
        <f>IFERROR(INDEX(Ejecutivos!$B$2:$B$100,MATCH(A97,Ejecutivos!$A$2:$A$100,0)),"")</f>
        <v/>
      </c>
      <c r="C97" s="5"/>
      <c r="D97" s="5"/>
      <c r="E97" s="13" t="str">
        <f t="shared" si="3"/>
        <v/>
      </c>
      <c r="F97" s="5"/>
    </row>
    <row r="98" spans="1:6" x14ac:dyDescent="0.25">
      <c r="A98" s="5"/>
      <c r="B98" s="6" t="str">
        <f>IFERROR(INDEX(Ejecutivos!$B$2:$B$100,MATCH(A98,Ejecutivos!$A$2:$A$100,0)),"")</f>
        <v/>
      </c>
      <c r="C98" s="5"/>
      <c r="D98" s="5"/>
      <c r="E98" s="13" t="str">
        <f t="shared" si="3"/>
        <v/>
      </c>
      <c r="F98" s="5"/>
    </row>
    <row r="99" spans="1:6" x14ac:dyDescent="0.25">
      <c r="A99" s="5"/>
      <c r="B99" s="6" t="str">
        <f>IFERROR(INDEX(Ejecutivos!$B$2:$B$100,MATCH(A99,Ejecutivos!$A$2:$A$100,0)),"")</f>
        <v/>
      </c>
      <c r="C99" s="5"/>
      <c r="D99" s="5"/>
      <c r="E99" s="13" t="str">
        <f t="shared" si="3"/>
        <v/>
      </c>
      <c r="F99" s="5"/>
    </row>
    <row r="100" spans="1:6" x14ac:dyDescent="0.25">
      <c r="A100" s="5"/>
      <c r="B100" s="6" t="str">
        <f>IFERROR(INDEX(Ejecutivos!$B$2:$B$100,MATCH(A100,Ejecutivos!$A$2:$A$100,0)),"")</f>
        <v/>
      </c>
      <c r="C100" s="5"/>
      <c r="D100" s="5"/>
      <c r="E100" s="13" t="str">
        <f t="shared" si="3"/>
        <v/>
      </c>
      <c r="F100" s="5"/>
    </row>
    <row r="101" spans="1:6" x14ac:dyDescent="0.25">
      <c r="A101" s="5"/>
      <c r="B101" s="6" t="str">
        <f>IFERROR(INDEX(Ejecutivos!$B$2:$B$100,MATCH(A101,Ejecutivos!$A$2:$A$100,0)),"")</f>
        <v/>
      </c>
      <c r="C101" s="5"/>
      <c r="D101" s="5"/>
      <c r="E101" s="13" t="str">
        <f t="shared" si="3"/>
        <v/>
      </c>
      <c r="F101" s="5"/>
    </row>
    <row r="102" spans="1:6" x14ac:dyDescent="0.25">
      <c r="A102" s="5"/>
      <c r="B102" s="6" t="str">
        <f>IFERROR(INDEX(Ejecutivos!$B$2:$B$100,MATCH(A102,Ejecutivos!$A$2:$A$100,0)),"")</f>
        <v/>
      </c>
      <c r="C102" s="5"/>
      <c r="D102" s="5"/>
      <c r="E102" s="13" t="str">
        <f t="shared" si="3"/>
        <v/>
      </c>
      <c r="F102" s="5"/>
    </row>
    <row r="103" spans="1:6" x14ac:dyDescent="0.25">
      <c r="A103" s="5"/>
      <c r="B103" s="6" t="str">
        <f>IFERROR(INDEX(Ejecutivos!$B$2:$B$100,MATCH(A103,Ejecutivos!$A$2:$A$100,0)),"")</f>
        <v/>
      </c>
      <c r="C103" s="5"/>
      <c r="D103" s="5"/>
      <c r="E103" s="13" t="str">
        <f t="shared" si="3"/>
        <v/>
      </c>
      <c r="F103" s="5"/>
    </row>
    <row r="104" spans="1:6" x14ac:dyDescent="0.25">
      <c r="A104" s="5"/>
      <c r="B104" s="6" t="str">
        <f>IFERROR(INDEX(Ejecutivos!$B$2:$B$100,MATCH(A104,Ejecutivos!$A$2:$A$100,0)),"")</f>
        <v/>
      </c>
      <c r="C104" s="5"/>
      <c r="D104" s="5"/>
      <c r="E104" s="13" t="str">
        <f t="shared" si="3"/>
        <v/>
      </c>
      <c r="F104" s="5"/>
    </row>
    <row r="105" spans="1:6" x14ac:dyDescent="0.25">
      <c r="A105" s="5"/>
      <c r="B105" s="6" t="str">
        <f>IFERROR(INDEX(Ejecutivos!$B$2:$B$100,MATCH(A105,Ejecutivos!$A$2:$A$100,0)),"")</f>
        <v/>
      </c>
      <c r="C105" s="5"/>
      <c r="D105" s="5"/>
      <c r="E105" s="13" t="str">
        <f t="shared" si="3"/>
        <v/>
      </c>
      <c r="F105" s="5"/>
    </row>
    <row r="106" spans="1:6" x14ac:dyDescent="0.25">
      <c r="A106" s="5"/>
      <c r="B106" s="6" t="str">
        <f>IFERROR(INDEX(Ejecutivos!$B$2:$B$100,MATCH(A106,Ejecutivos!$A$2:$A$100,0)),"")</f>
        <v/>
      </c>
      <c r="C106" s="5"/>
      <c r="D106" s="5"/>
      <c r="E106" s="13" t="str">
        <f t="shared" si="3"/>
        <v/>
      </c>
      <c r="F106" s="5"/>
    </row>
    <row r="107" spans="1:6" x14ac:dyDescent="0.25">
      <c r="A107" s="5"/>
      <c r="B107" s="6" t="str">
        <f>IFERROR(INDEX(Ejecutivos!$B$2:$B$100,MATCH(A107,Ejecutivos!$A$2:$A$100,0)),"")</f>
        <v/>
      </c>
      <c r="C107" s="5"/>
      <c r="D107" s="5"/>
      <c r="E107" s="13" t="str">
        <f t="shared" si="3"/>
        <v/>
      </c>
      <c r="F107" s="5"/>
    </row>
    <row r="108" spans="1:6" x14ac:dyDescent="0.25">
      <c r="A108" s="5"/>
      <c r="B108" s="6" t="str">
        <f>IFERROR(INDEX(Ejecutivos!$B$2:$B$100,MATCH(A108,Ejecutivos!$A$2:$A$100,0)),"")</f>
        <v/>
      </c>
      <c r="C108" s="5"/>
      <c r="D108" s="5"/>
      <c r="E108" s="13" t="str">
        <f t="shared" si="3"/>
        <v/>
      </c>
      <c r="F108" s="5"/>
    </row>
    <row r="109" spans="1:6" x14ac:dyDescent="0.25">
      <c r="A109" s="5"/>
      <c r="B109" s="6" t="str">
        <f>IFERROR(INDEX(Ejecutivos!$B$2:$B$100,MATCH(A109,Ejecutivos!$A$2:$A$100,0)),"")</f>
        <v/>
      </c>
      <c r="C109" s="5"/>
      <c r="D109" s="5"/>
      <c r="E109" s="13" t="str">
        <f t="shared" si="3"/>
        <v/>
      </c>
      <c r="F109" s="5"/>
    </row>
    <row r="110" spans="1:6" x14ac:dyDescent="0.25">
      <c r="A110" s="5"/>
      <c r="B110" s="6" t="str">
        <f>IFERROR(INDEX(Ejecutivos!$B$2:$B$100,MATCH(A110,Ejecutivos!$A$2:$A$100,0)),"")</f>
        <v/>
      </c>
      <c r="C110" s="5"/>
      <c r="D110" s="5"/>
      <c r="E110" s="13" t="str">
        <f t="shared" si="3"/>
        <v/>
      </c>
      <c r="F110" s="5"/>
    </row>
    <row r="111" spans="1:6" x14ac:dyDescent="0.25">
      <c r="A111" s="5"/>
      <c r="B111" s="6" t="str">
        <f>IFERROR(INDEX(Ejecutivos!$B$2:$B$100,MATCH(A111,Ejecutivos!$A$2:$A$100,0)),"")</f>
        <v/>
      </c>
      <c r="C111" s="5"/>
      <c r="D111" s="5"/>
      <c r="E111" s="13" t="str">
        <f t="shared" si="3"/>
        <v/>
      </c>
      <c r="F111" s="5"/>
    </row>
    <row r="112" spans="1:6" x14ac:dyDescent="0.25">
      <c r="A112" s="5"/>
      <c r="B112" s="6" t="str">
        <f>IFERROR(INDEX(Ejecutivos!$B$2:$B$100,MATCH(A112,Ejecutivos!$A$2:$A$100,0)),"")</f>
        <v/>
      </c>
      <c r="C112" s="5"/>
      <c r="D112" s="5"/>
      <c r="E112" s="13" t="str">
        <f t="shared" si="3"/>
        <v/>
      </c>
      <c r="F112" s="5"/>
    </row>
    <row r="113" spans="1:6" x14ac:dyDescent="0.25">
      <c r="A113" s="5"/>
      <c r="B113" s="6" t="str">
        <f>IFERROR(INDEX(Ejecutivos!$B$2:$B$100,MATCH(A113,Ejecutivos!$A$2:$A$100,0)),"")</f>
        <v/>
      </c>
      <c r="C113" s="5"/>
      <c r="D113" s="5"/>
      <c r="E113" s="13" t="str">
        <f t="shared" si="3"/>
        <v/>
      </c>
      <c r="F113" s="5"/>
    </row>
    <row r="114" spans="1:6" x14ac:dyDescent="0.25">
      <c r="A114" s="5"/>
      <c r="B114" s="6" t="str">
        <f>IFERROR(INDEX(Ejecutivos!$B$2:$B$100,MATCH(A114,Ejecutivos!$A$2:$A$100,0)),"")</f>
        <v/>
      </c>
      <c r="C114" s="5"/>
      <c r="D114" s="5"/>
      <c r="E114" s="13" t="str">
        <f t="shared" si="3"/>
        <v/>
      </c>
      <c r="F114" s="5"/>
    </row>
    <row r="115" spans="1:6" x14ac:dyDescent="0.25">
      <c r="A115" s="5"/>
      <c r="B115" s="6" t="str">
        <f>IFERROR(INDEX(Ejecutivos!$B$2:$B$100,MATCH(A115,Ejecutivos!$A$2:$A$100,0)),"")</f>
        <v/>
      </c>
      <c r="C115" s="5"/>
      <c r="D115" s="5"/>
      <c r="E115" s="13" t="str">
        <f t="shared" si="3"/>
        <v/>
      </c>
      <c r="F115" s="5"/>
    </row>
    <row r="116" spans="1:6" x14ac:dyDescent="0.25">
      <c r="A116" s="5"/>
      <c r="B116" s="6" t="str">
        <f>IFERROR(INDEX(Ejecutivos!$B$2:$B$100,MATCH(A116,Ejecutivos!$A$2:$A$100,0)),"")</f>
        <v/>
      </c>
      <c r="C116" s="5"/>
      <c r="D116" s="5"/>
      <c r="E116" s="13" t="str">
        <f t="shared" si="3"/>
        <v/>
      </c>
      <c r="F116" s="5"/>
    </row>
    <row r="117" spans="1:6" x14ac:dyDescent="0.25">
      <c r="A117" s="5"/>
      <c r="B117" s="6" t="str">
        <f>IFERROR(INDEX(Ejecutivos!$B$2:$B$100,MATCH(A117,Ejecutivos!$A$2:$A$100,0)),"")</f>
        <v/>
      </c>
      <c r="C117" s="5"/>
      <c r="D117" s="5"/>
      <c r="E117" s="13" t="str">
        <f t="shared" si="3"/>
        <v/>
      </c>
      <c r="F117" s="5"/>
    </row>
    <row r="118" spans="1:6" x14ac:dyDescent="0.25">
      <c r="A118" s="5"/>
      <c r="B118" s="6" t="str">
        <f>IFERROR(INDEX(Ejecutivos!$B$2:$B$100,MATCH(A118,Ejecutivos!$A$2:$A$100,0)),"")</f>
        <v/>
      </c>
      <c r="C118" s="5"/>
      <c r="D118" s="5"/>
      <c r="E118" s="13" t="str">
        <f t="shared" si="3"/>
        <v/>
      </c>
      <c r="F118" s="5"/>
    </row>
    <row r="119" spans="1:6" x14ac:dyDescent="0.25">
      <c r="A119" s="5"/>
      <c r="B119" s="6" t="str">
        <f>IFERROR(INDEX(Ejecutivos!$B$2:$B$100,MATCH(A119,Ejecutivos!$A$2:$A$100,0)),"")</f>
        <v/>
      </c>
      <c r="C119" s="5"/>
      <c r="D119" s="5"/>
      <c r="E119" s="13" t="str">
        <f t="shared" si="3"/>
        <v/>
      </c>
      <c r="F119" s="5"/>
    </row>
    <row r="120" spans="1:6" x14ac:dyDescent="0.25">
      <c r="A120" s="5"/>
      <c r="B120" s="6" t="str">
        <f>IFERROR(INDEX(Ejecutivos!$B$2:$B$100,MATCH(A120,Ejecutivos!$A$2:$A$100,0)),"")</f>
        <v/>
      </c>
      <c r="C120" s="5"/>
      <c r="D120" s="5"/>
      <c r="E120" s="13" t="str">
        <f t="shared" si="3"/>
        <v/>
      </c>
      <c r="F120" s="5"/>
    </row>
    <row r="121" spans="1:6" x14ac:dyDescent="0.25">
      <c r="A121" s="5"/>
      <c r="B121" s="6" t="str">
        <f>IFERROR(INDEX(Ejecutivos!$B$2:$B$100,MATCH(A121,Ejecutivos!$A$2:$A$100,0)),"")</f>
        <v/>
      </c>
      <c r="C121" s="5"/>
      <c r="D121" s="5"/>
      <c r="E121" s="13" t="str">
        <f t="shared" si="3"/>
        <v/>
      </c>
      <c r="F121" s="5"/>
    </row>
    <row r="122" spans="1:6" x14ac:dyDescent="0.25">
      <c r="A122" s="5"/>
      <c r="B122" s="6" t="str">
        <f>IFERROR(INDEX(Ejecutivos!$B$2:$B$100,MATCH(A122,Ejecutivos!$A$2:$A$100,0)),"")</f>
        <v/>
      </c>
      <c r="C122" s="5"/>
      <c r="D122" s="5"/>
      <c r="E122" s="13" t="str">
        <f t="shared" si="3"/>
        <v/>
      </c>
      <c r="F122" s="5"/>
    </row>
    <row r="123" spans="1:6" x14ac:dyDescent="0.25">
      <c r="A123" s="5"/>
      <c r="B123" s="6" t="str">
        <f>IFERROR(INDEX(Ejecutivos!$B$2:$B$100,MATCH(A123,Ejecutivos!$A$2:$A$100,0)),"")</f>
        <v/>
      </c>
      <c r="C123" s="5"/>
      <c r="D123" s="5"/>
      <c r="E123" s="13" t="str">
        <f t="shared" si="3"/>
        <v/>
      </c>
      <c r="F123" s="5"/>
    </row>
    <row r="124" spans="1:6" x14ac:dyDescent="0.25">
      <c r="A124" s="5"/>
      <c r="B124" s="6" t="str">
        <f>IFERROR(INDEX(Ejecutivos!$B$2:$B$100,MATCH(A124,Ejecutivos!$A$2:$A$100,0)),"")</f>
        <v/>
      </c>
      <c r="C124" s="5"/>
      <c r="D124" s="5"/>
      <c r="E124" s="13" t="str">
        <f t="shared" si="3"/>
        <v/>
      </c>
      <c r="F124" s="5"/>
    </row>
    <row r="125" spans="1:6" x14ac:dyDescent="0.25">
      <c r="A125" s="5"/>
      <c r="B125" s="6" t="str">
        <f>IFERROR(INDEX(Ejecutivos!$B$2:$B$100,MATCH(A125,Ejecutivos!$A$2:$A$100,0)),"")</f>
        <v/>
      </c>
      <c r="C125" s="5"/>
      <c r="D125" s="5"/>
      <c r="E125" s="13" t="str">
        <f t="shared" si="3"/>
        <v/>
      </c>
      <c r="F125" s="5"/>
    </row>
    <row r="126" spans="1:6" x14ac:dyDescent="0.25">
      <c r="A126" s="5"/>
      <c r="B126" s="6" t="str">
        <f>IFERROR(INDEX(Ejecutivos!$B$2:$B$100,MATCH(A126,Ejecutivos!$A$2:$A$100,0)),"")</f>
        <v/>
      </c>
      <c r="C126" s="5"/>
      <c r="D126" s="5"/>
      <c r="E126" s="13" t="str">
        <f t="shared" ref="E126:E147" si="4">IF(OR(C126="",D126=""),"",IF((C126+D126)=0,"",C126/(C126+D126)))</f>
        <v/>
      </c>
      <c r="F126" s="5"/>
    </row>
    <row r="127" spans="1:6" x14ac:dyDescent="0.25">
      <c r="A127" s="5"/>
      <c r="B127" s="6" t="str">
        <f>IFERROR(INDEX(Ejecutivos!$B$2:$B$100,MATCH(A127,Ejecutivos!$A$2:$A$100,0)),"")</f>
        <v/>
      </c>
      <c r="C127" s="5"/>
      <c r="D127" s="5"/>
      <c r="E127" s="13" t="str">
        <f t="shared" si="4"/>
        <v/>
      </c>
      <c r="F127" s="5"/>
    </row>
    <row r="128" spans="1:6" x14ac:dyDescent="0.25">
      <c r="A128" s="5"/>
      <c r="B128" s="6" t="str">
        <f>IFERROR(INDEX(Ejecutivos!$B$2:$B$100,MATCH(A128,Ejecutivos!$A$2:$A$100,0)),"")</f>
        <v/>
      </c>
      <c r="C128" s="5"/>
      <c r="D128" s="5"/>
      <c r="E128" s="13" t="str">
        <f t="shared" si="4"/>
        <v/>
      </c>
      <c r="F128" s="5"/>
    </row>
    <row r="129" spans="1:6" x14ac:dyDescent="0.25">
      <c r="A129" s="5"/>
      <c r="B129" s="6" t="str">
        <f>IFERROR(INDEX(Ejecutivos!$B$2:$B$100,MATCH(A129,Ejecutivos!$A$2:$A$100,0)),"")</f>
        <v/>
      </c>
      <c r="C129" s="5"/>
      <c r="D129" s="5"/>
      <c r="E129" s="13" t="str">
        <f t="shared" si="4"/>
        <v/>
      </c>
      <c r="F129" s="5"/>
    </row>
    <row r="130" spans="1:6" x14ac:dyDescent="0.25">
      <c r="A130" s="5"/>
      <c r="B130" s="6" t="str">
        <f>IFERROR(INDEX(Ejecutivos!$B$2:$B$100,MATCH(A130,Ejecutivos!$A$2:$A$100,0)),"")</f>
        <v/>
      </c>
      <c r="C130" s="5"/>
      <c r="D130" s="5"/>
      <c r="E130" s="13" t="str">
        <f t="shared" si="4"/>
        <v/>
      </c>
      <c r="F130" s="5"/>
    </row>
    <row r="131" spans="1:6" x14ac:dyDescent="0.25">
      <c r="A131" s="5"/>
      <c r="B131" s="6" t="str">
        <f>IFERROR(INDEX(Ejecutivos!$B$2:$B$100,MATCH(A131,Ejecutivos!$A$2:$A$100,0)),"")</f>
        <v/>
      </c>
      <c r="C131" s="5"/>
      <c r="D131" s="5"/>
      <c r="E131" s="13" t="str">
        <f t="shared" si="4"/>
        <v/>
      </c>
      <c r="F131" s="5"/>
    </row>
    <row r="132" spans="1:6" x14ac:dyDescent="0.25">
      <c r="A132" s="5"/>
      <c r="B132" s="6" t="str">
        <f>IFERROR(INDEX(Ejecutivos!$B$2:$B$100,MATCH(A132,Ejecutivos!$A$2:$A$100,0)),"")</f>
        <v/>
      </c>
      <c r="C132" s="5"/>
      <c r="D132" s="5"/>
      <c r="E132" s="13" t="str">
        <f t="shared" si="4"/>
        <v/>
      </c>
      <c r="F132" s="5"/>
    </row>
    <row r="133" spans="1:6" x14ac:dyDescent="0.25">
      <c r="A133" s="5"/>
      <c r="B133" s="6" t="str">
        <f>IFERROR(INDEX(Ejecutivos!$B$2:$B$100,MATCH(A133,Ejecutivos!$A$2:$A$100,0)),"")</f>
        <v/>
      </c>
      <c r="C133" s="5"/>
      <c r="D133" s="5"/>
      <c r="E133" s="13" t="str">
        <f t="shared" si="4"/>
        <v/>
      </c>
      <c r="F133" s="5"/>
    </row>
    <row r="134" spans="1:6" x14ac:dyDescent="0.25">
      <c r="A134" s="5"/>
      <c r="B134" s="6" t="str">
        <f>IFERROR(INDEX(Ejecutivos!$B$2:$B$100,MATCH(A134,Ejecutivos!$A$2:$A$100,0)),"")</f>
        <v/>
      </c>
      <c r="C134" s="5"/>
      <c r="D134" s="5"/>
      <c r="E134" s="13" t="str">
        <f t="shared" si="4"/>
        <v/>
      </c>
      <c r="F134" s="5"/>
    </row>
    <row r="135" spans="1:6" x14ac:dyDescent="0.25">
      <c r="A135" s="5"/>
      <c r="B135" s="6" t="str">
        <f>IFERROR(INDEX(Ejecutivos!$B$2:$B$100,MATCH(A135,Ejecutivos!$A$2:$A$100,0)),"")</f>
        <v/>
      </c>
      <c r="C135" s="5"/>
      <c r="D135" s="5"/>
      <c r="E135" s="13" t="str">
        <f t="shared" si="4"/>
        <v/>
      </c>
      <c r="F135" s="5"/>
    </row>
    <row r="136" spans="1:6" x14ac:dyDescent="0.25">
      <c r="A136" s="5"/>
      <c r="B136" s="6" t="str">
        <f>IFERROR(INDEX(Ejecutivos!$B$2:$B$100,MATCH(A136,Ejecutivos!$A$2:$A$100,0)),"")</f>
        <v/>
      </c>
      <c r="C136" s="5"/>
      <c r="D136" s="5"/>
      <c r="E136" s="13" t="str">
        <f t="shared" si="4"/>
        <v/>
      </c>
      <c r="F136" s="5"/>
    </row>
    <row r="137" spans="1:6" x14ac:dyDescent="0.25">
      <c r="A137" s="5"/>
      <c r="B137" s="6" t="str">
        <f>IFERROR(INDEX(Ejecutivos!$B$2:$B$100,MATCH(A137,Ejecutivos!$A$2:$A$100,0)),"")</f>
        <v/>
      </c>
      <c r="C137" s="5"/>
      <c r="D137" s="5"/>
      <c r="E137" s="13" t="str">
        <f t="shared" si="4"/>
        <v/>
      </c>
      <c r="F137" s="5"/>
    </row>
    <row r="138" spans="1:6" x14ac:dyDescent="0.25">
      <c r="A138" s="5"/>
      <c r="B138" s="6" t="str">
        <f>IFERROR(INDEX(Ejecutivos!$B$2:$B$100,MATCH(A138,Ejecutivos!$A$2:$A$100,0)),"")</f>
        <v/>
      </c>
      <c r="C138" s="5"/>
      <c r="D138" s="5"/>
      <c r="E138" s="13" t="str">
        <f t="shared" si="4"/>
        <v/>
      </c>
      <c r="F138" s="5"/>
    </row>
    <row r="139" spans="1:6" x14ac:dyDescent="0.25">
      <c r="A139" s="5"/>
      <c r="B139" s="6" t="str">
        <f>IFERROR(INDEX(Ejecutivos!$B$2:$B$100,MATCH(A139,Ejecutivos!$A$2:$A$100,0)),"")</f>
        <v/>
      </c>
      <c r="C139" s="5"/>
      <c r="D139" s="5"/>
      <c r="E139" s="13" t="str">
        <f t="shared" si="4"/>
        <v/>
      </c>
      <c r="F139" s="5"/>
    </row>
    <row r="140" spans="1:6" x14ac:dyDescent="0.25">
      <c r="A140" s="5"/>
      <c r="B140" s="6" t="str">
        <f>IFERROR(INDEX(Ejecutivos!$B$2:$B$100,MATCH(A140,Ejecutivos!$A$2:$A$100,0)),"")</f>
        <v/>
      </c>
      <c r="C140" s="5"/>
      <c r="D140" s="5"/>
      <c r="E140" s="13" t="str">
        <f t="shared" si="4"/>
        <v/>
      </c>
      <c r="F140" s="5"/>
    </row>
    <row r="141" spans="1:6" x14ac:dyDescent="0.25">
      <c r="A141" s="5"/>
      <c r="B141" s="6" t="str">
        <f>IFERROR(INDEX(Ejecutivos!$B$2:$B$100,MATCH(A141,Ejecutivos!$A$2:$A$100,0)),"")</f>
        <v/>
      </c>
      <c r="C141" s="5"/>
      <c r="D141" s="5"/>
      <c r="E141" s="13" t="str">
        <f t="shared" si="4"/>
        <v/>
      </c>
      <c r="F141" s="5"/>
    </row>
    <row r="142" spans="1:6" x14ac:dyDescent="0.25">
      <c r="A142" s="5"/>
      <c r="B142" s="6" t="str">
        <f>IFERROR(INDEX(Ejecutivos!$B$2:$B$100,MATCH(A142,Ejecutivos!$A$2:$A$100,0)),"")</f>
        <v/>
      </c>
      <c r="C142" s="5"/>
      <c r="D142" s="5"/>
      <c r="E142" s="13" t="str">
        <f t="shared" si="4"/>
        <v/>
      </c>
      <c r="F142" s="5"/>
    </row>
    <row r="143" spans="1:6" x14ac:dyDescent="0.25">
      <c r="A143" s="5"/>
      <c r="B143" s="6" t="str">
        <f>IFERROR(INDEX(Ejecutivos!$B$2:$B$100,MATCH(A143,Ejecutivos!$A$2:$A$100,0)),"")</f>
        <v/>
      </c>
      <c r="C143" s="5"/>
      <c r="D143" s="5"/>
      <c r="E143" s="13" t="str">
        <f t="shared" si="4"/>
        <v/>
      </c>
      <c r="F143" s="5"/>
    </row>
    <row r="144" spans="1:6" x14ac:dyDescent="0.25">
      <c r="A144" s="5"/>
      <c r="B144" s="6" t="str">
        <f>IFERROR(INDEX(Ejecutivos!$B$2:$B$100,MATCH(A144,Ejecutivos!$A$2:$A$100,0)),"")</f>
        <v/>
      </c>
      <c r="C144" s="5"/>
      <c r="D144" s="5"/>
      <c r="E144" s="13" t="str">
        <f t="shared" si="4"/>
        <v/>
      </c>
      <c r="F144" s="5"/>
    </row>
    <row r="145" spans="1:6" x14ac:dyDescent="0.25">
      <c r="A145" s="5"/>
      <c r="B145" s="6" t="str">
        <f>IFERROR(INDEX(Ejecutivos!$B$2:$B$100,MATCH(A145,Ejecutivos!$A$2:$A$100,0)),"")</f>
        <v/>
      </c>
      <c r="C145" s="5"/>
      <c r="D145" s="5"/>
      <c r="E145" s="13" t="str">
        <f t="shared" si="4"/>
        <v/>
      </c>
      <c r="F145" s="5"/>
    </row>
    <row r="146" spans="1:6" x14ac:dyDescent="0.25">
      <c r="A146" s="5"/>
      <c r="B146" s="6" t="str">
        <f>IFERROR(INDEX(Ejecutivos!$B$2:$B$100,MATCH(A146,Ejecutivos!$A$2:$A$100,0)),"")</f>
        <v/>
      </c>
      <c r="C146" s="5"/>
      <c r="D146" s="5"/>
      <c r="E146" s="13" t="str">
        <f t="shared" si="4"/>
        <v/>
      </c>
      <c r="F146" s="5"/>
    </row>
    <row r="147" spans="1:6" x14ac:dyDescent="0.25">
      <c r="A147" s="5"/>
      <c r="B147" s="6" t="str">
        <f>IFERROR(INDEX(Ejecutivos!$B$2:$B$100,MATCH(A147,Ejecutivos!$A$2:$A$100,0)),"")</f>
        <v/>
      </c>
      <c r="C147" s="5"/>
      <c r="D147" s="5"/>
      <c r="E147" s="13" t="str">
        <f t="shared" si="4"/>
        <v/>
      </c>
      <c r="F147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zoomScaleNormal="100" workbookViewId="0">
      <pane ySplit="1" topLeftCell="A2" activePane="bottomLeft" state="frozen"/>
      <selection pane="bottomLeft" activeCell="G17" sqref="G17"/>
    </sheetView>
  </sheetViews>
  <sheetFormatPr baseColWidth="10" defaultColWidth="8.7109375" defaultRowHeight="15" x14ac:dyDescent="0.25"/>
  <cols>
    <col min="1" max="1" width="13" customWidth="1"/>
    <col min="2" max="3" width="16" customWidth="1"/>
    <col min="4" max="4" width="13" customWidth="1"/>
    <col min="5" max="5" width="22" customWidth="1"/>
    <col min="6" max="6" width="20" customWidth="1"/>
    <col min="7" max="7" width="14" customWidth="1"/>
    <col min="8" max="8" width="12" customWidth="1"/>
    <col min="9" max="9" width="26" customWidth="1"/>
    <col min="10" max="10" width="12" customWidth="1"/>
  </cols>
  <sheetData>
    <row r="1" spans="1:10" ht="30" customHeight="1" x14ac:dyDescent="0.25">
      <c r="A1" s="1" t="s">
        <v>89</v>
      </c>
      <c r="B1" s="1" t="s">
        <v>114</v>
      </c>
      <c r="C1" s="1" t="s">
        <v>2</v>
      </c>
      <c r="D1" s="1" t="s">
        <v>0</v>
      </c>
      <c r="E1" s="1" t="s">
        <v>52</v>
      </c>
      <c r="F1" s="1" t="s">
        <v>115</v>
      </c>
      <c r="G1" s="1" t="s">
        <v>116</v>
      </c>
      <c r="H1" s="1" t="s">
        <v>117</v>
      </c>
      <c r="I1" s="1" t="s">
        <v>10</v>
      </c>
      <c r="J1" s="1" t="s">
        <v>7</v>
      </c>
    </row>
    <row r="2" spans="1:10" x14ac:dyDescent="0.25">
      <c r="A2" s="11"/>
      <c r="B2" s="5"/>
      <c r="C2" s="5"/>
      <c r="D2" s="5"/>
      <c r="E2" s="6" t="str">
        <f>IFERROR(INDEX(Ejecutivos!$B$2:$B$100,MATCH(D2,Ejecutivos!$A$2:$A$100,0)),"")</f>
        <v/>
      </c>
      <c r="F2" s="5"/>
      <c r="G2" s="5"/>
      <c r="H2" s="5"/>
      <c r="I2" s="5"/>
      <c r="J2" s="5"/>
    </row>
    <row r="3" spans="1:10" x14ac:dyDescent="0.25">
      <c r="A3" s="11"/>
      <c r="B3" s="5"/>
      <c r="C3" s="5"/>
      <c r="D3" s="5"/>
      <c r="E3" s="6" t="str">
        <f>IFERROR(INDEX(Ejecutivos!$B$2:$B$100,MATCH(D3,Ejecutivos!$A$2:$A$100,0)),"")</f>
        <v/>
      </c>
      <c r="F3" s="5"/>
      <c r="G3" s="5"/>
      <c r="H3" s="5"/>
      <c r="I3" s="5"/>
      <c r="J3" s="5"/>
    </row>
    <row r="4" spans="1:10" x14ac:dyDescent="0.25">
      <c r="A4" s="11"/>
      <c r="B4" s="5"/>
      <c r="C4" s="5"/>
      <c r="D4" s="5"/>
      <c r="E4" s="6" t="str">
        <f>IFERROR(INDEX(Ejecutivos!$B$2:$B$100,MATCH(D4,Ejecutivos!$A$2:$A$100,0)),"")</f>
        <v/>
      </c>
      <c r="F4" s="5"/>
      <c r="G4" s="5"/>
      <c r="H4" s="5"/>
      <c r="I4" s="5"/>
      <c r="J4" s="5"/>
    </row>
    <row r="5" spans="1:10" x14ac:dyDescent="0.25">
      <c r="A5" s="11"/>
      <c r="B5" s="5"/>
      <c r="C5" s="5"/>
      <c r="D5" s="5"/>
      <c r="E5" s="6" t="str">
        <f>IFERROR(INDEX(Ejecutivos!$B$2:$B$100,MATCH(D5,Ejecutivos!$A$2:$A$100,0)),"")</f>
        <v/>
      </c>
      <c r="F5" s="5"/>
      <c r="G5" s="5"/>
      <c r="H5" s="5"/>
      <c r="I5" s="5"/>
      <c r="J5" s="5"/>
    </row>
    <row r="6" spans="1:10" x14ac:dyDescent="0.25">
      <c r="A6" s="11"/>
      <c r="B6" s="5"/>
      <c r="C6" s="5"/>
      <c r="D6" s="5"/>
      <c r="E6" s="6" t="str">
        <f>IFERROR(INDEX(Ejecutivos!$B$2:$B$100,MATCH(D6,Ejecutivos!$A$2:$A$100,0)),"")</f>
        <v/>
      </c>
      <c r="F6" s="5"/>
      <c r="G6" s="5"/>
      <c r="H6" s="5"/>
      <c r="I6" s="5"/>
      <c r="J6" s="5"/>
    </row>
    <row r="7" spans="1:10" x14ac:dyDescent="0.25">
      <c r="A7" s="11"/>
      <c r="B7" s="5"/>
      <c r="C7" s="5"/>
      <c r="D7" s="5"/>
      <c r="E7" s="6" t="str">
        <f>IFERROR(INDEX(Ejecutivos!$B$2:$B$100,MATCH(D7,Ejecutivos!$A$2:$A$100,0)),"")</f>
        <v/>
      </c>
      <c r="F7" s="5"/>
      <c r="G7" s="5"/>
      <c r="H7" s="5"/>
      <c r="I7" s="5"/>
      <c r="J7" s="5"/>
    </row>
    <row r="8" spans="1:10" x14ac:dyDescent="0.25">
      <c r="A8" s="11"/>
      <c r="B8" s="5"/>
      <c r="C8" s="5"/>
      <c r="D8" s="5"/>
      <c r="E8" s="6" t="str">
        <f>IFERROR(INDEX(Ejecutivos!$B$2:$B$100,MATCH(D8,Ejecutivos!$A$2:$A$100,0)),"")</f>
        <v/>
      </c>
      <c r="F8" s="5"/>
      <c r="G8" s="5"/>
      <c r="H8" s="5"/>
      <c r="I8" s="5"/>
      <c r="J8" s="5"/>
    </row>
    <row r="9" spans="1:10" x14ac:dyDescent="0.25">
      <c r="A9" s="11"/>
      <c r="B9" s="5"/>
      <c r="C9" s="5"/>
      <c r="D9" s="5"/>
      <c r="E9" s="6" t="str">
        <f>IFERROR(INDEX(Ejecutivos!$B$2:$B$100,MATCH(D9,Ejecutivos!$A$2:$A$100,0)),"")</f>
        <v/>
      </c>
      <c r="F9" s="5"/>
      <c r="G9" s="5"/>
      <c r="H9" s="5"/>
      <c r="I9" s="5"/>
      <c r="J9" s="5"/>
    </row>
    <row r="10" spans="1:10" x14ac:dyDescent="0.25">
      <c r="A10" s="11"/>
      <c r="B10" s="5"/>
      <c r="C10" s="5"/>
      <c r="D10" s="5"/>
      <c r="E10" s="6" t="str">
        <f>IFERROR(INDEX(Ejecutivos!$B$2:$B$100,MATCH(D10,Ejecutivos!$A$2:$A$100,0)),"")</f>
        <v/>
      </c>
      <c r="F10" s="5"/>
      <c r="G10" s="5"/>
      <c r="H10" s="5"/>
      <c r="I10" s="5"/>
      <c r="J10" s="5"/>
    </row>
    <row r="11" spans="1:10" x14ac:dyDescent="0.25">
      <c r="A11" s="11"/>
      <c r="B11" s="5"/>
      <c r="C11" s="5"/>
      <c r="D11" s="5"/>
      <c r="E11" s="6" t="str">
        <f>IFERROR(INDEX(Ejecutivos!$B$2:$B$100,MATCH(D11,Ejecutivos!$A$2:$A$100,0)),"")</f>
        <v/>
      </c>
      <c r="F11" s="5"/>
      <c r="G11" s="5"/>
      <c r="H11" s="5"/>
      <c r="I11" s="5"/>
      <c r="J11" s="5"/>
    </row>
    <row r="12" spans="1:10" x14ac:dyDescent="0.25">
      <c r="A12" s="11"/>
      <c r="B12" s="5"/>
      <c r="C12" s="5"/>
      <c r="D12" s="5"/>
      <c r="E12" s="6" t="str">
        <f>IFERROR(INDEX(Ejecutivos!$B$2:$B$100,MATCH(D12,Ejecutivos!$A$2:$A$100,0)),"")</f>
        <v/>
      </c>
      <c r="F12" s="5"/>
      <c r="G12" s="5"/>
      <c r="H12" s="5"/>
      <c r="I12" s="5"/>
      <c r="J12" s="5"/>
    </row>
    <row r="13" spans="1:10" x14ac:dyDescent="0.25">
      <c r="A13" s="11"/>
      <c r="B13" s="5"/>
      <c r="C13" s="5"/>
      <c r="D13" s="5"/>
      <c r="E13" s="6" t="str">
        <f>IFERROR(INDEX(Ejecutivos!$B$2:$B$100,MATCH(D13,Ejecutivos!$A$2:$A$100,0)),"")</f>
        <v/>
      </c>
      <c r="F13" s="5"/>
      <c r="G13" s="5"/>
      <c r="H13" s="5"/>
      <c r="I13" s="5"/>
      <c r="J13" s="5"/>
    </row>
    <row r="14" spans="1:10" x14ac:dyDescent="0.25">
      <c r="A14" s="11"/>
      <c r="B14" s="5"/>
      <c r="C14" s="5"/>
      <c r="D14" s="5"/>
      <c r="E14" s="6" t="str">
        <f>IFERROR(INDEX(Ejecutivos!$B$2:$B$100,MATCH(D14,Ejecutivos!$A$2:$A$100,0)),"")</f>
        <v/>
      </c>
      <c r="F14" s="5"/>
      <c r="G14" s="5"/>
      <c r="H14" s="5"/>
      <c r="I14" s="5"/>
      <c r="J14" s="5"/>
    </row>
    <row r="15" spans="1:10" x14ac:dyDescent="0.25">
      <c r="A15" s="11"/>
      <c r="B15" s="5"/>
      <c r="C15" s="5"/>
      <c r="D15" s="5"/>
      <c r="E15" s="6" t="str">
        <f>IFERROR(INDEX(Ejecutivos!$B$2:$B$100,MATCH(D15,Ejecutivos!$A$2:$A$100,0)),"")</f>
        <v/>
      </c>
      <c r="F15" s="5"/>
      <c r="G15" s="5"/>
      <c r="H15" s="5"/>
      <c r="I15" s="5"/>
      <c r="J15" s="5"/>
    </row>
    <row r="16" spans="1:10" x14ac:dyDescent="0.25">
      <c r="A16" s="11"/>
      <c r="B16" s="5"/>
      <c r="C16" s="5"/>
      <c r="D16" s="5"/>
      <c r="E16" s="6" t="str">
        <f>IFERROR(INDEX(Ejecutivos!$B$2:$B$100,MATCH(D16,Ejecutivos!$A$2:$A$100,0)),"")</f>
        <v/>
      </c>
      <c r="F16" s="5"/>
      <c r="G16" s="5"/>
      <c r="H16" s="5"/>
      <c r="I16" s="5"/>
      <c r="J16" s="5"/>
    </row>
    <row r="17" spans="1:10" x14ac:dyDescent="0.25">
      <c r="A17" s="11"/>
      <c r="B17" s="5"/>
      <c r="C17" s="5"/>
      <c r="D17" s="5"/>
      <c r="E17" s="6" t="str">
        <f>IFERROR(INDEX(Ejecutivos!$B$2:$B$100,MATCH(D17,Ejecutivos!$A$2:$A$100,0)),"")</f>
        <v/>
      </c>
      <c r="F17" s="5"/>
      <c r="G17" s="5"/>
      <c r="H17" s="5"/>
      <c r="I17" s="5"/>
      <c r="J17" s="5"/>
    </row>
    <row r="18" spans="1:10" x14ac:dyDescent="0.25">
      <c r="A18" s="11"/>
      <c r="B18" s="5"/>
      <c r="C18" s="5"/>
      <c r="D18" s="5"/>
      <c r="E18" s="6" t="str">
        <f>IFERROR(INDEX(Ejecutivos!$B$2:$B$100,MATCH(D18,Ejecutivos!$A$2:$A$100,0)),"")</f>
        <v/>
      </c>
      <c r="F18" s="5"/>
      <c r="G18" s="5"/>
      <c r="H18" s="5"/>
      <c r="I18" s="5"/>
      <c r="J18" s="5"/>
    </row>
    <row r="19" spans="1:10" x14ac:dyDescent="0.25">
      <c r="A19" s="11"/>
      <c r="B19" s="5"/>
      <c r="C19" s="5"/>
      <c r="D19" s="5"/>
      <c r="E19" s="6" t="str">
        <f>IFERROR(INDEX(Ejecutivos!$B$2:$B$100,MATCH(D19,Ejecutivos!$A$2:$A$100,0)),"")</f>
        <v/>
      </c>
      <c r="F19" s="5"/>
      <c r="G19" s="5"/>
      <c r="H19" s="5"/>
      <c r="I19" s="5"/>
      <c r="J19" s="5"/>
    </row>
    <row r="20" spans="1:10" x14ac:dyDescent="0.25">
      <c r="A20" s="11"/>
      <c r="B20" s="5"/>
      <c r="C20" s="5"/>
      <c r="D20" s="5"/>
      <c r="E20" s="6" t="str">
        <f>IFERROR(INDEX(Ejecutivos!$B$2:$B$100,MATCH(D20,Ejecutivos!$A$2:$A$100,0)),"")</f>
        <v/>
      </c>
      <c r="F20" s="5"/>
      <c r="G20" s="5"/>
      <c r="H20" s="5"/>
      <c r="I20" s="5"/>
      <c r="J20" s="5"/>
    </row>
    <row r="21" spans="1:10" x14ac:dyDescent="0.25">
      <c r="A21" s="11"/>
      <c r="B21" s="5"/>
      <c r="C21" s="5"/>
      <c r="D21" s="5"/>
      <c r="E21" s="6" t="str">
        <f>IFERROR(INDEX(Ejecutivos!$B$2:$B$100,MATCH(D21,Ejecutivos!$A$2:$A$100,0)),"")</f>
        <v/>
      </c>
      <c r="F21" s="5"/>
      <c r="G21" s="5"/>
      <c r="H21" s="5"/>
      <c r="I21" s="5"/>
      <c r="J21" s="5"/>
    </row>
    <row r="22" spans="1:10" x14ac:dyDescent="0.25">
      <c r="A22" s="11"/>
      <c r="B22" s="5"/>
      <c r="C22" s="5"/>
      <c r="D22" s="5"/>
      <c r="E22" s="6" t="str">
        <f>IFERROR(INDEX(Ejecutivos!$B$2:$B$100,MATCH(D22,Ejecutivos!$A$2:$A$100,0)),"")</f>
        <v/>
      </c>
      <c r="F22" s="5"/>
      <c r="G22" s="5"/>
      <c r="H22" s="5"/>
      <c r="I22" s="5"/>
      <c r="J22" s="5"/>
    </row>
    <row r="23" spans="1:10" x14ac:dyDescent="0.25">
      <c r="A23" s="11"/>
      <c r="B23" s="5"/>
      <c r="C23" s="5"/>
      <c r="D23" s="5"/>
      <c r="E23" s="6" t="str">
        <f>IFERROR(INDEX(Ejecutivos!$B$2:$B$100,MATCH(D23,Ejecutivos!$A$2:$A$100,0)),"")</f>
        <v/>
      </c>
      <c r="F23" s="5"/>
      <c r="G23" s="5"/>
      <c r="H23" s="5"/>
      <c r="I23" s="5"/>
      <c r="J23" s="5"/>
    </row>
    <row r="24" spans="1:10" x14ac:dyDescent="0.25">
      <c r="A24" s="11"/>
      <c r="B24" s="5"/>
      <c r="C24" s="5"/>
      <c r="D24" s="5"/>
      <c r="E24" s="6" t="str">
        <f>IFERROR(INDEX(Ejecutivos!$B$2:$B$100,MATCH(D24,Ejecutivos!$A$2:$A$100,0)),"")</f>
        <v/>
      </c>
      <c r="F24" s="5"/>
      <c r="G24" s="5"/>
      <c r="H24" s="5"/>
      <c r="I24" s="5"/>
      <c r="J24" s="5"/>
    </row>
    <row r="25" spans="1:10" x14ac:dyDescent="0.25">
      <c r="A25" s="11"/>
      <c r="B25" s="5"/>
      <c r="C25" s="5"/>
      <c r="D25" s="5"/>
      <c r="E25" s="6" t="str">
        <f>IFERROR(INDEX(Ejecutivos!$B$2:$B$100,MATCH(D25,Ejecutivos!$A$2:$A$100,0)),"")</f>
        <v/>
      </c>
      <c r="F25" s="5"/>
      <c r="G25" s="5"/>
      <c r="H25" s="5"/>
      <c r="I25" s="5"/>
      <c r="J25" s="5"/>
    </row>
    <row r="26" spans="1:10" x14ac:dyDescent="0.25">
      <c r="A26" s="11"/>
      <c r="B26" s="5"/>
      <c r="C26" s="5"/>
      <c r="D26" s="5"/>
      <c r="E26" s="6" t="str">
        <f>IFERROR(INDEX(Ejecutivos!$B$2:$B$100,MATCH(D26,Ejecutivos!$A$2:$A$100,0)),"")</f>
        <v/>
      </c>
      <c r="F26" s="5"/>
      <c r="G26" s="5"/>
      <c r="H26" s="5"/>
      <c r="I26" s="5"/>
      <c r="J26" s="5"/>
    </row>
    <row r="27" spans="1:10" x14ac:dyDescent="0.25">
      <c r="A27" s="11"/>
      <c r="B27" s="5"/>
      <c r="C27" s="5"/>
      <c r="D27" s="5"/>
      <c r="E27" s="6" t="str">
        <f>IFERROR(INDEX(Ejecutivos!$B$2:$B$100,MATCH(D27,Ejecutivos!$A$2:$A$100,0)),"")</f>
        <v/>
      </c>
      <c r="F27" s="5"/>
      <c r="G27" s="5"/>
      <c r="H27" s="5"/>
      <c r="I27" s="5"/>
      <c r="J27" s="5"/>
    </row>
    <row r="28" spans="1:10" x14ac:dyDescent="0.25">
      <c r="A28" s="11"/>
      <c r="B28" s="5"/>
      <c r="C28" s="5"/>
      <c r="D28" s="5"/>
      <c r="E28" s="6" t="str">
        <f>IFERROR(INDEX(Ejecutivos!$B$2:$B$100,MATCH(D28,Ejecutivos!$A$2:$A$100,0)),"")</f>
        <v/>
      </c>
      <c r="F28" s="5"/>
      <c r="G28" s="5"/>
      <c r="H28" s="5"/>
      <c r="I28" s="5"/>
      <c r="J28" s="5"/>
    </row>
    <row r="29" spans="1:10" x14ac:dyDescent="0.25">
      <c r="A29" s="11"/>
      <c r="B29" s="5"/>
      <c r="C29" s="5"/>
      <c r="D29" s="5"/>
      <c r="E29" s="6" t="str">
        <f>IFERROR(INDEX(Ejecutivos!$B$2:$B$100,MATCH(D29,Ejecutivos!$A$2:$A$100,0)),"")</f>
        <v/>
      </c>
      <c r="F29" s="5"/>
      <c r="G29" s="5"/>
      <c r="H29" s="5"/>
      <c r="I29" s="5"/>
      <c r="J29" s="5"/>
    </row>
    <row r="30" spans="1:10" x14ac:dyDescent="0.25">
      <c r="A30" s="11"/>
      <c r="B30" s="5"/>
      <c r="C30" s="5"/>
      <c r="D30" s="5"/>
      <c r="E30" s="6" t="str">
        <f>IFERROR(INDEX(Ejecutivos!$B$2:$B$100,MATCH(D30,Ejecutivos!$A$2:$A$100,0)),"")</f>
        <v/>
      </c>
      <c r="F30" s="5"/>
      <c r="G30" s="5"/>
      <c r="H30" s="5"/>
      <c r="I30" s="5"/>
      <c r="J30" s="5"/>
    </row>
    <row r="31" spans="1:10" x14ac:dyDescent="0.25">
      <c r="A31" s="11"/>
      <c r="B31" s="5"/>
      <c r="C31" s="5"/>
      <c r="D31" s="5"/>
      <c r="E31" s="6" t="str">
        <f>IFERROR(INDEX(Ejecutivos!$B$2:$B$100,MATCH(D31,Ejecutivos!$A$2:$A$100,0)),"")</f>
        <v/>
      </c>
      <c r="F31" s="5"/>
      <c r="G31" s="5"/>
      <c r="H31" s="5"/>
      <c r="I31" s="5"/>
      <c r="J31" s="5"/>
    </row>
    <row r="32" spans="1:10" x14ac:dyDescent="0.25">
      <c r="A32" s="11"/>
      <c r="B32" s="5"/>
      <c r="C32" s="5"/>
      <c r="D32" s="5"/>
      <c r="E32" s="6" t="str">
        <f>IFERROR(INDEX(Ejecutivos!$B$2:$B$100,MATCH(D32,Ejecutivos!$A$2:$A$100,0)),"")</f>
        <v/>
      </c>
      <c r="F32" s="5"/>
      <c r="G32" s="5"/>
      <c r="H32" s="5"/>
      <c r="I32" s="5"/>
      <c r="J32" s="5"/>
    </row>
    <row r="33" spans="1:10" x14ac:dyDescent="0.25">
      <c r="A33" s="11"/>
      <c r="B33" s="5"/>
      <c r="C33" s="5"/>
      <c r="D33" s="5"/>
      <c r="E33" s="6" t="str">
        <f>IFERROR(INDEX(Ejecutivos!$B$2:$B$100,MATCH(D33,Ejecutivos!$A$2:$A$100,0)),"")</f>
        <v/>
      </c>
      <c r="F33" s="5"/>
      <c r="G33" s="5"/>
      <c r="H33" s="5"/>
      <c r="I33" s="5"/>
      <c r="J33" s="5"/>
    </row>
    <row r="34" spans="1:10" x14ac:dyDescent="0.25">
      <c r="A34" s="11"/>
      <c r="B34" s="5"/>
      <c r="C34" s="5"/>
      <c r="D34" s="5"/>
      <c r="E34" s="6" t="str">
        <f>IFERROR(INDEX(Ejecutivos!$B$2:$B$100,MATCH(D34,Ejecutivos!$A$2:$A$100,0)),"")</f>
        <v/>
      </c>
      <c r="F34" s="5"/>
      <c r="G34" s="5"/>
      <c r="H34" s="5"/>
      <c r="I34" s="5"/>
      <c r="J34" s="5"/>
    </row>
    <row r="35" spans="1:10" x14ac:dyDescent="0.25">
      <c r="A35" s="11"/>
      <c r="B35" s="5"/>
      <c r="C35" s="5"/>
      <c r="D35" s="5"/>
      <c r="E35" s="6" t="str">
        <f>IFERROR(INDEX(Ejecutivos!$B$2:$B$100,MATCH(D35,Ejecutivos!$A$2:$A$100,0)),"")</f>
        <v/>
      </c>
      <c r="F35" s="5"/>
      <c r="G35" s="5"/>
      <c r="H35" s="5"/>
      <c r="I35" s="5"/>
      <c r="J35" s="5"/>
    </row>
    <row r="36" spans="1:10" x14ac:dyDescent="0.25">
      <c r="A36" s="11"/>
      <c r="B36" s="5"/>
      <c r="C36" s="5"/>
      <c r="D36" s="5"/>
      <c r="E36" s="6" t="str">
        <f>IFERROR(INDEX(Ejecutivos!$B$2:$B$100,MATCH(D36,Ejecutivos!$A$2:$A$100,0)),"")</f>
        <v/>
      </c>
      <c r="F36" s="5"/>
      <c r="G36" s="5"/>
      <c r="H36" s="5"/>
      <c r="I36" s="5"/>
      <c r="J36" s="5"/>
    </row>
    <row r="37" spans="1:10" x14ac:dyDescent="0.25">
      <c r="A37" s="11"/>
      <c r="B37" s="5"/>
      <c r="C37" s="5"/>
      <c r="D37" s="5"/>
      <c r="E37" s="6" t="str">
        <f>IFERROR(INDEX(Ejecutivos!$B$2:$B$100,MATCH(D37,Ejecutivos!$A$2:$A$100,0)),"")</f>
        <v/>
      </c>
      <c r="F37" s="5"/>
      <c r="G37" s="5"/>
      <c r="H37" s="5"/>
      <c r="I37" s="5"/>
      <c r="J37" s="5"/>
    </row>
    <row r="38" spans="1:10" x14ac:dyDescent="0.25">
      <c r="A38" s="11"/>
      <c r="B38" s="5"/>
      <c r="C38" s="5"/>
      <c r="D38" s="5"/>
      <c r="E38" s="6" t="str">
        <f>IFERROR(INDEX(Ejecutivos!$B$2:$B$100,MATCH(D38,Ejecutivos!$A$2:$A$100,0)),"")</f>
        <v/>
      </c>
      <c r="F38" s="5"/>
      <c r="G38" s="5"/>
      <c r="H38" s="5"/>
      <c r="I38" s="5"/>
      <c r="J38" s="5"/>
    </row>
    <row r="39" spans="1:10" x14ac:dyDescent="0.25">
      <c r="A39" s="11"/>
      <c r="B39" s="5"/>
      <c r="C39" s="5"/>
      <c r="D39" s="5"/>
      <c r="E39" s="6" t="str">
        <f>IFERROR(INDEX(Ejecutivos!$B$2:$B$100,MATCH(D39,Ejecutivos!$A$2:$A$100,0)),"")</f>
        <v/>
      </c>
      <c r="F39" s="5"/>
      <c r="G39" s="5"/>
      <c r="H39" s="5"/>
      <c r="I39" s="5"/>
      <c r="J39" s="5"/>
    </row>
    <row r="40" spans="1:10" x14ac:dyDescent="0.25">
      <c r="A40" s="11"/>
      <c r="B40" s="5"/>
      <c r="C40" s="5"/>
      <c r="D40" s="5"/>
      <c r="E40" s="6" t="str">
        <f>IFERROR(INDEX(Ejecutivos!$B$2:$B$100,MATCH(D40,Ejecutivos!$A$2:$A$100,0)),"")</f>
        <v/>
      </c>
      <c r="F40" s="5"/>
      <c r="G40" s="5"/>
      <c r="H40" s="5"/>
      <c r="I40" s="5"/>
      <c r="J40" s="5"/>
    </row>
    <row r="41" spans="1:10" x14ac:dyDescent="0.25">
      <c r="A41" s="11"/>
      <c r="B41" s="5"/>
      <c r="C41" s="5"/>
      <c r="D41" s="5"/>
      <c r="E41" s="6" t="str">
        <f>IFERROR(INDEX(Ejecutivos!$B$2:$B$100,MATCH(D41,Ejecutivos!$A$2:$A$100,0)),"")</f>
        <v/>
      </c>
      <c r="F41" s="5"/>
      <c r="G41" s="5"/>
      <c r="H41" s="5"/>
      <c r="I41" s="5"/>
      <c r="J41" s="5"/>
    </row>
    <row r="42" spans="1:10" x14ac:dyDescent="0.25">
      <c r="A42" s="11"/>
      <c r="B42" s="5"/>
      <c r="C42" s="5"/>
      <c r="D42" s="5"/>
      <c r="E42" s="6" t="str">
        <f>IFERROR(INDEX(Ejecutivos!$B$2:$B$100,MATCH(D42,Ejecutivos!$A$2:$A$100,0)),"")</f>
        <v/>
      </c>
      <c r="F42" s="5"/>
      <c r="G42" s="5"/>
      <c r="H42" s="5"/>
      <c r="I42" s="5"/>
      <c r="J42" s="5"/>
    </row>
    <row r="43" spans="1:10" x14ac:dyDescent="0.25">
      <c r="A43" s="11"/>
      <c r="B43" s="5"/>
      <c r="C43" s="5"/>
      <c r="D43" s="5"/>
      <c r="E43" s="6" t="str">
        <f>IFERROR(INDEX(Ejecutivos!$B$2:$B$100,MATCH(D43,Ejecutivos!$A$2:$A$100,0)),"")</f>
        <v/>
      </c>
      <c r="F43" s="5"/>
      <c r="G43" s="5"/>
      <c r="H43" s="5"/>
      <c r="I43" s="5"/>
      <c r="J43" s="5"/>
    </row>
    <row r="44" spans="1:10" x14ac:dyDescent="0.25">
      <c r="A44" s="11"/>
      <c r="B44" s="5"/>
      <c r="C44" s="5"/>
      <c r="D44" s="5"/>
      <c r="E44" s="6" t="str">
        <f>IFERROR(INDEX(Ejecutivos!$B$2:$B$100,MATCH(D44,Ejecutivos!$A$2:$A$100,0)),"")</f>
        <v/>
      </c>
      <c r="F44" s="5"/>
      <c r="G44" s="5"/>
      <c r="H44" s="5"/>
      <c r="I44" s="5"/>
      <c r="J44" s="5"/>
    </row>
    <row r="45" spans="1:10" x14ac:dyDescent="0.25">
      <c r="A45" s="11"/>
      <c r="B45" s="5"/>
      <c r="C45" s="5"/>
      <c r="D45" s="5"/>
      <c r="E45" s="6" t="str">
        <f>IFERROR(INDEX(Ejecutivos!$B$2:$B$100,MATCH(D45,Ejecutivos!$A$2:$A$100,0)),"")</f>
        <v/>
      </c>
      <c r="F45" s="5"/>
      <c r="G45" s="5"/>
      <c r="H45" s="5"/>
      <c r="I45" s="5"/>
      <c r="J45" s="5"/>
    </row>
    <row r="46" spans="1:10" x14ac:dyDescent="0.25">
      <c r="A46" s="11"/>
      <c r="B46" s="5"/>
      <c r="C46" s="5"/>
      <c r="D46" s="5"/>
      <c r="E46" s="6" t="str">
        <f>IFERROR(INDEX(Ejecutivos!$B$2:$B$100,MATCH(D46,Ejecutivos!$A$2:$A$100,0)),"")</f>
        <v/>
      </c>
      <c r="F46" s="5"/>
      <c r="G46" s="5"/>
      <c r="H46" s="5"/>
      <c r="I46" s="5"/>
      <c r="J46" s="5"/>
    </row>
    <row r="47" spans="1:10" x14ac:dyDescent="0.25">
      <c r="A47" s="11"/>
      <c r="B47" s="5"/>
      <c r="C47" s="5"/>
      <c r="D47" s="5"/>
      <c r="E47" s="6" t="str">
        <f>IFERROR(INDEX(Ejecutivos!$B$2:$B$100,MATCH(D47,Ejecutivos!$A$2:$A$100,0)),"")</f>
        <v/>
      </c>
      <c r="F47" s="5"/>
      <c r="G47" s="5"/>
      <c r="H47" s="5"/>
      <c r="I47" s="5"/>
      <c r="J47" s="5"/>
    </row>
    <row r="48" spans="1:10" x14ac:dyDescent="0.25">
      <c r="A48" s="11"/>
      <c r="B48" s="5"/>
      <c r="C48" s="5"/>
      <c r="D48" s="5"/>
      <c r="E48" s="6" t="str">
        <f>IFERROR(INDEX(Ejecutivos!$B$2:$B$100,MATCH(D48,Ejecutivos!$A$2:$A$100,0)),"")</f>
        <v/>
      </c>
      <c r="F48" s="5"/>
      <c r="G48" s="5"/>
      <c r="H48" s="5"/>
      <c r="I48" s="5"/>
      <c r="J48" s="5"/>
    </row>
    <row r="49" spans="1:10" x14ac:dyDescent="0.25">
      <c r="A49" s="11"/>
      <c r="B49" s="5"/>
      <c r="C49" s="5"/>
      <c r="D49" s="5"/>
      <c r="E49" s="6" t="str">
        <f>IFERROR(INDEX(Ejecutivos!$B$2:$B$100,MATCH(D49,Ejecutivos!$A$2:$A$100,0)),"")</f>
        <v/>
      </c>
      <c r="F49" s="5"/>
      <c r="G49" s="5"/>
      <c r="H49" s="5"/>
      <c r="I49" s="5"/>
      <c r="J49" s="5"/>
    </row>
    <row r="50" spans="1:10" x14ac:dyDescent="0.25">
      <c r="A50" s="11"/>
      <c r="B50" s="5"/>
      <c r="C50" s="5"/>
      <c r="D50" s="5"/>
      <c r="E50" s="6" t="str">
        <f>IFERROR(INDEX(Ejecutivos!$B$2:$B$100,MATCH(D50,Ejecutivos!$A$2:$A$100,0)),"")</f>
        <v/>
      </c>
      <c r="F50" s="5"/>
      <c r="G50" s="5"/>
      <c r="H50" s="5"/>
      <c r="I50" s="5"/>
      <c r="J50" s="5"/>
    </row>
    <row r="51" spans="1:10" x14ac:dyDescent="0.25">
      <c r="A51" s="11"/>
      <c r="B51" s="5"/>
      <c r="C51" s="5"/>
      <c r="D51" s="5"/>
      <c r="E51" s="6" t="str">
        <f>IFERROR(INDEX(Ejecutivos!$B$2:$B$100,MATCH(D51,Ejecutivos!$A$2:$A$100,0)),"")</f>
        <v/>
      </c>
      <c r="F51" s="5"/>
      <c r="G51" s="5"/>
      <c r="H51" s="5"/>
      <c r="I51" s="5"/>
      <c r="J51" s="5"/>
    </row>
    <row r="52" spans="1:10" x14ac:dyDescent="0.25">
      <c r="A52" s="11"/>
      <c r="B52" s="5"/>
      <c r="C52" s="5"/>
      <c r="D52" s="5"/>
      <c r="E52" s="6" t="str">
        <f>IFERROR(INDEX(Ejecutivos!$B$2:$B$100,MATCH(D52,Ejecutivos!$A$2:$A$100,0)),"")</f>
        <v/>
      </c>
      <c r="F52" s="5"/>
      <c r="G52" s="5"/>
      <c r="H52" s="5"/>
      <c r="I52" s="5"/>
      <c r="J52" s="5"/>
    </row>
    <row r="53" spans="1:10" x14ac:dyDescent="0.25">
      <c r="A53" s="11"/>
      <c r="B53" s="5"/>
      <c r="C53" s="5"/>
      <c r="D53" s="5"/>
      <c r="E53" s="6" t="str">
        <f>IFERROR(INDEX(Ejecutivos!$B$2:$B$100,MATCH(D53,Ejecutivos!$A$2:$A$100,0)),"")</f>
        <v/>
      </c>
      <c r="F53" s="5"/>
      <c r="G53" s="5"/>
      <c r="H53" s="5"/>
      <c r="I53" s="5"/>
      <c r="J53" s="5"/>
    </row>
    <row r="54" spans="1:10" x14ac:dyDescent="0.25">
      <c r="A54" s="11"/>
      <c r="B54" s="5"/>
      <c r="C54" s="5"/>
      <c r="D54" s="5"/>
      <c r="E54" s="6" t="str">
        <f>IFERROR(INDEX(Ejecutivos!$B$2:$B$100,MATCH(D54,Ejecutivos!$A$2:$A$100,0)),"")</f>
        <v/>
      </c>
      <c r="F54" s="5"/>
      <c r="G54" s="5"/>
      <c r="H54" s="5"/>
      <c r="I54" s="5"/>
      <c r="J54" s="5"/>
    </row>
    <row r="55" spans="1:10" x14ac:dyDescent="0.25">
      <c r="A55" s="11"/>
      <c r="B55" s="5"/>
      <c r="C55" s="5"/>
      <c r="D55" s="5"/>
      <c r="E55" s="6" t="str">
        <f>IFERROR(INDEX(Ejecutivos!$B$2:$B$100,MATCH(D55,Ejecutivos!$A$2:$A$100,0)),"")</f>
        <v/>
      </c>
      <c r="F55" s="5"/>
      <c r="G55" s="5"/>
      <c r="H55" s="5"/>
      <c r="I55" s="5"/>
      <c r="J55" s="5"/>
    </row>
    <row r="56" spans="1:10" x14ac:dyDescent="0.25">
      <c r="A56" s="11"/>
      <c r="B56" s="5"/>
      <c r="C56" s="5"/>
      <c r="D56" s="5"/>
      <c r="E56" s="6" t="str">
        <f>IFERROR(INDEX(Ejecutivos!$B$2:$B$100,MATCH(D56,Ejecutivos!$A$2:$A$100,0)),"")</f>
        <v/>
      </c>
      <c r="F56" s="5"/>
      <c r="G56" s="5"/>
      <c r="H56" s="5"/>
      <c r="I56" s="5"/>
      <c r="J56" s="5"/>
    </row>
    <row r="57" spans="1:10" x14ac:dyDescent="0.25">
      <c r="A57" s="11"/>
      <c r="B57" s="5"/>
      <c r="C57" s="5"/>
      <c r="D57" s="5"/>
      <c r="E57" s="6" t="str">
        <f>IFERROR(INDEX(Ejecutivos!$B$2:$B$100,MATCH(D57,Ejecutivos!$A$2:$A$100,0)),"")</f>
        <v/>
      </c>
      <c r="F57" s="5"/>
      <c r="G57" s="5"/>
      <c r="H57" s="5"/>
      <c r="I57" s="5"/>
      <c r="J57" s="5"/>
    </row>
    <row r="58" spans="1:10" x14ac:dyDescent="0.25">
      <c r="A58" s="11"/>
      <c r="B58" s="5"/>
      <c r="C58" s="5"/>
      <c r="D58" s="5"/>
      <c r="E58" s="6" t="str">
        <f>IFERROR(INDEX(Ejecutivos!$B$2:$B$100,MATCH(D58,Ejecutivos!$A$2:$A$100,0)),"")</f>
        <v/>
      </c>
      <c r="F58" s="5"/>
      <c r="G58" s="5"/>
      <c r="H58" s="5"/>
      <c r="I58" s="5"/>
      <c r="J58" s="5"/>
    </row>
    <row r="59" spans="1:10" x14ac:dyDescent="0.25">
      <c r="A59" s="11"/>
      <c r="B59" s="5"/>
      <c r="C59" s="5"/>
      <c r="D59" s="5"/>
      <c r="E59" s="6" t="str">
        <f>IFERROR(INDEX(Ejecutivos!$B$2:$B$100,MATCH(D59,Ejecutivos!$A$2:$A$100,0)),"")</f>
        <v/>
      </c>
      <c r="F59" s="5"/>
      <c r="G59" s="5"/>
      <c r="H59" s="5"/>
      <c r="I59" s="5"/>
      <c r="J59" s="5"/>
    </row>
    <row r="60" spans="1:10" x14ac:dyDescent="0.25">
      <c r="A60" s="11"/>
      <c r="B60" s="5"/>
      <c r="C60" s="5"/>
      <c r="D60" s="5"/>
      <c r="E60" s="6" t="str">
        <f>IFERROR(INDEX(Ejecutivos!$B$2:$B$100,MATCH(D60,Ejecutivos!$A$2:$A$100,0)),"")</f>
        <v/>
      </c>
      <c r="F60" s="5"/>
      <c r="G60" s="5"/>
      <c r="H60" s="5"/>
      <c r="I60" s="5"/>
      <c r="J60" s="5"/>
    </row>
    <row r="61" spans="1:10" x14ac:dyDescent="0.25">
      <c r="A61" s="11"/>
      <c r="B61" s="5"/>
      <c r="C61" s="5"/>
      <c r="D61" s="5"/>
      <c r="E61" s="6" t="str">
        <f>IFERROR(INDEX(Ejecutivos!$B$2:$B$100,MATCH(D61,Ejecutivos!$A$2:$A$100,0)),"")</f>
        <v/>
      </c>
      <c r="F61" s="5"/>
      <c r="G61" s="5"/>
      <c r="H61" s="5"/>
      <c r="I61" s="5"/>
      <c r="J61" s="5"/>
    </row>
    <row r="62" spans="1:10" x14ac:dyDescent="0.25">
      <c r="A62" s="11"/>
      <c r="B62" s="5"/>
      <c r="C62" s="5"/>
      <c r="D62" s="5"/>
      <c r="E62" s="6" t="str">
        <f>IFERROR(INDEX(Ejecutivos!$B$2:$B$100,MATCH(D62,Ejecutivos!$A$2:$A$100,0)),"")</f>
        <v/>
      </c>
      <c r="F62" s="5"/>
      <c r="G62" s="5"/>
      <c r="H62" s="5"/>
      <c r="I62" s="5"/>
      <c r="J62" s="5"/>
    </row>
    <row r="63" spans="1:10" x14ac:dyDescent="0.25">
      <c r="A63" s="11"/>
      <c r="B63" s="5"/>
      <c r="C63" s="5"/>
      <c r="D63" s="5"/>
      <c r="E63" s="6" t="str">
        <f>IFERROR(INDEX(Ejecutivos!$B$2:$B$100,MATCH(D63,Ejecutivos!$A$2:$A$100,0)),"")</f>
        <v/>
      </c>
      <c r="F63" s="5"/>
      <c r="G63" s="5"/>
      <c r="H63" s="5"/>
      <c r="I63" s="5"/>
      <c r="J63" s="5"/>
    </row>
    <row r="64" spans="1:10" x14ac:dyDescent="0.25">
      <c r="A64" s="11"/>
      <c r="B64" s="5"/>
      <c r="C64" s="5"/>
      <c r="D64" s="5"/>
      <c r="E64" s="6" t="str">
        <f>IFERROR(INDEX(Ejecutivos!$B$2:$B$100,MATCH(D64,Ejecutivos!$A$2:$A$100,0)),"")</f>
        <v/>
      </c>
      <c r="F64" s="5"/>
      <c r="G64" s="5"/>
      <c r="H64" s="5"/>
      <c r="I64" s="5"/>
      <c r="J64" s="5"/>
    </row>
    <row r="65" spans="1:10" x14ac:dyDescent="0.25">
      <c r="A65" s="11"/>
      <c r="B65" s="5"/>
      <c r="C65" s="5"/>
      <c r="D65" s="5"/>
      <c r="E65" s="6" t="str">
        <f>IFERROR(INDEX(Ejecutivos!$B$2:$B$100,MATCH(D65,Ejecutivos!$A$2:$A$100,0)),"")</f>
        <v/>
      </c>
      <c r="F65" s="5"/>
      <c r="G65" s="5"/>
      <c r="H65" s="5"/>
      <c r="I65" s="5"/>
      <c r="J65" s="5"/>
    </row>
    <row r="66" spans="1:10" x14ac:dyDescent="0.25">
      <c r="A66" s="11"/>
      <c r="B66" s="5"/>
      <c r="C66" s="5"/>
      <c r="D66" s="5"/>
      <c r="E66" s="6" t="str">
        <f>IFERROR(INDEX(Ejecutivos!$B$2:$B$100,MATCH(D66,Ejecutivos!$A$2:$A$100,0)),"")</f>
        <v/>
      </c>
      <c r="F66" s="5"/>
      <c r="G66" s="5"/>
      <c r="H66" s="5"/>
      <c r="I66" s="5"/>
      <c r="J66" s="5"/>
    </row>
    <row r="67" spans="1:10" x14ac:dyDescent="0.25">
      <c r="A67" s="11"/>
      <c r="B67" s="5"/>
      <c r="C67" s="5"/>
      <c r="D67" s="5"/>
      <c r="E67" s="6" t="str">
        <f>IFERROR(INDEX(Ejecutivos!$B$2:$B$100,MATCH(D67,Ejecutivos!$A$2:$A$100,0)),"")</f>
        <v/>
      </c>
      <c r="F67" s="5"/>
      <c r="G67" s="5"/>
      <c r="H67" s="5"/>
      <c r="I67" s="5"/>
      <c r="J67" s="5"/>
    </row>
    <row r="68" spans="1:10" x14ac:dyDescent="0.25">
      <c r="A68" s="11"/>
      <c r="B68" s="5"/>
      <c r="C68" s="5"/>
      <c r="D68" s="5"/>
      <c r="E68" s="6" t="str">
        <f>IFERROR(INDEX(Ejecutivos!$B$2:$B$100,MATCH(D68,Ejecutivos!$A$2:$A$100,0)),"")</f>
        <v/>
      </c>
      <c r="F68" s="5"/>
      <c r="G68" s="5"/>
      <c r="H68" s="5"/>
      <c r="I68" s="5"/>
      <c r="J68" s="5"/>
    </row>
    <row r="69" spans="1:10" x14ac:dyDescent="0.25">
      <c r="A69" s="11"/>
      <c r="B69" s="5"/>
      <c r="C69" s="5"/>
      <c r="D69" s="5"/>
      <c r="E69" s="6" t="str">
        <f>IFERROR(INDEX(Ejecutivos!$B$2:$B$100,MATCH(D69,Ejecutivos!$A$2:$A$100,0)),"")</f>
        <v/>
      </c>
      <c r="F69" s="5"/>
      <c r="G69" s="5"/>
      <c r="H69" s="5"/>
      <c r="I69" s="5"/>
      <c r="J69" s="5"/>
    </row>
    <row r="70" spans="1:10" x14ac:dyDescent="0.25">
      <c r="A70" s="11"/>
      <c r="B70" s="5"/>
      <c r="C70" s="5"/>
      <c r="D70" s="5"/>
      <c r="E70" s="6" t="str">
        <f>IFERROR(INDEX(Ejecutivos!$B$2:$B$100,MATCH(D70,Ejecutivos!$A$2:$A$100,0)),"")</f>
        <v/>
      </c>
      <c r="F70" s="5"/>
      <c r="G70" s="5"/>
      <c r="H70" s="5"/>
      <c r="I70" s="5"/>
      <c r="J70" s="5"/>
    </row>
    <row r="71" spans="1:10" x14ac:dyDescent="0.25">
      <c r="A71" s="11"/>
      <c r="B71" s="5"/>
      <c r="C71" s="5"/>
      <c r="D71" s="5"/>
      <c r="E71" s="6" t="str">
        <f>IFERROR(INDEX(Ejecutivos!$B$2:$B$100,MATCH(D71,Ejecutivos!$A$2:$A$100,0)),"")</f>
        <v/>
      </c>
      <c r="F71" s="5"/>
      <c r="G71" s="5"/>
      <c r="H71" s="5"/>
      <c r="I71" s="5"/>
      <c r="J71" s="5"/>
    </row>
    <row r="72" spans="1:10" x14ac:dyDescent="0.25">
      <c r="A72" s="11"/>
      <c r="B72" s="5"/>
      <c r="C72" s="5"/>
      <c r="D72" s="5"/>
      <c r="E72" s="6" t="str">
        <f>IFERROR(INDEX(Ejecutivos!$B$2:$B$100,MATCH(D72,Ejecutivos!$A$2:$A$100,0)),"")</f>
        <v/>
      </c>
      <c r="F72" s="5"/>
      <c r="G72" s="5"/>
      <c r="H72" s="5"/>
      <c r="I72" s="5"/>
      <c r="J72" s="5"/>
    </row>
    <row r="73" spans="1:10" x14ac:dyDescent="0.25">
      <c r="A73" s="11"/>
      <c r="B73" s="5"/>
      <c r="C73" s="5"/>
      <c r="D73" s="5"/>
      <c r="E73" s="6" t="str">
        <f>IFERROR(INDEX(Ejecutivos!$B$2:$B$100,MATCH(D73,Ejecutivos!$A$2:$A$100,0)),"")</f>
        <v/>
      </c>
      <c r="F73" s="5"/>
      <c r="G73" s="5"/>
      <c r="H73" s="5"/>
      <c r="I73" s="5"/>
      <c r="J73" s="5"/>
    </row>
    <row r="74" spans="1:10" x14ac:dyDescent="0.25">
      <c r="A74" s="11"/>
      <c r="B74" s="5"/>
      <c r="C74" s="5"/>
      <c r="D74" s="5"/>
      <c r="E74" s="6" t="str">
        <f>IFERROR(INDEX(Ejecutivos!$B$2:$B$100,MATCH(D74,Ejecutivos!$A$2:$A$100,0)),"")</f>
        <v/>
      </c>
      <c r="F74" s="5"/>
      <c r="G74" s="5"/>
      <c r="H74" s="5"/>
      <c r="I74" s="5"/>
      <c r="J74" s="5"/>
    </row>
    <row r="75" spans="1:10" x14ac:dyDescent="0.25">
      <c r="A75" s="11"/>
      <c r="B75" s="5"/>
      <c r="C75" s="5"/>
      <c r="D75" s="5"/>
      <c r="E75" s="6" t="str">
        <f>IFERROR(INDEX(Ejecutivos!$B$2:$B$100,MATCH(D75,Ejecutivos!$A$2:$A$100,0)),"")</f>
        <v/>
      </c>
      <c r="F75" s="5"/>
      <c r="G75" s="5"/>
      <c r="H75" s="5"/>
      <c r="I75" s="5"/>
      <c r="J75" s="5"/>
    </row>
    <row r="76" spans="1:10" x14ac:dyDescent="0.25">
      <c r="A76" s="11"/>
      <c r="B76" s="5"/>
      <c r="C76" s="5"/>
      <c r="D76" s="5"/>
      <c r="E76" s="6" t="str">
        <f>IFERROR(INDEX(Ejecutivos!$B$2:$B$100,MATCH(D76,Ejecutivos!$A$2:$A$100,0)),"")</f>
        <v/>
      </c>
      <c r="F76" s="5"/>
      <c r="G76" s="5"/>
      <c r="H76" s="5"/>
      <c r="I76" s="5"/>
      <c r="J76" s="5"/>
    </row>
    <row r="77" spans="1:10" x14ac:dyDescent="0.25">
      <c r="A77" s="11"/>
      <c r="B77" s="5"/>
      <c r="C77" s="5"/>
      <c r="D77" s="5"/>
      <c r="E77" s="6" t="str">
        <f>IFERROR(INDEX(Ejecutivos!$B$2:$B$100,MATCH(D77,Ejecutivos!$A$2:$A$100,0)),"")</f>
        <v/>
      </c>
      <c r="F77" s="5"/>
      <c r="G77" s="5"/>
      <c r="H77" s="5"/>
      <c r="I77" s="5"/>
      <c r="J77" s="5"/>
    </row>
    <row r="78" spans="1:10" x14ac:dyDescent="0.25">
      <c r="A78" s="11"/>
      <c r="B78" s="5"/>
      <c r="C78" s="5"/>
      <c r="D78" s="5"/>
      <c r="E78" s="6" t="str">
        <f>IFERROR(INDEX(Ejecutivos!$B$2:$B$100,MATCH(D78,Ejecutivos!$A$2:$A$100,0)),"")</f>
        <v/>
      </c>
      <c r="F78" s="5"/>
      <c r="G78" s="5"/>
      <c r="H78" s="5"/>
      <c r="I78" s="5"/>
      <c r="J78" s="5"/>
    </row>
    <row r="79" spans="1:10" x14ac:dyDescent="0.25">
      <c r="A79" s="11"/>
      <c r="B79" s="5"/>
      <c r="C79" s="5"/>
      <c r="D79" s="5"/>
      <c r="E79" s="6" t="str">
        <f>IFERROR(INDEX(Ejecutivos!$B$2:$B$100,MATCH(D79,Ejecutivos!$A$2:$A$100,0)),"")</f>
        <v/>
      </c>
      <c r="F79" s="5"/>
      <c r="G79" s="5"/>
      <c r="H79" s="5"/>
      <c r="I79" s="5"/>
      <c r="J79" s="5"/>
    </row>
    <row r="80" spans="1:10" x14ac:dyDescent="0.25">
      <c r="A80" s="11"/>
      <c r="B80" s="5"/>
      <c r="C80" s="5"/>
      <c r="D80" s="5"/>
      <c r="E80" s="6" t="str">
        <f>IFERROR(INDEX(Ejecutivos!$B$2:$B$100,MATCH(D80,Ejecutivos!$A$2:$A$100,0)),"")</f>
        <v/>
      </c>
      <c r="F80" s="5"/>
      <c r="G80" s="5"/>
      <c r="H80" s="5"/>
      <c r="I80" s="5"/>
      <c r="J80" s="5"/>
    </row>
    <row r="81" spans="1:10" x14ac:dyDescent="0.25">
      <c r="A81" s="11"/>
      <c r="B81" s="5"/>
      <c r="C81" s="5"/>
      <c r="D81" s="5"/>
      <c r="E81" s="6" t="str">
        <f>IFERROR(INDEX(Ejecutivos!$B$2:$B$100,MATCH(D81,Ejecutivos!$A$2:$A$100,0)),"")</f>
        <v/>
      </c>
      <c r="F81" s="5"/>
      <c r="G81" s="5"/>
      <c r="H81" s="5"/>
      <c r="I81" s="5"/>
      <c r="J81" s="5"/>
    </row>
    <row r="82" spans="1:10" x14ac:dyDescent="0.25">
      <c r="A82" s="11"/>
      <c r="B82" s="5"/>
      <c r="C82" s="5"/>
      <c r="D82" s="5"/>
      <c r="E82" s="6" t="str">
        <f>IFERROR(INDEX(Ejecutivos!$B$2:$B$100,MATCH(D82,Ejecutivos!$A$2:$A$100,0)),"")</f>
        <v/>
      </c>
      <c r="F82" s="5"/>
      <c r="G82" s="5"/>
      <c r="H82" s="5"/>
      <c r="I82" s="5"/>
      <c r="J82" s="5"/>
    </row>
    <row r="83" spans="1:10" x14ac:dyDescent="0.25">
      <c r="A83" s="11"/>
      <c r="B83" s="5"/>
      <c r="C83" s="5"/>
      <c r="D83" s="5"/>
      <c r="E83" s="6" t="str">
        <f>IFERROR(INDEX(Ejecutivos!$B$2:$B$100,MATCH(D83,Ejecutivos!$A$2:$A$100,0)),"")</f>
        <v/>
      </c>
      <c r="F83" s="5"/>
      <c r="G83" s="5"/>
      <c r="H83" s="5"/>
      <c r="I83" s="5"/>
      <c r="J83" s="5"/>
    </row>
    <row r="84" spans="1:10" x14ac:dyDescent="0.25">
      <c r="A84" s="11"/>
      <c r="B84" s="5"/>
      <c r="C84" s="5"/>
      <c r="D84" s="5"/>
      <c r="E84" s="6" t="str">
        <f>IFERROR(INDEX(Ejecutivos!$B$2:$B$100,MATCH(D84,Ejecutivos!$A$2:$A$100,0)),"")</f>
        <v/>
      </c>
      <c r="F84" s="5"/>
      <c r="G84" s="5"/>
      <c r="H84" s="5"/>
      <c r="I84" s="5"/>
      <c r="J84" s="5"/>
    </row>
    <row r="85" spans="1:10" x14ac:dyDescent="0.25">
      <c r="A85" s="11"/>
      <c r="B85" s="5"/>
      <c r="C85" s="5"/>
      <c r="D85" s="5"/>
      <c r="E85" s="6" t="str">
        <f>IFERROR(INDEX(Ejecutivos!$B$2:$B$100,MATCH(D85,Ejecutivos!$A$2:$A$100,0)),"")</f>
        <v/>
      </c>
      <c r="F85" s="5"/>
      <c r="G85" s="5"/>
      <c r="H85" s="5"/>
      <c r="I85" s="5"/>
      <c r="J85" s="5"/>
    </row>
    <row r="86" spans="1:10" x14ac:dyDescent="0.25">
      <c r="A86" s="11"/>
      <c r="B86" s="5"/>
      <c r="C86" s="5"/>
      <c r="D86" s="5"/>
      <c r="E86" s="6" t="str">
        <f>IFERROR(INDEX(Ejecutivos!$B$2:$B$100,MATCH(D86,Ejecutivos!$A$2:$A$100,0)),"")</f>
        <v/>
      </c>
      <c r="F86" s="5"/>
      <c r="G86" s="5"/>
      <c r="H86" s="5"/>
      <c r="I86" s="5"/>
      <c r="J86" s="5"/>
    </row>
    <row r="87" spans="1:10" x14ac:dyDescent="0.25">
      <c r="A87" s="11"/>
      <c r="B87" s="5"/>
      <c r="C87" s="5"/>
      <c r="D87" s="5"/>
      <c r="E87" s="6" t="str">
        <f>IFERROR(INDEX(Ejecutivos!$B$2:$B$100,MATCH(D87,Ejecutivos!$A$2:$A$100,0)),"")</f>
        <v/>
      </c>
      <c r="F87" s="5"/>
      <c r="G87" s="5"/>
      <c r="H87" s="5"/>
      <c r="I87" s="5"/>
      <c r="J87" s="5"/>
    </row>
    <row r="88" spans="1:10" x14ac:dyDescent="0.25">
      <c r="A88" s="11"/>
      <c r="B88" s="5"/>
      <c r="C88" s="5"/>
      <c r="D88" s="5"/>
      <c r="E88" s="6" t="str">
        <f>IFERROR(INDEX(Ejecutivos!$B$2:$B$100,MATCH(D88,Ejecutivos!$A$2:$A$100,0)),"")</f>
        <v/>
      </c>
      <c r="F88" s="5"/>
      <c r="G88" s="5"/>
      <c r="H88" s="5"/>
      <c r="I88" s="5"/>
      <c r="J88" s="5"/>
    </row>
    <row r="89" spans="1:10" x14ac:dyDescent="0.25">
      <c r="A89" s="11"/>
      <c r="B89" s="5"/>
      <c r="C89" s="5"/>
      <c r="D89" s="5"/>
      <c r="E89" s="6" t="str">
        <f>IFERROR(INDEX(Ejecutivos!$B$2:$B$100,MATCH(D89,Ejecutivos!$A$2:$A$100,0)),"")</f>
        <v/>
      </c>
      <c r="F89" s="5"/>
      <c r="G89" s="5"/>
      <c r="H89" s="5"/>
      <c r="I89" s="5"/>
      <c r="J89" s="5"/>
    </row>
    <row r="90" spans="1:10" x14ac:dyDescent="0.25">
      <c r="A90" s="11"/>
      <c r="B90" s="5"/>
      <c r="C90" s="5"/>
      <c r="D90" s="5"/>
      <c r="E90" s="6" t="str">
        <f>IFERROR(INDEX(Ejecutivos!$B$2:$B$100,MATCH(D90,Ejecutivos!$A$2:$A$100,0)),"")</f>
        <v/>
      </c>
      <c r="F90" s="5"/>
      <c r="G90" s="5"/>
      <c r="H90" s="5"/>
      <c r="I90" s="5"/>
      <c r="J90" s="5"/>
    </row>
    <row r="91" spans="1:10" x14ac:dyDescent="0.25">
      <c r="A91" s="11"/>
      <c r="B91" s="5"/>
      <c r="C91" s="5"/>
      <c r="D91" s="5"/>
      <c r="E91" s="6" t="str">
        <f>IFERROR(INDEX(Ejecutivos!$B$2:$B$100,MATCH(D91,Ejecutivos!$A$2:$A$100,0)),"")</f>
        <v/>
      </c>
      <c r="F91" s="5"/>
      <c r="G91" s="5"/>
      <c r="H91" s="5"/>
      <c r="I91" s="5"/>
      <c r="J91" s="5"/>
    </row>
    <row r="92" spans="1:10" x14ac:dyDescent="0.25">
      <c r="A92" s="11"/>
      <c r="B92" s="5"/>
      <c r="C92" s="5"/>
      <c r="D92" s="5"/>
      <c r="E92" s="6" t="str">
        <f>IFERROR(INDEX(Ejecutivos!$B$2:$B$100,MATCH(D92,Ejecutivos!$A$2:$A$100,0)),"")</f>
        <v/>
      </c>
      <c r="F92" s="5"/>
      <c r="G92" s="5"/>
      <c r="H92" s="5"/>
      <c r="I92" s="5"/>
      <c r="J92" s="5"/>
    </row>
    <row r="93" spans="1:10" x14ac:dyDescent="0.25">
      <c r="A93" s="11"/>
      <c r="B93" s="5"/>
      <c r="C93" s="5"/>
      <c r="D93" s="5"/>
      <c r="E93" s="6" t="str">
        <f>IFERROR(INDEX(Ejecutivos!$B$2:$B$100,MATCH(D93,Ejecutivos!$A$2:$A$100,0)),"")</f>
        <v/>
      </c>
      <c r="F93" s="5"/>
      <c r="G93" s="5"/>
      <c r="H93" s="5"/>
      <c r="I93" s="5"/>
      <c r="J93" s="5"/>
    </row>
    <row r="94" spans="1:10" x14ac:dyDescent="0.25">
      <c r="A94" s="11"/>
      <c r="B94" s="5"/>
      <c r="C94" s="5"/>
      <c r="D94" s="5"/>
      <c r="E94" s="6" t="str">
        <f>IFERROR(INDEX(Ejecutivos!$B$2:$B$100,MATCH(D94,Ejecutivos!$A$2:$A$100,0)),"")</f>
        <v/>
      </c>
      <c r="F94" s="5"/>
      <c r="G94" s="5"/>
      <c r="H94" s="5"/>
      <c r="I94" s="5"/>
      <c r="J94" s="5"/>
    </row>
    <row r="95" spans="1:10" x14ac:dyDescent="0.25">
      <c r="A95" s="11"/>
      <c r="B95" s="5"/>
      <c r="C95" s="5"/>
      <c r="D95" s="5"/>
      <c r="E95" s="6" t="str">
        <f>IFERROR(INDEX(Ejecutivos!$B$2:$B$100,MATCH(D95,Ejecutivos!$A$2:$A$100,0)),"")</f>
        <v/>
      </c>
      <c r="F95" s="5"/>
      <c r="G95" s="5"/>
      <c r="H95" s="5"/>
      <c r="I95" s="5"/>
      <c r="J95" s="5"/>
    </row>
    <row r="96" spans="1:10" x14ac:dyDescent="0.25">
      <c r="A96" s="11"/>
      <c r="B96" s="5"/>
      <c r="C96" s="5"/>
      <c r="D96" s="5"/>
      <c r="E96" s="6" t="str">
        <f>IFERROR(INDEX(Ejecutivos!$B$2:$B$100,MATCH(D96,Ejecutivos!$A$2:$A$100,0)),"")</f>
        <v/>
      </c>
      <c r="F96" s="5"/>
      <c r="G96" s="5"/>
      <c r="H96" s="5"/>
      <c r="I96" s="5"/>
      <c r="J96" s="5"/>
    </row>
    <row r="97" spans="1:10" x14ac:dyDescent="0.25">
      <c r="A97" s="11"/>
      <c r="B97" s="5"/>
      <c r="C97" s="5"/>
      <c r="D97" s="5"/>
      <c r="E97" s="6" t="str">
        <f>IFERROR(INDEX(Ejecutivos!$B$2:$B$100,MATCH(D97,Ejecutivos!$A$2:$A$100,0)),"")</f>
        <v/>
      </c>
      <c r="F97" s="5"/>
      <c r="G97" s="5"/>
      <c r="H97" s="5"/>
      <c r="I97" s="5"/>
      <c r="J97" s="5"/>
    </row>
    <row r="98" spans="1:10" x14ac:dyDescent="0.25">
      <c r="A98" s="11"/>
      <c r="B98" s="5"/>
      <c r="C98" s="5"/>
      <c r="D98" s="5"/>
      <c r="E98" s="6" t="str">
        <f>IFERROR(INDEX(Ejecutivos!$B$2:$B$100,MATCH(D98,Ejecutivos!$A$2:$A$100,0)),"")</f>
        <v/>
      </c>
      <c r="F98" s="5"/>
      <c r="G98" s="5"/>
      <c r="H98" s="5"/>
      <c r="I98" s="5"/>
      <c r="J98" s="5"/>
    </row>
    <row r="99" spans="1:10" x14ac:dyDescent="0.25">
      <c r="A99" s="11"/>
      <c r="B99" s="5"/>
      <c r="C99" s="5"/>
      <c r="D99" s="5"/>
      <c r="E99" s="6" t="str">
        <f>IFERROR(INDEX(Ejecutivos!$B$2:$B$100,MATCH(D99,Ejecutivos!$A$2:$A$100,0)),"")</f>
        <v/>
      </c>
      <c r="F99" s="5"/>
      <c r="G99" s="5"/>
      <c r="H99" s="5"/>
      <c r="I99" s="5"/>
      <c r="J99" s="5"/>
    </row>
    <row r="100" spans="1:10" x14ac:dyDescent="0.25">
      <c r="A100" s="11"/>
      <c r="B100" s="5"/>
      <c r="C100" s="5"/>
      <c r="D100" s="5"/>
      <c r="E100" s="6" t="str">
        <f>IFERROR(INDEX(Ejecutivos!$B$2:$B$100,MATCH(D100,Ejecutivos!$A$2:$A$100,0)),"")</f>
        <v/>
      </c>
      <c r="F100" s="5"/>
      <c r="G100" s="5"/>
      <c r="H100" s="5"/>
      <c r="I100" s="5"/>
      <c r="J100" s="5"/>
    </row>
    <row r="101" spans="1:10" x14ac:dyDescent="0.25">
      <c r="A101" s="11"/>
      <c r="B101" s="5"/>
      <c r="C101" s="5"/>
      <c r="D101" s="5"/>
      <c r="E101" s="6" t="str">
        <f>IFERROR(INDEX(Ejecutivos!$B$2:$B$100,MATCH(D101,Ejecutivos!$A$2:$A$100,0)),"")</f>
        <v/>
      </c>
      <c r="F101" s="5"/>
      <c r="G101" s="5"/>
      <c r="H101" s="5"/>
      <c r="I101" s="5"/>
      <c r="J101" s="5"/>
    </row>
    <row r="102" spans="1:10" x14ac:dyDescent="0.25">
      <c r="A102" s="11"/>
      <c r="B102" s="5"/>
      <c r="C102" s="5"/>
      <c r="D102" s="5"/>
      <c r="E102" s="6" t="str">
        <f>IFERROR(INDEX(Ejecutivos!$B$2:$B$100,MATCH(D102,Ejecutivos!$A$2:$A$100,0)),"")</f>
        <v/>
      </c>
      <c r="F102" s="5"/>
      <c r="G102" s="5"/>
      <c r="H102" s="5"/>
      <c r="I102" s="5"/>
      <c r="J102" s="5"/>
    </row>
    <row r="103" spans="1:10" x14ac:dyDescent="0.25">
      <c r="A103" s="11"/>
      <c r="B103" s="5"/>
      <c r="C103" s="5"/>
      <c r="D103" s="5"/>
      <c r="E103" s="6" t="str">
        <f>IFERROR(INDEX(Ejecutivos!$B$2:$B$100,MATCH(D103,Ejecutivos!$A$2:$A$100,0)),"")</f>
        <v/>
      </c>
      <c r="F103" s="5"/>
      <c r="G103" s="5"/>
      <c r="H103" s="5"/>
      <c r="I103" s="5"/>
      <c r="J103" s="5"/>
    </row>
    <row r="104" spans="1:10" x14ac:dyDescent="0.25">
      <c r="A104" s="11"/>
      <c r="B104" s="5"/>
      <c r="C104" s="5"/>
      <c r="D104" s="5"/>
      <c r="E104" s="6" t="str">
        <f>IFERROR(INDEX(Ejecutivos!$B$2:$B$100,MATCH(D104,Ejecutivos!$A$2:$A$100,0)),"")</f>
        <v/>
      </c>
      <c r="F104" s="5"/>
      <c r="G104" s="5"/>
      <c r="H104" s="5"/>
      <c r="I104" s="5"/>
      <c r="J104" s="5"/>
    </row>
    <row r="105" spans="1:10" x14ac:dyDescent="0.25">
      <c r="A105" s="11"/>
      <c r="B105" s="5"/>
      <c r="C105" s="5"/>
      <c r="D105" s="5"/>
      <c r="E105" s="6" t="str">
        <f>IFERROR(INDEX(Ejecutivos!$B$2:$B$100,MATCH(D105,Ejecutivos!$A$2:$A$100,0)),"")</f>
        <v/>
      </c>
      <c r="F105" s="5"/>
      <c r="G105" s="5"/>
      <c r="H105" s="5"/>
      <c r="I105" s="5"/>
      <c r="J105" s="5"/>
    </row>
    <row r="106" spans="1:10" x14ac:dyDescent="0.25">
      <c r="A106" s="11"/>
      <c r="B106" s="5"/>
      <c r="C106" s="5"/>
      <c r="D106" s="5"/>
      <c r="E106" s="6" t="str">
        <f>IFERROR(INDEX(Ejecutivos!$B$2:$B$100,MATCH(D106,Ejecutivos!$A$2:$A$100,0)),"")</f>
        <v/>
      </c>
      <c r="F106" s="5"/>
      <c r="G106" s="5"/>
      <c r="H106" s="5"/>
      <c r="I106" s="5"/>
      <c r="J106" s="5"/>
    </row>
    <row r="107" spans="1:10" x14ac:dyDescent="0.25">
      <c r="A107" s="11"/>
      <c r="B107" s="5"/>
      <c r="C107" s="5"/>
      <c r="D107" s="5"/>
      <c r="E107" s="6" t="str">
        <f>IFERROR(INDEX(Ejecutivos!$B$2:$B$100,MATCH(D107,Ejecutivos!$A$2:$A$100,0)),"")</f>
        <v/>
      </c>
      <c r="F107" s="5"/>
      <c r="G107" s="5"/>
      <c r="H107" s="5"/>
      <c r="I107" s="5"/>
      <c r="J107" s="5"/>
    </row>
    <row r="108" spans="1:10" x14ac:dyDescent="0.25">
      <c r="A108" s="11"/>
      <c r="B108" s="5"/>
      <c r="C108" s="5"/>
      <c r="D108" s="5"/>
      <c r="E108" s="6" t="str">
        <f>IFERROR(INDEX(Ejecutivos!$B$2:$B$100,MATCH(D108,Ejecutivos!$A$2:$A$100,0)),"")</f>
        <v/>
      </c>
      <c r="F108" s="5"/>
      <c r="G108" s="5"/>
      <c r="H108" s="5"/>
      <c r="I108" s="5"/>
      <c r="J108" s="5"/>
    </row>
    <row r="109" spans="1:10" x14ac:dyDescent="0.25">
      <c r="A109" s="11"/>
      <c r="B109" s="5"/>
      <c r="C109" s="5"/>
      <c r="D109" s="5"/>
      <c r="E109" s="6" t="str">
        <f>IFERROR(INDEX(Ejecutivos!$B$2:$B$100,MATCH(D109,Ejecutivos!$A$2:$A$100,0)),"")</f>
        <v/>
      </c>
      <c r="F109" s="5"/>
      <c r="G109" s="5"/>
      <c r="H109" s="5"/>
      <c r="I109" s="5"/>
      <c r="J109" s="5"/>
    </row>
    <row r="110" spans="1:10" x14ac:dyDescent="0.25">
      <c r="A110" s="11"/>
      <c r="B110" s="5"/>
      <c r="C110" s="5"/>
      <c r="D110" s="5"/>
      <c r="E110" s="6" t="str">
        <f>IFERROR(INDEX(Ejecutivos!$B$2:$B$100,MATCH(D110,Ejecutivos!$A$2:$A$100,0)),"")</f>
        <v/>
      </c>
      <c r="F110" s="5"/>
      <c r="G110" s="5"/>
      <c r="H110" s="5"/>
      <c r="I110" s="5"/>
      <c r="J110" s="5"/>
    </row>
    <row r="111" spans="1:10" x14ac:dyDescent="0.25">
      <c r="A111" s="11"/>
      <c r="B111" s="5"/>
      <c r="C111" s="5"/>
      <c r="D111" s="5"/>
      <c r="E111" s="6" t="str">
        <f>IFERROR(INDEX(Ejecutivos!$B$2:$B$100,MATCH(D111,Ejecutivos!$A$2:$A$100,0)),"")</f>
        <v/>
      </c>
      <c r="F111" s="5"/>
      <c r="G111" s="5"/>
      <c r="H111" s="5"/>
      <c r="I111" s="5"/>
      <c r="J111" s="5"/>
    </row>
    <row r="112" spans="1:10" x14ac:dyDescent="0.25">
      <c r="A112" s="11"/>
      <c r="B112" s="5"/>
      <c r="C112" s="5"/>
      <c r="D112" s="5"/>
      <c r="E112" s="6" t="str">
        <f>IFERROR(INDEX(Ejecutivos!$B$2:$B$100,MATCH(D112,Ejecutivos!$A$2:$A$100,0)),"")</f>
        <v/>
      </c>
      <c r="F112" s="5"/>
      <c r="G112" s="5"/>
      <c r="H112" s="5"/>
      <c r="I112" s="5"/>
      <c r="J112" s="5"/>
    </row>
    <row r="113" spans="1:10" x14ac:dyDescent="0.25">
      <c r="A113" s="11"/>
      <c r="B113" s="5"/>
      <c r="C113" s="5"/>
      <c r="D113" s="5"/>
      <c r="E113" s="6" t="str">
        <f>IFERROR(INDEX(Ejecutivos!$B$2:$B$100,MATCH(D113,Ejecutivos!$A$2:$A$100,0)),"")</f>
        <v/>
      </c>
      <c r="F113" s="5"/>
      <c r="G113" s="5"/>
      <c r="H113" s="5"/>
      <c r="I113" s="5"/>
      <c r="J113" s="5"/>
    </row>
    <row r="114" spans="1:10" x14ac:dyDescent="0.25">
      <c r="A114" s="11"/>
      <c r="B114" s="5"/>
      <c r="C114" s="5"/>
      <c r="D114" s="5"/>
      <c r="E114" s="6" t="str">
        <f>IFERROR(INDEX(Ejecutivos!$B$2:$B$100,MATCH(D114,Ejecutivos!$A$2:$A$100,0)),"")</f>
        <v/>
      </c>
      <c r="F114" s="5"/>
      <c r="G114" s="5"/>
      <c r="H114" s="5"/>
      <c r="I114" s="5"/>
      <c r="J114" s="5"/>
    </row>
    <row r="115" spans="1:10" x14ac:dyDescent="0.25">
      <c r="A115" s="11"/>
      <c r="B115" s="5"/>
      <c r="C115" s="5"/>
      <c r="D115" s="5"/>
      <c r="E115" s="6" t="str">
        <f>IFERROR(INDEX(Ejecutivos!$B$2:$B$100,MATCH(D115,Ejecutivos!$A$2:$A$100,0)),"")</f>
        <v/>
      </c>
      <c r="F115" s="5"/>
      <c r="G115" s="5"/>
      <c r="H115" s="5"/>
      <c r="I115" s="5"/>
      <c r="J115" s="5"/>
    </row>
    <row r="116" spans="1:10" x14ac:dyDescent="0.25">
      <c r="A116" s="11"/>
      <c r="B116" s="5"/>
      <c r="C116" s="5"/>
      <c r="D116" s="5"/>
      <c r="E116" s="6" t="str">
        <f>IFERROR(INDEX(Ejecutivos!$B$2:$B$100,MATCH(D116,Ejecutivos!$A$2:$A$100,0)),"")</f>
        <v/>
      </c>
      <c r="F116" s="5"/>
      <c r="G116" s="5"/>
      <c r="H116" s="5"/>
      <c r="I116" s="5"/>
      <c r="J116" s="5"/>
    </row>
    <row r="117" spans="1:10" x14ac:dyDescent="0.25">
      <c r="A117" s="11"/>
      <c r="B117" s="5"/>
      <c r="C117" s="5"/>
      <c r="D117" s="5"/>
      <c r="E117" s="6" t="str">
        <f>IFERROR(INDEX(Ejecutivos!$B$2:$B$100,MATCH(D117,Ejecutivos!$A$2:$A$100,0)),"")</f>
        <v/>
      </c>
      <c r="F117" s="5"/>
      <c r="G117" s="5"/>
      <c r="H117" s="5"/>
      <c r="I117" s="5"/>
      <c r="J117" s="5"/>
    </row>
    <row r="118" spans="1:10" x14ac:dyDescent="0.25">
      <c r="A118" s="11"/>
      <c r="B118" s="5"/>
      <c r="C118" s="5"/>
      <c r="D118" s="5"/>
      <c r="E118" s="6" t="str">
        <f>IFERROR(INDEX(Ejecutivos!$B$2:$B$100,MATCH(D118,Ejecutivos!$A$2:$A$100,0)),"")</f>
        <v/>
      </c>
      <c r="F118" s="5"/>
      <c r="G118" s="5"/>
      <c r="H118" s="5"/>
      <c r="I118" s="5"/>
      <c r="J118" s="5"/>
    </row>
    <row r="119" spans="1:10" x14ac:dyDescent="0.25">
      <c r="A119" s="11"/>
      <c r="B119" s="5"/>
      <c r="C119" s="5"/>
      <c r="D119" s="5"/>
      <c r="E119" s="6" t="str">
        <f>IFERROR(INDEX(Ejecutivos!$B$2:$B$100,MATCH(D119,Ejecutivos!$A$2:$A$100,0)),"")</f>
        <v/>
      </c>
      <c r="F119" s="5"/>
      <c r="G119" s="5"/>
      <c r="H119" s="5"/>
      <c r="I119" s="5"/>
      <c r="J119" s="5"/>
    </row>
    <row r="120" spans="1:10" x14ac:dyDescent="0.25">
      <c r="A120" s="11"/>
      <c r="B120" s="5"/>
      <c r="C120" s="5"/>
      <c r="D120" s="5"/>
      <c r="E120" s="6" t="str">
        <f>IFERROR(INDEX(Ejecutivos!$B$2:$B$100,MATCH(D120,Ejecutivos!$A$2:$A$100,0)),"")</f>
        <v/>
      </c>
      <c r="F120" s="5"/>
      <c r="G120" s="5"/>
      <c r="H120" s="5"/>
      <c r="I120" s="5"/>
      <c r="J120" s="5"/>
    </row>
    <row r="121" spans="1:10" x14ac:dyDescent="0.25">
      <c r="A121" s="11"/>
      <c r="B121" s="5"/>
      <c r="C121" s="5"/>
      <c r="D121" s="5"/>
      <c r="E121" s="6" t="str">
        <f>IFERROR(INDEX(Ejecutivos!$B$2:$B$100,MATCH(D121,Ejecutivos!$A$2:$A$100,0)),"")</f>
        <v/>
      </c>
      <c r="F121" s="5"/>
      <c r="G121" s="5"/>
      <c r="H121" s="5"/>
      <c r="I121" s="5"/>
      <c r="J121" s="5"/>
    </row>
    <row r="122" spans="1:10" x14ac:dyDescent="0.25">
      <c r="A122" s="11"/>
      <c r="B122" s="5"/>
      <c r="C122" s="5"/>
      <c r="D122" s="5"/>
      <c r="E122" s="6" t="str">
        <f>IFERROR(INDEX(Ejecutivos!$B$2:$B$100,MATCH(D122,Ejecutivos!$A$2:$A$100,0)),"")</f>
        <v/>
      </c>
      <c r="F122" s="5"/>
      <c r="G122" s="5"/>
      <c r="H122" s="5"/>
      <c r="I122" s="5"/>
      <c r="J122" s="5"/>
    </row>
    <row r="123" spans="1:10" x14ac:dyDescent="0.25">
      <c r="A123" s="11"/>
      <c r="B123" s="5"/>
      <c r="C123" s="5"/>
      <c r="D123" s="5"/>
      <c r="E123" s="6" t="str">
        <f>IFERROR(INDEX(Ejecutivos!$B$2:$B$100,MATCH(D123,Ejecutivos!$A$2:$A$100,0)),"")</f>
        <v/>
      </c>
      <c r="F123" s="5"/>
      <c r="G123" s="5"/>
      <c r="H123" s="5"/>
      <c r="I123" s="5"/>
      <c r="J123" s="5"/>
    </row>
    <row r="124" spans="1:10" x14ac:dyDescent="0.25">
      <c r="A124" s="11"/>
      <c r="B124" s="5"/>
      <c r="C124" s="5"/>
      <c r="D124" s="5"/>
      <c r="E124" s="6" t="str">
        <f>IFERROR(INDEX(Ejecutivos!$B$2:$B$100,MATCH(D124,Ejecutivos!$A$2:$A$100,0)),"")</f>
        <v/>
      </c>
      <c r="F124" s="5"/>
      <c r="G124" s="5"/>
      <c r="H124" s="5"/>
      <c r="I124" s="5"/>
      <c r="J124" s="5"/>
    </row>
    <row r="125" spans="1:10" x14ac:dyDescent="0.25">
      <c r="A125" s="11"/>
      <c r="B125" s="5"/>
      <c r="C125" s="5"/>
      <c r="D125" s="5"/>
      <c r="E125" s="6" t="str">
        <f>IFERROR(INDEX(Ejecutivos!$B$2:$B$100,MATCH(D125,Ejecutivos!$A$2:$A$100,0)),"")</f>
        <v/>
      </c>
      <c r="F125" s="5"/>
      <c r="G125" s="5"/>
      <c r="H125" s="5"/>
      <c r="I125" s="5"/>
      <c r="J125" s="5"/>
    </row>
    <row r="126" spans="1:10" x14ac:dyDescent="0.25">
      <c r="A126" s="11"/>
      <c r="B126" s="5"/>
      <c r="C126" s="5"/>
      <c r="D126" s="5"/>
      <c r="E126" s="6" t="str">
        <f>IFERROR(INDEX(Ejecutivos!$B$2:$B$100,MATCH(D126,Ejecutivos!$A$2:$A$100,0)),"")</f>
        <v/>
      </c>
      <c r="F126" s="5"/>
      <c r="G126" s="5"/>
      <c r="H126" s="5"/>
      <c r="I126" s="5"/>
      <c r="J126" s="5"/>
    </row>
    <row r="127" spans="1:10" x14ac:dyDescent="0.25">
      <c r="A127" s="11"/>
      <c r="B127" s="5"/>
      <c r="C127" s="5"/>
      <c r="D127" s="5"/>
      <c r="E127" s="6" t="str">
        <f>IFERROR(INDEX(Ejecutivos!$B$2:$B$100,MATCH(D127,Ejecutivos!$A$2:$A$100,0)),"")</f>
        <v/>
      </c>
      <c r="F127" s="5"/>
      <c r="G127" s="5"/>
      <c r="H127" s="5"/>
      <c r="I127" s="5"/>
      <c r="J127" s="5"/>
    </row>
    <row r="128" spans="1:10" x14ac:dyDescent="0.25">
      <c r="A128" s="11"/>
      <c r="B128" s="5"/>
      <c r="C128" s="5"/>
      <c r="D128" s="5"/>
      <c r="E128" s="6" t="str">
        <f>IFERROR(INDEX(Ejecutivos!$B$2:$B$100,MATCH(D128,Ejecutivos!$A$2:$A$100,0)),"")</f>
        <v/>
      </c>
      <c r="F128" s="5"/>
      <c r="G128" s="5"/>
      <c r="H128" s="5"/>
      <c r="I128" s="5"/>
      <c r="J128" s="5"/>
    </row>
    <row r="129" spans="1:10" x14ac:dyDescent="0.25">
      <c r="A129" s="11"/>
      <c r="B129" s="5"/>
      <c r="C129" s="5"/>
      <c r="D129" s="5"/>
      <c r="E129" s="6" t="str">
        <f>IFERROR(INDEX(Ejecutivos!$B$2:$B$100,MATCH(D129,Ejecutivos!$A$2:$A$100,0)),"")</f>
        <v/>
      </c>
      <c r="F129" s="5"/>
      <c r="G129" s="5"/>
      <c r="H129" s="5"/>
      <c r="I129" s="5"/>
      <c r="J129" s="5"/>
    </row>
    <row r="130" spans="1:10" x14ac:dyDescent="0.25">
      <c r="A130" s="11"/>
      <c r="B130" s="5"/>
      <c r="C130" s="5"/>
      <c r="D130" s="5"/>
      <c r="E130" s="6" t="str">
        <f>IFERROR(INDEX(Ejecutivos!$B$2:$B$100,MATCH(D130,Ejecutivos!$A$2:$A$100,0)),"")</f>
        <v/>
      </c>
      <c r="F130" s="5"/>
      <c r="G130" s="5"/>
      <c r="H130" s="5"/>
      <c r="I130" s="5"/>
      <c r="J130" s="5"/>
    </row>
    <row r="131" spans="1:10" x14ac:dyDescent="0.25">
      <c r="A131" s="11"/>
      <c r="B131" s="5"/>
      <c r="C131" s="5"/>
      <c r="D131" s="5"/>
      <c r="E131" s="6" t="str">
        <f>IFERROR(INDEX(Ejecutivos!$B$2:$B$100,MATCH(D131,Ejecutivos!$A$2:$A$100,0)),"")</f>
        <v/>
      </c>
      <c r="F131" s="5"/>
      <c r="G131" s="5"/>
      <c r="H131" s="5"/>
      <c r="I131" s="5"/>
      <c r="J131" s="5"/>
    </row>
    <row r="132" spans="1:10" x14ac:dyDescent="0.25">
      <c r="A132" s="11"/>
      <c r="B132" s="5"/>
      <c r="C132" s="5"/>
      <c r="D132" s="5"/>
      <c r="E132" s="6" t="str">
        <f>IFERROR(INDEX(Ejecutivos!$B$2:$B$100,MATCH(D132,Ejecutivos!$A$2:$A$100,0)),"")</f>
        <v/>
      </c>
      <c r="F132" s="5"/>
      <c r="G132" s="5"/>
      <c r="H132" s="5"/>
      <c r="I132" s="5"/>
      <c r="J132" s="5"/>
    </row>
    <row r="133" spans="1:10" x14ac:dyDescent="0.25">
      <c r="A133" s="11"/>
      <c r="B133" s="5"/>
      <c r="C133" s="5"/>
      <c r="D133" s="5"/>
      <c r="E133" s="6" t="str">
        <f>IFERROR(INDEX(Ejecutivos!$B$2:$B$100,MATCH(D133,Ejecutivos!$A$2:$A$100,0)),"")</f>
        <v/>
      </c>
      <c r="F133" s="5"/>
      <c r="G133" s="5"/>
      <c r="H133" s="5"/>
      <c r="I133" s="5"/>
      <c r="J133" s="5"/>
    </row>
    <row r="134" spans="1:10" x14ac:dyDescent="0.25">
      <c r="A134" s="11"/>
      <c r="B134" s="5"/>
      <c r="C134" s="5"/>
      <c r="D134" s="5"/>
      <c r="E134" s="6" t="str">
        <f>IFERROR(INDEX(Ejecutivos!$B$2:$B$100,MATCH(D134,Ejecutivos!$A$2:$A$100,0)),"")</f>
        <v/>
      </c>
      <c r="F134" s="5"/>
      <c r="G134" s="5"/>
      <c r="H134" s="5"/>
      <c r="I134" s="5"/>
      <c r="J134" s="5"/>
    </row>
    <row r="135" spans="1:10" x14ac:dyDescent="0.25">
      <c r="A135" s="11"/>
      <c r="B135" s="5"/>
      <c r="C135" s="5"/>
      <c r="D135" s="5"/>
      <c r="E135" s="6" t="str">
        <f>IFERROR(INDEX(Ejecutivos!$B$2:$B$100,MATCH(D135,Ejecutivos!$A$2:$A$100,0)),"")</f>
        <v/>
      </c>
      <c r="F135" s="5"/>
      <c r="G135" s="5"/>
      <c r="H135" s="5"/>
      <c r="I135" s="5"/>
      <c r="J135" s="5"/>
    </row>
    <row r="136" spans="1:10" x14ac:dyDescent="0.25">
      <c r="A136" s="11"/>
      <c r="B136" s="5"/>
      <c r="C136" s="5"/>
      <c r="D136" s="5"/>
      <c r="E136" s="6" t="str">
        <f>IFERROR(INDEX(Ejecutivos!$B$2:$B$100,MATCH(D136,Ejecutivos!$A$2:$A$100,0)),"")</f>
        <v/>
      </c>
      <c r="F136" s="5"/>
      <c r="G136" s="5"/>
      <c r="H136" s="5"/>
      <c r="I136" s="5"/>
      <c r="J136" s="5"/>
    </row>
    <row r="137" spans="1:10" x14ac:dyDescent="0.25">
      <c r="A137" s="11"/>
      <c r="B137" s="5"/>
      <c r="C137" s="5"/>
      <c r="D137" s="5"/>
      <c r="E137" s="6" t="str">
        <f>IFERROR(INDEX(Ejecutivos!$B$2:$B$100,MATCH(D137,Ejecutivos!$A$2:$A$100,0)),"")</f>
        <v/>
      </c>
      <c r="F137" s="5"/>
      <c r="G137" s="5"/>
      <c r="H137" s="5"/>
      <c r="I137" s="5"/>
      <c r="J137" s="5"/>
    </row>
    <row r="138" spans="1:10" x14ac:dyDescent="0.25">
      <c r="A138" s="11"/>
      <c r="B138" s="5"/>
      <c r="C138" s="5"/>
      <c r="D138" s="5"/>
      <c r="E138" s="6" t="str">
        <f>IFERROR(INDEX(Ejecutivos!$B$2:$B$100,MATCH(D138,Ejecutivos!$A$2:$A$100,0)),"")</f>
        <v/>
      </c>
      <c r="F138" s="5"/>
      <c r="G138" s="5"/>
      <c r="H138" s="5"/>
      <c r="I138" s="5"/>
      <c r="J138" s="5"/>
    </row>
    <row r="139" spans="1:10" x14ac:dyDescent="0.25">
      <c r="A139" s="11"/>
      <c r="B139" s="5"/>
      <c r="C139" s="5"/>
      <c r="D139" s="5"/>
      <c r="E139" s="6" t="str">
        <f>IFERROR(INDEX(Ejecutivos!$B$2:$B$100,MATCH(D139,Ejecutivos!$A$2:$A$100,0)),"")</f>
        <v/>
      </c>
      <c r="F139" s="5"/>
      <c r="G139" s="5"/>
      <c r="H139" s="5"/>
      <c r="I139" s="5"/>
      <c r="J139" s="5"/>
    </row>
    <row r="140" spans="1:10" x14ac:dyDescent="0.25">
      <c r="A140" s="11"/>
      <c r="B140" s="5"/>
      <c r="C140" s="5"/>
      <c r="D140" s="5"/>
      <c r="E140" s="6" t="str">
        <f>IFERROR(INDEX(Ejecutivos!$B$2:$B$100,MATCH(D140,Ejecutivos!$A$2:$A$100,0)),"")</f>
        <v/>
      </c>
      <c r="F140" s="5"/>
      <c r="G140" s="5"/>
      <c r="H140" s="5"/>
      <c r="I140" s="5"/>
      <c r="J140" s="5"/>
    </row>
    <row r="141" spans="1:10" x14ac:dyDescent="0.25">
      <c r="A141" s="11"/>
      <c r="B141" s="5"/>
      <c r="C141" s="5"/>
      <c r="D141" s="5"/>
      <c r="E141" s="6" t="str">
        <f>IFERROR(INDEX(Ejecutivos!$B$2:$B$100,MATCH(D141,Ejecutivos!$A$2:$A$100,0)),"")</f>
        <v/>
      </c>
      <c r="F141" s="5"/>
      <c r="G141" s="5"/>
      <c r="H141" s="5"/>
      <c r="I141" s="5"/>
      <c r="J141" s="5"/>
    </row>
    <row r="142" spans="1:10" x14ac:dyDescent="0.25">
      <c r="A142" s="11"/>
      <c r="B142" s="5"/>
      <c r="C142" s="5"/>
      <c r="D142" s="5"/>
      <c r="E142" s="6" t="str">
        <f>IFERROR(INDEX(Ejecutivos!$B$2:$B$100,MATCH(D142,Ejecutivos!$A$2:$A$100,0)),"")</f>
        <v/>
      </c>
      <c r="F142" s="5"/>
      <c r="G142" s="5"/>
      <c r="H142" s="5"/>
      <c r="I142" s="5"/>
      <c r="J142" s="5"/>
    </row>
    <row r="143" spans="1:10" x14ac:dyDescent="0.25">
      <c r="A143" s="11"/>
      <c r="B143" s="5"/>
      <c r="C143" s="5"/>
      <c r="D143" s="5"/>
      <c r="E143" s="6" t="str">
        <f>IFERROR(INDEX(Ejecutivos!$B$2:$B$100,MATCH(D143,Ejecutivos!$A$2:$A$100,0)),"")</f>
        <v/>
      </c>
      <c r="F143" s="5"/>
      <c r="G143" s="5"/>
      <c r="H143" s="5"/>
      <c r="I143" s="5"/>
      <c r="J143" s="5"/>
    </row>
    <row r="144" spans="1:10" x14ac:dyDescent="0.25">
      <c r="A144" s="11"/>
      <c r="B144" s="5"/>
      <c r="C144" s="5"/>
      <c r="D144" s="5"/>
      <c r="E144" s="6" t="str">
        <f>IFERROR(INDEX(Ejecutivos!$B$2:$B$100,MATCH(D144,Ejecutivos!$A$2:$A$100,0)),"")</f>
        <v/>
      </c>
      <c r="F144" s="5"/>
      <c r="G144" s="5"/>
      <c r="H144" s="5"/>
      <c r="I144" s="5"/>
      <c r="J144" s="5"/>
    </row>
    <row r="145" spans="1:10" x14ac:dyDescent="0.25">
      <c r="A145" s="11"/>
      <c r="B145" s="5"/>
      <c r="C145" s="5"/>
      <c r="D145" s="5"/>
      <c r="E145" s="6" t="str">
        <f>IFERROR(INDEX(Ejecutivos!$B$2:$B$100,MATCH(D145,Ejecutivos!$A$2:$A$100,0)),"")</f>
        <v/>
      </c>
      <c r="F145" s="5"/>
      <c r="G145" s="5"/>
      <c r="H145" s="5"/>
      <c r="I145" s="5"/>
      <c r="J145" s="5"/>
    </row>
    <row r="146" spans="1:10" x14ac:dyDescent="0.25">
      <c r="A146" s="11"/>
      <c r="B146" s="5"/>
      <c r="C146" s="5"/>
      <c r="D146" s="5"/>
      <c r="E146" s="6" t="str">
        <f>IFERROR(INDEX(Ejecutivos!$B$2:$B$100,MATCH(D146,Ejecutivos!$A$2:$A$100,0)),"")</f>
        <v/>
      </c>
      <c r="F146" s="5"/>
      <c r="G146" s="5"/>
      <c r="H146" s="5"/>
      <c r="I146" s="5"/>
      <c r="J146" s="5"/>
    </row>
    <row r="147" spans="1:10" x14ac:dyDescent="0.25">
      <c r="A147" s="11"/>
      <c r="B147" s="5"/>
      <c r="C147" s="5"/>
      <c r="D147" s="5"/>
      <c r="E147" s="6" t="str">
        <f>IFERROR(INDEX(Ejecutivos!$B$2:$B$100,MATCH(D147,Ejecutivos!$A$2:$A$100,0)),"")</f>
        <v/>
      </c>
      <c r="F147" s="5"/>
      <c r="G147" s="5"/>
      <c r="H147" s="5"/>
      <c r="I147" s="5"/>
      <c r="J147" s="5"/>
    </row>
    <row r="148" spans="1:10" x14ac:dyDescent="0.25">
      <c r="A148" s="11"/>
      <c r="B148" s="5"/>
      <c r="C148" s="5"/>
      <c r="D148" s="5"/>
      <c r="E148" s="6" t="str">
        <f>IFERROR(INDEX(Ejecutivos!$B$2:$B$100,MATCH(D148,Ejecutivos!$A$2:$A$100,0)),"")</f>
        <v/>
      </c>
      <c r="F148" s="5"/>
      <c r="G148" s="5"/>
      <c r="H148" s="5"/>
      <c r="I148" s="5"/>
      <c r="J148" s="5"/>
    </row>
    <row r="149" spans="1:10" x14ac:dyDescent="0.25">
      <c r="A149" s="11"/>
      <c r="B149" s="5"/>
      <c r="C149" s="5"/>
      <c r="D149" s="5"/>
      <c r="E149" s="6" t="str">
        <f>IFERROR(INDEX(Ejecutivos!$B$2:$B$100,MATCH(D149,Ejecutivos!$A$2:$A$100,0)),"")</f>
        <v/>
      </c>
      <c r="F149" s="5"/>
      <c r="G149" s="5"/>
      <c r="H149" s="5"/>
      <c r="I149" s="5"/>
      <c r="J149" s="5"/>
    </row>
    <row r="150" spans="1:10" x14ac:dyDescent="0.25">
      <c r="A150" s="11"/>
      <c r="B150" s="5"/>
      <c r="C150" s="5"/>
      <c r="D150" s="5"/>
      <c r="E150" s="6" t="str">
        <f>IFERROR(INDEX(Ejecutivos!$B$2:$B$100,MATCH(D150,Ejecutivos!$A$2:$A$100,0)),"")</f>
        <v/>
      </c>
      <c r="F150" s="5"/>
      <c r="G150" s="5"/>
      <c r="H150" s="5"/>
      <c r="I150" s="5"/>
      <c r="J150" s="5"/>
    </row>
    <row r="151" spans="1:10" x14ac:dyDescent="0.25">
      <c r="A151" s="11"/>
      <c r="B151" s="5"/>
      <c r="C151" s="5"/>
      <c r="D151" s="5"/>
      <c r="E151" s="6" t="str">
        <f>IFERROR(INDEX(Ejecutivos!$B$2:$B$100,MATCH(D151,Ejecutivos!$A$2:$A$100,0)),"")</f>
        <v/>
      </c>
      <c r="F151" s="5"/>
      <c r="G151" s="5"/>
      <c r="H151" s="5"/>
      <c r="I151" s="5"/>
      <c r="J15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Normal="100" workbookViewId="0">
      <pane ySplit="1" topLeftCell="A2" activePane="bottomLeft" state="frozen"/>
      <selection pane="bottomLeft" activeCell="I17" sqref="I17"/>
    </sheetView>
  </sheetViews>
  <sheetFormatPr baseColWidth="10" defaultColWidth="9.140625" defaultRowHeight="15" x14ac:dyDescent="0.25"/>
  <cols>
    <col min="1" max="9" width="14" customWidth="1"/>
  </cols>
  <sheetData>
    <row r="1" spans="1:9" x14ac:dyDescent="0.25">
      <c r="A1" s="81" t="s">
        <v>0</v>
      </c>
      <c r="B1" s="81" t="s">
        <v>52</v>
      </c>
      <c r="C1" s="81" t="s">
        <v>81</v>
      </c>
      <c r="D1" s="81" t="s">
        <v>82</v>
      </c>
      <c r="E1" s="81" t="s">
        <v>83</v>
      </c>
      <c r="F1" s="81" t="s">
        <v>84</v>
      </c>
      <c r="G1" s="81" t="s">
        <v>305</v>
      </c>
      <c r="H1" s="81" t="s">
        <v>10</v>
      </c>
      <c r="I1" s="81" t="s">
        <v>2</v>
      </c>
    </row>
    <row r="2" spans="1:9" x14ac:dyDescent="0.25">
      <c r="A2" s="2" t="s">
        <v>25</v>
      </c>
      <c r="B2" s="6" t="str">
        <f>IFERROR(INDEX(Ejecutivos!$B$2:$B$100,MATCH(A2,Ejecutivos!$A$2:$A$100,0)),"")</f>
        <v>CATHERINE AEDO</v>
      </c>
      <c r="C2" s="41">
        <v>0.91089108910891092</v>
      </c>
      <c r="D2" s="41">
        <v>0.96907216494845361</v>
      </c>
      <c r="E2" s="41">
        <v>1</v>
      </c>
      <c r="F2" s="40">
        <v>0.94</v>
      </c>
      <c r="G2" s="40">
        <v>0.76797385620915037</v>
      </c>
    </row>
    <row r="3" spans="1:9" x14ac:dyDescent="0.25">
      <c r="A3" s="2" t="s">
        <v>20</v>
      </c>
      <c r="B3" s="6" t="str">
        <f>IFERROR(INDEX(Ejecutivos!$B$2:$B$100,MATCH(A3,Ejecutivos!$A$2:$A$100,0)),"")</f>
        <v>ANA ASTORGA</v>
      </c>
      <c r="C3" s="41">
        <v>1</v>
      </c>
      <c r="D3" s="41">
        <v>1</v>
      </c>
      <c r="E3" s="41">
        <v>1</v>
      </c>
      <c r="F3" s="40">
        <v>1</v>
      </c>
      <c r="G3" s="40">
        <v>0.75</v>
      </c>
    </row>
    <row r="4" spans="1:9" x14ac:dyDescent="0.25">
      <c r="A4" s="2" t="s">
        <v>37</v>
      </c>
      <c r="B4" s="6" t="str">
        <f>IFERROR(INDEX(Ejecutivos!$B$2:$B$100,MATCH(A4,Ejecutivos!$A$2:$A$100,0)),"")</f>
        <v>MANUELA ASTUDILLO</v>
      </c>
      <c r="C4" s="41">
        <v>0.91666666666666663</v>
      </c>
      <c r="D4" s="41">
        <v>0.95774647887323938</v>
      </c>
      <c r="E4" s="41">
        <v>0.77142857142857146</v>
      </c>
      <c r="F4" s="40">
        <v>0.96875</v>
      </c>
      <c r="G4" s="40">
        <v>0.81229773462783172</v>
      </c>
    </row>
    <row r="5" spans="1:9" x14ac:dyDescent="0.25">
      <c r="A5" s="2" t="s">
        <v>11</v>
      </c>
      <c r="B5" s="6" t="str">
        <f>IFERROR(INDEX(Ejecutivos!$B$2:$B$100,MATCH(A5,Ejecutivos!$A$2:$A$100,0)),"")</f>
        <v>ALEJANDRA CHACON</v>
      </c>
      <c r="C5" s="41">
        <v>0.93548387096774188</v>
      </c>
      <c r="D5" s="41">
        <v>0.97752808988764039</v>
      </c>
      <c r="E5" s="41">
        <v>0.90476190476190477</v>
      </c>
      <c r="F5" s="40">
        <v>0.8571428571428571</v>
      </c>
      <c r="G5" s="40">
        <v>0.76923076923076927</v>
      </c>
    </row>
    <row r="6" spans="1:9" x14ac:dyDescent="0.25">
      <c r="A6" s="2" t="s">
        <v>23</v>
      </c>
      <c r="B6" s="6" t="str">
        <f>IFERROR(INDEX(Ejecutivos!$B$2:$B$100,MATCH(A6,Ejecutivos!$A$2:$A$100,0)),"")</f>
        <v>ATALY GARCIA</v>
      </c>
      <c r="C6" s="41">
        <v>0.96402877697841727</v>
      </c>
      <c r="D6" s="41">
        <v>0.96240601503759393</v>
      </c>
      <c r="E6" s="41">
        <v>1</v>
      </c>
      <c r="F6" s="40">
        <v>0.90322580645161288</v>
      </c>
      <c r="G6" s="40">
        <v>0.86428571428571432</v>
      </c>
    </row>
    <row r="7" spans="1:9" x14ac:dyDescent="0.25">
      <c r="A7" s="2" t="s">
        <v>29</v>
      </c>
      <c r="B7" s="6" t="str">
        <f>IFERROR(INDEX(Ejecutivos!$B$2:$B$100,MATCH(A7,Ejecutivos!$A$2:$A$100,0)),"")</f>
        <v>ELSA GONGORA</v>
      </c>
      <c r="C7" s="41">
        <v>0.98750000000000004</v>
      </c>
      <c r="D7" s="41">
        <v>0.98630136986301364</v>
      </c>
      <c r="E7" s="41">
        <v>1</v>
      </c>
      <c r="F7" s="40">
        <v>0.95652173913043481</v>
      </c>
      <c r="G7" s="40">
        <v>0.85064935064935066</v>
      </c>
    </row>
    <row r="8" spans="1:9" x14ac:dyDescent="0.25">
      <c r="A8" s="2" t="s">
        <v>33</v>
      </c>
      <c r="B8" s="6" t="str">
        <f>IFERROR(INDEX(Ejecutivos!$B$2:$B$100,MATCH(A8,Ejecutivos!$A$2:$A$100,0)),"")</f>
        <v>KATIA HALD</v>
      </c>
      <c r="C8" s="41">
        <v>0.94573643410852715</v>
      </c>
      <c r="D8" s="41">
        <v>0.92982456140350878</v>
      </c>
      <c r="E8" s="41">
        <v>0.93103448275862066</v>
      </c>
      <c r="F8" s="40">
        <v>1</v>
      </c>
      <c r="G8" s="40">
        <v>0.85198555956678701</v>
      </c>
    </row>
    <row r="9" spans="1:9" x14ac:dyDescent="0.25">
      <c r="A9" s="2" t="s">
        <v>31</v>
      </c>
      <c r="B9" s="6" t="str">
        <f>IFERROR(INDEX(Ejecutivos!$B$2:$B$100,MATCH(A9,Ejecutivos!$A$2:$A$100,0)),"")</f>
        <v>JOHANA LLANCAPICHUN</v>
      </c>
      <c r="C9" s="41">
        <v>0.93181818181818177</v>
      </c>
      <c r="D9" s="41">
        <v>0.93827160493827155</v>
      </c>
      <c r="E9" s="41">
        <v>1</v>
      </c>
      <c r="F9" s="40">
        <v>0.91666666666666663</v>
      </c>
      <c r="G9" s="40">
        <v>0.90740740740740744</v>
      </c>
    </row>
    <row r="10" spans="1:9" x14ac:dyDescent="0.25">
      <c r="A10" s="2" t="s">
        <v>49</v>
      </c>
      <c r="B10" s="6" t="str">
        <f>IFERROR(INDEX(Ejecutivos!$B$2:$B$100,MATCH(A10,Ejecutivos!$A$2:$A$100,0)),"")</f>
        <v>TOMAS MAULEN</v>
      </c>
      <c r="C10" s="41">
        <v>0.94495412844036697</v>
      </c>
      <c r="D10" s="41">
        <v>0.95283018867924529</v>
      </c>
      <c r="E10" s="41">
        <v>0.91666666666666663</v>
      </c>
      <c r="F10" s="40">
        <v>0.91666666666666663</v>
      </c>
      <c r="G10" s="40">
        <v>0.89795918367346939</v>
      </c>
    </row>
    <row r="11" spans="1:9" x14ac:dyDescent="0.25">
      <c r="A11" s="2" t="s">
        <v>46</v>
      </c>
      <c r="B11" s="6" t="str">
        <f>IFERROR(INDEX(Ejecutivos!$B$2:$B$100,MATCH(A11,Ejecutivos!$A$2:$A$100,0)),"")</f>
        <v>NANCI MENDEZ</v>
      </c>
      <c r="C11" s="41">
        <v>0.96753246753246758</v>
      </c>
      <c r="D11" s="41">
        <v>0.94557823129251706</v>
      </c>
      <c r="E11" s="41">
        <v>0.94871794871794868</v>
      </c>
      <c r="F11" s="40">
        <v>0.91891891891891897</v>
      </c>
      <c r="G11" s="40">
        <v>0.94094488188976377</v>
      </c>
    </row>
    <row r="12" spans="1:9" x14ac:dyDescent="0.25">
      <c r="A12" s="2" t="s">
        <v>42</v>
      </c>
      <c r="B12" s="6" t="str">
        <f>IFERROR(INDEX(Ejecutivos!$B$2:$B$100,MATCH(A12,Ejecutivos!$A$2:$A$100,0)),"")</f>
        <v>MAXIMILIANO OLIVARES</v>
      </c>
      <c r="C12" s="41">
        <v>0.98245614035087714</v>
      </c>
      <c r="D12" s="41">
        <v>0.93693693693693691</v>
      </c>
      <c r="E12" s="41">
        <v>1</v>
      </c>
      <c r="F12" s="40">
        <v>0.92592592592592593</v>
      </c>
      <c r="G12" s="40">
        <v>0.88663967611336036</v>
      </c>
    </row>
    <row r="13" spans="1:9" x14ac:dyDescent="0.25">
      <c r="A13" s="2" t="s">
        <v>18</v>
      </c>
      <c r="B13" s="6" t="str">
        <f>IFERROR(INDEX(Ejecutivos!$B$2:$B$100,MATCH(A13,Ejecutivos!$A$2:$A$100,0)),"")</f>
        <v>ALEJANDRA ORELLANA</v>
      </c>
      <c r="C13" s="41">
        <v>0.93888888888888888</v>
      </c>
      <c r="D13" s="41">
        <v>0.97674418604651159</v>
      </c>
      <c r="E13" s="41">
        <v>1</v>
      </c>
      <c r="F13" s="40">
        <v>0.96296296296296291</v>
      </c>
      <c r="G13" s="40">
        <v>0.84530386740331487</v>
      </c>
    </row>
    <row r="14" spans="1:9" x14ac:dyDescent="0.25">
      <c r="A14" s="2" t="s">
        <v>27</v>
      </c>
      <c r="B14" s="6" t="str">
        <f>IFERROR(INDEX(Ejecutivos!$B$2:$B$100,MATCH(A14,Ejecutivos!$A$2:$A$100,0)),"")</f>
        <v>DANIELA RODRIGUEZ</v>
      </c>
      <c r="C14" s="41">
        <v>0.98373983739837401</v>
      </c>
      <c r="D14" s="41">
        <v>0.9152542372881356</v>
      </c>
      <c r="E14" s="41">
        <v>0.91666666666666663</v>
      </c>
      <c r="F14" s="40">
        <v>0.95</v>
      </c>
      <c r="G14" s="40">
        <v>0.89189189189189189</v>
      </c>
    </row>
    <row r="15" spans="1:9" x14ac:dyDescent="0.25">
      <c r="A15" s="2" t="s">
        <v>44</v>
      </c>
      <c r="B15" s="6" t="str">
        <f>IFERROR(INDEX(Ejecutivos!$B$2:$B$100,MATCH(A15,Ejecutivos!$A$2:$A$100,0)),"")</f>
        <v>MELISSA SALGADO</v>
      </c>
      <c r="C15" s="41">
        <v>0.97619047619047616</v>
      </c>
      <c r="D15" s="41">
        <v>0.95</v>
      </c>
      <c r="E15" s="41">
        <v>0.95454545454545459</v>
      </c>
      <c r="F15" s="40">
        <v>0.88888888888888884</v>
      </c>
      <c r="G15" s="40">
        <v>0.94693877551020411</v>
      </c>
    </row>
    <row r="16" spans="1:9" x14ac:dyDescent="0.25">
      <c r="A16" s="2" t="s">
        <v>39</v>
      </c>
      <c r="B16" s="6" t="str">
        <f>IFERROR(INDEX(Ejecutivos!$B$2:$B$100,MATCH(A16,Ejecutivos!$A$2:$A$100,0)),"")</f>
        <v>MARIA LORETO VELASQUEZ</v>
      </c>
      <c r="C16" s="41"/>
      <c r="D16" s="40"/>
      <c r="E16" s="41">
        <v>0.96923076923076923</v>
      </c>
      <c r="F16" s="40">
        <v>0.95</v>
      </c>
      <c r="G16" s="40">
        <v>0.89534883720930236</v>
      </c>
    </row>
  </sheetData>
  <sortState ref="A2:B16">
    <sortCondition ref="B2:B16"/>
  </sortState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9" width="14" customWidth="1"/>
  </cols>
  <sheetData>
    <row r="1" spans="1:9" x14ac:dyDescent="0.25">
      <c r="A1" s="81" t="s">
        <v>89</v>
      </c>
      <c r="B1" s="81" t="s">
        <v>0</v>
      </c>
      <c r="C1" s="81" t="s">
        <v>52</v>
      </c>
      <c r="D1" s="81" t="s">
        <v>81</v>
      </c>
      <c r="E1" s="81" t="s">
        <v>82</v>
      </c>
      <c r="F1" s="81" t="s">
        <v>83</v>
      </c>
      <c r="G1" s="81" t="s">
        <v>84</v>
      </c>
      <c r="H1" s="81" t="s">
        <v>2</v>
      </c>
      <c r="I1" s="8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Normal="100" workbookViewId="0">
      <pane ySplit="1" topLeftCell="A54" activePane="bottomLeft" state="frozen"/>
      <selection pane="bottomLeft" activeCell="A2" sqref="A2:XFD77"/>
    </sheetView>
  </sheetViews>
  <sheetFormatPr baseColWidth="10" defaultColWidth="9.140625" defaultRowHeight="15" x14ac:dyDescent="0.25"/>
  <cols>
    <col min="1" max="9" width="14" customWidth="1"/>
  </cols>
  <sheetData>
    <row r="1" spans="1:9" x14ac:dyDescent="0.25">
      <c r="A1" s="81" t="s">
        <v>121</v>
      </c>
      <c r="B1" s="81" t="s">
        <v>0</v>
      </c>
      <c r="C1" s="81" t="s">
        <v>52</v>
      </c>
      <c r="D1" s="81" t="s">
        <v>81</v>
      </c>
      <c r="E1" s="81" t="s">
        <v>82</v>
      </c>
      <c r="F1" s="81" t="s">
        <v>83</v>
      </c>
      <c r="G1" s="81" t="s">
        <v>84</v>
      </c>
      <c r="H1" s="81" t="s">
        <v>2</v>
      </c>
      <c r="I1" s="8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16.5" x14ac:dyDescent="0.25">
      <c r="A1" s="14" t="s">
        <v>122</v>
      </c>
    </row>
    <row r="2" spans="1:1" x14ac:dyDescent="0.25">
      <c r="A2" s="15"/>
    </row>
    <row r="3" spans="1:1" ht="28.5" x14ac:dyDescent="0.25">
      <c r="A3" s="15" t="s">
        <v>123</v>
      </c>
    </row>
    <row r="4" spans="1:1" ht="28.5" x14ac:dyDescent="0.25">
      <c r="A4" s="15" t="s">
        <v>124</v>
      </c>
    </row>
    <row r="5" spans="1:1" ht="28.5" x14ac:dyDescent="0.25">
      <c r="A5" s="15" t="s">
        <v>125</v>
      </c>
    </row>
    <row r="6" spans="1:1" x14ac:dyDescent="0.25">
      <c r="A6" s="15" t="s">
        <v>126</v>
      </c>
    </row>
    <row r="7" spans="1:1" ht="28.5" x14ac:dyDescent="0.25">
      <c r="A7" s="15" t="s">
        <v>127</v>
      </c>
    </row>
    <row r="8" spans="1:1" ht="28.5" x14ac:dyDescent="0.25">
      <c r="A8" s="15" t="s">
        <v>128</v>
      </c>
    </row>
    <row r="9" spans="1:1" ht="28.5" x14ac:dyDescent="0.25">
      <c r="A9" s="15" t="s">
        <v>129</v>
      </c>
    </row>
    <row r="10" spans="1:1" ht="42.75" x14ac:dyDescent="0.25">
      <c r="A10" s="15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Ejecutivos</vt:lpstr>
      <vt:lpstr>Turno</vt:lpstr>
      <vt:lpstr>Config</vt:lpstr>
      <vt:lpstr>Asistencia</vt:lpstr>
      <vt:lpstr>KPI_Mensual</vt:lpstr>
      <vt:lpstr>Outbound</vt:lpstr>
      <vt:lpstr>Calidad</vt:lpstr>
      <vt:lpstr>EPA</vt:lpstr>
      <vt:lpstr>EPA_diario</vt:lpstr>
      <vt:lpstr>EPA_Historico</vt:lpstr>
      <vt:lpstr>Instrucciones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Monsalve Corvacho, Manuel Alejandro</cp:lastModifiedBy>
  <cp:revision>0</cp:revision>
  <dcterms:created xsi:type="dcterms:W3CDTF">2026-07-25T20:48:23Z</dcterms:created>
  <dcterms:modified xsi:type="dcterms:W3CDTF">2026-08-11T20:44:33Z</dcterms:modified>
  <dc:language>en-US</dc:language>
</cp:coreProperties>
</file>